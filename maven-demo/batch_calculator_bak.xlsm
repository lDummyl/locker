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showInkAnnotation="0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805268\workspace\maven-demo\"/>
    </mc:Choice>
  </mc:AlternateContent>
  <bookViews>
    <workbookView xWindow="0" yWindow="0" windowWidth="20490" windowHeight="6855" activeTab="2"/>
  </bookViews>
  <sheets>
    <sheet name="Data" sheetId="175" r:id="rId1"/>
    <sheet name="Scheme" sheetId="62" r:id="rId2"/>
    <sheet name="Offer" sheetId="8" r:id="rId3"/>
    <sheet name="OutputData" sheetId="9" r:id="rId4"/>
    <sheet name="CaseProperties" sheetId="151" r:id="rId5"/>
    <sheet name="CaseProperties(unsorted)" sheetId="26" r:id="rId6"/>
    <sheet name="CaseProperties_Old" sheetId="27" r:id="rId7"/>
    <sheet name="PumpUnits" sheetId="5" r:id="rId8"/>
    <sheet name="CoolUnitBase" sheetId="7" r:id="rId9"/>
    <sheet name="Options" sheetId="6" r:id="rId10"/>
    <sheet name="TariffDE" sheetId="132" r:id="rId11"/>
    <sheet name="TariffDE(Old)" sheetId="12" r:id="rId12"/>
    <sheet name="FreqConverters" sheetId="20" r:id="rId13"/>
    <sheet name="Drives" sheetId="18" r:id="rId14"/>
    <sheet name="Switches" sheetId="19" r:id="rId15"/>
    <sheet name="Offer (шаблон)" sheetId="29" r:id="rId16"/>
  </sheets>
  <functionGroups builtInGroupCount="18"/>
  <externalReferences>
    <externalReference r:id="rId17"/>
  </externalReferences>
  <definedNames>
    <definedName name="_FilterDatabase" localSheetId="4" hidden="1">CaseProperties!$A$1:$U$1</definedName>
    <definedName name="_FilterDatabase" localSheetId="5" hidden="1">'CaseProperties(unsorted)'!$A$1:$U$1</definedName>
    <definedName name="new" localSheetId="1">Scheme!#REF!</definedName>
    <definedName name="Print_Area" localSheetId="1">Scheme!$A$1:$Z$180</definedName>
    <definedName name="скорость">[1]OutputData!$J$13:$J$15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8" l="1"/>
  <c r="F19" i="8"/>
  <c r="F20" i="8"/>
  <c r="F21" i="8"/>
  <c r="F23" i="8"/>
  <c r="F24" i="8"/>
  <c r="F25" i="8"/>
  <c r="F26" i="8"/>
  <c r="F28" i="8"/>
  <c r="F29" i="8"/>
  <c r="F30" i="8"/>
  <c r="F31" i="8"/>
  <c r="F33" i="8"/>
  <c r="F34" i="8"/>
  <c r="F35" i="8"/>
  <c r="F36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G64" i="8" l="1"/>
  <c r="G57" i="8"/>
  <c r="G47" i="8"/>
  <c r="G42" i="8"/>
  <c r="G29" i="8"/>
  <c r="G19" i="8"/>
  <c r="G24" i="8"/>
  <c r="G39" i="8"/>
  <c r="G49" i="8"/>
  <c r="G44" i="8"/>
  <c r="G52" i="8"/>
  <c r="G62" i="8"/>
  <c r="G34" i="8"/>
  <c r="G54" i="8"/>
  <c r="G59" i="8"/>
  <c r="G65" i="8" l="1"/>
  <c r="G63" i="8"/>
  <c r="G60" i="8"/>
  <c r="G58" i="8"/>
  <c r="G55" i="8"/>
  <c r="G53" i="8"/>
  <c r="G50" i="8"/>
  <c r="G48" i="8"/>
  <c r="G45" i="8"/>
  <c r="G43" i="8"/>
  <c r="G40" i="8"/>
  <c r="G38" i="8"/>
  <c r="G35" i="8"/>
  <c r="G33" i="8"/>
  <c r="G30" i="8"/>
  <c r="G28" i="8"/>
  <c r="G25" i="8"/>
  <c r="G23" i="8"/>
  <c r="G20" i="8"/>
  <c r="G17" i="8"/>
  <c r="G67" i="8" l="1"/>
  <c r="R126" i="151"/>
  <c r="M126" i="151"/>
  <c r="Z3" i="151" l="1"/>
  <c r="Y3" i="151"/>
  <c r="R184" i="151" l="1"/>
  <c r="B550" i="132" l="1"/>
  <c r="B551" i="132"/>
  <c r="B549" i="132"/>
  <c r="C6" i="19" l="1"/>
  <c r="B69" i="5" l="1"/>
  <c r="B68" i="5"/>
  <c r="Z2" i="26" l="1"/>
  <c r="Y2" i="26"/>
  <c r="F17" i="29" l="1"/>
  <c r="G17" i="29" s="1"/>
  <c r="G20" i="29" s="1"/>
  <c r="B67" i="5" l="1"/>
  <c r="B66" i="5"/>
  <c r="B64" i="5"/>
  <c r="B63" i="5"/>
  <c r="B62" i="5"/>
  <c r="B65" i="5"/>
  <c r="B61" i="5"/>
  <c r="B60" i="5"/>
  <c r="B59" i="5"/>
  <c r="B58" i="5"/>
  <c r="B56" i="5"/>
  <c r="B55" i="5"/>
  <c r="B54" i="5"/>
  <c r="B57" i="5"/>
  <c r="B53" i="5"/>
  <c r="B52" i="5"/>
  <c r="B51" i="5"/>
  <c r="B50" i="5"/>
  <c r="B49" i="5"/>
  <c r="B48" i="5"/>
  <c r="B47" i="5"/>
  <c r="B46" i="5"/>
  <c r="B45" i="5"/>
</calcChain>
</file>

<file path=xl/comments1.xml><?xml version="1.0" encoding="utf-8"?>
<comments xmlns="http://schemas.openxmlformats.org/spreadsheetml/2006/main">
  <authors>
    <author>805268</author>
  </authors>
  <commentList>
    <comment ref="AB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ПАРОВОЙ УВЛАЖНИТЕЛЬ
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  <charset val="204"/>
          </rPr>
          <t>В СТАНДАРТЕ ГЛИКОЛЕВЫЙ Р-Р</t>
        </r>
      </text>
    </comment>
    <comment ref="AO1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добавлении датчиков сигналы AI обновляются автоматически</t>
        </r>
      </text>
    </comment>
    <comment ref="AI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необходимости  добавление сигналов рекомендуется путем плюсования в формуле</t>
        </r>
      </text>
    </comment>
    <comment ref="AJ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необходимости  добавление сигналов рекомендуется путем плюсования в формуле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AO_V
Аналоговый выход 0-10В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AI
Универсальный аналоговый вход AI/DI. </t>
        </r>
      </text>
    </comment>
    <comment ref="C1" authorId="0" shapeId="0">
      <text>
        <r>
          <rPr>
            <sz val="9"/>
            <color indexed="81"/>
            <rFont val="Tahoma"/>
            <family val="2"/>
            <charset val="204"/>
          </rPr>
          <t>DI
Дискретный вход</t>
        </r>
      </text>
    </comment>
    <comment ref="D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>DO_380ELH
Подача питания 380 В, через модульный пускатель. Используется только для подключения ступеней эл. Калорифера. Отключаются только 2 фазы, 1 подается постоянно.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>DO_380
Подача питания 380В постоянно, через автоматический выключатель</t>
        </r>
      </text>
    </comment>
    <comment ref="H1" authorId="0" shapeId="0">
      <text>
        <r>
          <rPr>
            <sz val="9"/>
            <color indexed="81"/>
            <rFont val="Tahoma"/>
            <family val="2"/>
            <charset val="204"/>
          </rPr>
          <t>DO_220PW
Подача питания 220В через магнитный пускатель.</t>
        </r>
      </text>
    </comment>
    <comment ref="I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
Реле имееет дополнительный сухой контакт.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</t>
        </r>
      </text>
    </comment>
    <comment ref="K1" authorId="0" shapeId="0">
      <text>
        <r>
          <rPr>
            <sz val="9"/>
            <color indexed="81"/>
            <rFont val="Tahoma"/>
            <family val="2"/>
            <charset val="204"/>
          </rPr>
          <t>DO_220PLC
Подача питания 220В через встроенное реле контроллера.</t>
        </r>
      </text>
    </comment>
    <comment ref="L1" authorId="0" shapeId="0">
      <text>
        <r>
          <rPr>
            <sz val="9"/>
            <color indexed="81"/>
            <rFont val="Tahoma"/>
            <family val="2"/>
            <charset val="204"/>
          </rPr>
          <t>DO_SW
Сухой контакт реле.</t>
        </r>
      </text>
    </comment>
    <comment ref="M1" authorId="0" shapeId="0">
      <text>
        <r>
          <rPr>
            <sz val="9"/>
            <color indexed="81"/>
            <rFont val="Tahoma"/>
            <family val="2"/>
            <charset val="204"/>
          </rPr>
          <t>MAX_PWR
Общая мощность щита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A1" authorId="0" shapeId="0">
      <text>
        <r>
          <rPr>
            <sz val="9"/>
            <color indexed="81"/>
            <rFont val="Tahoma"/>
            <family val="2"/>
            <charset val="204"/>
          </rPr>
          <t>AO_V
Аналоговый выход 0-10В</t>
        </r>
      </text>
    </comment>
    <comment ref="B1" authorId="0" shapeId="0">
      <text>
        <r>
          <rPr>
            <sz val="9"/>
            <color indexed="81"/>
            <rFont val="Tahoma"/>
            <family val="2"/>
            <charset val="204"/>
          </rPr>
          <t xml:space="preserve">AI
Универсальный аналоговый вход AI/DI. </t>
        </r>
      </text>
    </comment>
    <comment ref="C1" authorId="0" shapeId="0">
      <text>
        <r>
          <rPr>
            <sz val="9"/>
            <color indexed="81"/>
            <rFont val="Tahoma"/>
            <family val="2"/>
            <charset val="204"/>
          </rPr>
          <t>DI
Дискретный вход</t>
        </r>
      </text>
    </comment>
    <comment ref="D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E1" authorId="0" shapeId="0">
      <text>
        <r>
          <rPr>
            <sz val="9"/>
            <color indexed="81"/>
            <rFont val="Tahoma"/>
            <family val="2"/>
            <charset val="204"/>
          </rPr>
          <t>DO_380PW
Подача питания 380В через магнитный пускатель</t>
        </r>
      </text>
    </comment>
    <comment ref="F1" authorId="0" shapeId="0">
      <text>
        <r>
          <rPr>
            <sz val="9"/>
            <color indexed="81"/>
            <rFont val="Tahoma"/>
            <family val="2"/>
            <charset val="204"/>
          </rPr>
          <t>DO_380ELH
Подача питания 380 В, через модульный пускатель. Используется только для подключения ступеней эл. Калорифера. Отключаются только 2 фазы, 1 подается постоянно.</t>
        </r>
      </text>
    </comment>
    <comment ref="G1" authorId="0" shapeId="0">
      <text>
        <r>
          <rPr>
            <sz val="9"/>
            <color indexed="81"/>
            <rFont val="Tahoma"/>
            <family val="2"/>
            <charset val="204"/>
          </rPr>
          <t>DO_380
Подача питания 380В постоянно, через автоматический выключатель</t>
        </r>
      </text>
    </comment>
    <comment ref="H1" authorId="0" shapeId="0">
      <text>
        <r>
          <rPr>
            <sz val="9"/>
            <color indexed="81"/>
            <rFont val="Tahoma"/>
            <family val="2"/>
            <charset val="204"/>
          </rPr>
          <t>DO_220PW
Подача питания 220В через магнитный пускатель.</t>
        </r>
      </text>
    </comment>
    <comment ref="I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
Реле имееет дополнительный сухой контакт.</t>
        </r>
      </text>
    </comment>
    <comment ref="J1" authorId="0" shapeId="0">
      <text>
        <r>
          <rPr>
            <sz val="9"/>
            <color indexed="81"/>
            <rFont val="Tahoma"/>
            <family val="2"/>
            <charset val="204"/>
          </rPr>
          <t>DO_220RELSW
Подача питания 220В через реле с одной дополнительной фазой, которая подается постоянно.</t>
        </r>
      </text>
    </comment>
    <comment ref="K1" authorId="0" shapeId="0">
      <text>
        <r>
          <rPr>
            <sz val="9"/>
            <color indexed="81"/>
            <rFont val="Tahoma"/>
            <family val="2"/>
            <charset val="204"/>
          </rPr>
          <t>DO_220PLC
Подача питания 220В через встроенное реле контроллера.</t>
        </r>
      </text>
    </comment>
    <comment ref="L1" authorId="0" shapeId="0">
      <text>
        <r>
          <rPr>
            <sz val="9"/>
            <color indexed="81"/>
            <rFont val="Tahoma"/>
            <family val="2"/>
            <charset val="204"/>
          </rPr>
          <t>DO_SW
Сухой контакт реле.</t>
        </r>
      </text>
    </comment>
    <comment ref="M1" authorId="0" shapeId="0">
      <text>
        <r>
          <rPr>
            <sz val="9"/>
            <color indexed="81"/>
            <rFont val="Tahoma"/>
            <family val="2"/>
            <charset val="204"/>
          </rPr>
          <t>MAX_PWR
Общая мощность щита</t>
        </r>
      </text>
    </comment>
  </commentList>
</comments>
</file>

<file path=xl/sharedStrings.xml><?xml version="1.0" encoding="utf-8"?>
<sst xmlns="http://schemas.openxmlformats.org/spreadsheetml/2006/main" count="31932" uniqueCount="3183">
  <si>
    <t>kPa</t>
  </si>
  <si>
    <t>m3/h</t>
  </si>
  <si>
    <t>N#</t>
  </si>
  <si>
    <t>PwrEx</t>
  </si>
  <si>
    <t>PwrInt</t>
  </si>
  <si>
    <t>Motors</t>
  </si>
  <si>
    <t>Hight</t>
  </si>
  <si>
    <t>Wide</t>
  </si>
  <si>
    <r>
      <t>y = 0,0398x</t>
    </r>
    <r>
      <rPr>
        <vertAlign val="superscript"/>
        <sz val="10"/>
        <rFont val="Times New Roman"/>
        <family val="1"/>
        <charset val="204"/>
      </rPr>
      <t>2</t>
    </r>
    <r>
      <rPr>
        <sz val="11"/>
        <color theme="1"/>
        <rFont val="Calibri"/>
        <family val="2"/>
        <charset val="204"/>
        <scheme val="minor"/>
      </rPr>
      <t xml:space="preserve"> - 1,051x + 7,95</t>
    </r>
  </si>
  <si>
    <t xml:space="preserve">y = -0,0018x2 - 0,511x + 16,48 </t>
  </si>
  <si>
    <t>y = -0,0066x2 - 0,229x + 18,92</t>
  </si>
  <si>
    <t>GHN Basic  50-190 F</t>
  </si>
  <si>
    <t>СУ3-ТСРФ-50/190-40</t>
  </si>
  <si>
    <t xml:space="preserve">y = 0,0098x2 - 0,405x + 4,07 </t>
  </si>
  <si>
    <r>
      <t>y = 0,0023x</t>
    </r>
    <r>
      <rPr>
        <b/>
        <vertAlign val="superscript"/>
        <sz val="10.5"/>
        <rFont val="Times New Roman"/>
        <family val="1"/>
        <charset val="204"/>
      </rPr>
      <t>2</t>
    </r>
    <r>
      <rPr>
        <b/>
        <sz val="10.5"/>
        <rFont val="Times New Roman"/>
        <family val="1"/>
        <charset val="204"/>
      </rPr>
      <t xml:space="preserve"> - 0,3943x + 9,57</t>
    </r>
  </si>
  <si>
    <t xml:space="preserve">y = -0,0072x2 - 0,124x + 12,07 </t>
  </si>
  <si>
    <t>GHN Basic  50-120 F</t>
  </si>
  <si>
    <t>СУ3-ТСРФ-50/120-40</t>
  </si>
  <si>
    <t xml:space="preserve">y = 0,0006x2 - 0,7088x + 14,319 </t>
  </si>
  <si>
    <t xml:space="preserve">y = -0,0135x2 - 0,2957x + 18,375 </t>
  </si>
  <si>
    <t>GHN Basic  40-190 F</t>
  </si>
  <si>
    <t>СУ3-ТСРФ-190-40</t>
  </si>
  <si>
    <t>СУ3-ТСРФ-190-25</t>
  </si>
  <si>
    <t>СУ3-ТСРФ-190-16</t>
  </si>
  <si>
    <t xml:space="preserve">y = 0,0048x2 - 0,184x + 1,5 </t>
  </si>
  <si>
    <t xml:space="preserve">y = -0,0037x2 - 0,0427x + 2,8 </t>
  </si>
  <si>
    <t>y = -0,0018x2 - 0,0605x + 3,24</t>
  </si>
  <si>
    <t>GHN Basic  50-40 F</t>
  </si>
  <si>
    <t>СУ3-ТСРФ-50/40-40</t>
  </si>
  <si>
    <r>
      <t>y = 0,0017x</t>
    </r>
    <r>
      <rPr>
        <b/>
        <vertAlign val="superscript"/>
        <sz val="10"/>
        <rFont val="Times New Roman"/>
        <family val="1"/>
        <charset val="204"/>
      </rPr>
      <t>2</t>
    </r>
    <r>
      <rPr>
        <b/>
        <sz val="10"/>
        <rFont val="Times New Roman"/>
        <family val="1"/>
        <charset val="204"/>
      </rPr>
      <t xml:space="preserve"> - 0,3836x + 4,0187</t>
    </r>
  </si>
  <si>
    <t xml:space="preserve">y = 0,0033x2 - 0,544x + 8,9976 </t>
  </si>
  <si>
    <t>y = -0,0218x2 - 0,0928x + 10,872</t>
  </si>
  <si>
    <t>GHN Basic  40-120 F</t>
  </si>
  <si>
    <t>СУ3-ТСРФ-120-25</t>
  </si>
  <si>
    <t>СУ3-ТСРФ-120-16</t>
  </si>
  <si>
    <t xml:space="preserve">y = 0,0262x2 - 1,716x + 5,5398 </t>
  </si>
  <si>
    <t>y = -0,0134x2 - 0,9216x + 6,9997</t>
  </si>
  <si>
    <t>y = -0,0134x2 - 0,2527x + 7,3852</t>
  </si>
  <si>
    <t>GHND 32/80-180</t>
  </si>
  <si>
    <t>СУ3-ТСРД-80-25</t>
  </si>
  <si>
    <t xml:space="preserve">y = 0,2242x2 - 2,0078x + 4,019 </t>
  </si>
  <si>
    <t>y = -0,0123x2 - 1,2022x + 5,4718</t>
  </si>
  <si>
    <t xml:space="preserve">y = -0,0236x2 - 0,2881x + 6,4209 </t>
  </si>
  <si>
    <t>СУ3-ТСРД-80-16</t>
  </si>
  <si>
    <t>GHND 32/70-180</t>
  </si>
  <si>
    <t>СУ3-ТСР-80-16</t>
  </si>
  <si>
    <t>СУ3-ТСР-80-10</t>
  </si>
  <si>
    <t xml:space="preserve">y = -0,0152x2 - 1,4828x + 5,245 </t>
  </si>
  <si>
    <t xml:space="preserve">y = -0,0234x2 - 0,8422x + 6,8961 </t>
  </si>
  <si>
    <t xml:space="preserve">y = -0,0397x2 - 0,4631x + 7,6816 </t>
  </si>
  <si>
    <t>СУ3-ТСР-80-6,3</t>
  </si>
  <si>
    <t>GHN 32/80-180</t>
  </si>
  <si>
    <t>СУ3-ТСРД-70-25</t>
  </si>
  <si>
    <t>GHN 25/80-180</t>
  </si>
  <si>
    <t>СУ3-ТСРД-70-16</t>
  </si>
  <si>
    <t xml:space="preserve">y = 0,1914x2 - 1,8653x + 3,8361 </t>
  </si>
  <si>
    <t xml:space="preserve">y = 0,0042x2 - 1,2767x + 5,5023 </t>
  </si>
  <si>
    <t>СУ3-ТСРД-70-10</t>
  </si>
  <si>
    <t>GHN 25/70-180</t>
  </si>
  <si>
    <t>СУ3-ТСР-70-16</t>
  </si>
  <si>
    <t>СУ3-ТСР-70-10</t>
  </si>
  <si>
    <t xml:space="preserve">y = 0,6195x2 - 2,6148x + 2,5434 </t>
  </si>
  <si>
    <t xml:space="preserve">y = -0,3005x2 - 1,5274x + 4,7971 </t>
  </si>
  <si>
    <t xml:space="preserve">y = -0,2736x2 - 0,7232x + 5,8378 </t>
  </si>
  <si>
    <t>СУ3-ТСР-70-6,3</t>
  </si>
  <si>
    <t>GHN 20/60-130</t>
  </si>
  <si>
    <t>СУ3-ТСР-60-6,3</t>
  </si>
  <si>
    <t>СУ3-ТСР-60-4</t>
  </si>
  <si>
    <t xml:space="preserve">y = 0,1375x2 - 1,8931x + 4,0844 </t>
  </si>
  <si>
    <t xml:space="preserve">y = 0,0195x2 - 1,2764x + 4,2048 </t>
  </si>
  <si>
    <t>СУ3-ТСР-60-2,5</t>
  </si>
  <si>
    <t>GHN 20/40-130</t>
  </si>
  <si>
    <t>СУ3-ТСР-40-6,3</t>
  </si>
  <si>
    <t>СУ3-ТСР-40-4</t>
  </si>
  <si>
    <t>1 скорость</t>
  </si>
  <si>
    <t>2 скорость</t>
  </si>
  <si>
    <t>3 скорость</t>
  </si>
  <si>
    <t>СУ3-ТСР-40-2,5</t>
  </si>
  <si>
    <t>Смесительный узел СУ3-ТСФ-50/190-40 присоединение Ду 50</t>
  </si>
  <si>
    <t>СУ3-ТСФ-50/190-40</t>
  </si>
  <si>
    <t>Смесительный узел СУ3-ТСФ-50/120-63/31,5 присоединение Ду 50</t>
  </si>
  <si>
    <t>Смесительный узел СУ3-ТСФ-50/120-40 присоединение Ду 50</t>
  </si>
  <si>
    <t>СУ3-ТСФ-50/120-40</t>
  </si>
  <si>
    <t>Смесительный узел СУ3-ТСФ-190-40 присоединение Ду 40</t>
  </si>
  <si>
    <t>СУ3-ТСФ-190-40</t>
  </si>
  <si>
    <t>Смесительный узел СУ3-ТСФ-190-25 присоединение Ду 40</t>
  </si>
  <si>
    <t>СУ3-ТСФ-190-25</t>
  </si>
  <si>
    <t>Смесительный узел СУ3-ТСФ-190-16 присоединение Ду 40</t>
  </si>
  <si>
    <t>СУ3-ТСФ-190-16</t>
  </si>
  <si>
    <t>Смесительный узел СУ3-ТСФ-50/40-40 присоединение Ду 50</t>
  </si>
  <si>
    <t>СУ3-ТСФ-50/40-40</t>
  </si>
  <si>
    <t>Смесительный узел СУ3-ТСФ-120-25 присоединение Ду 40</t>
  </si>
  <si>
    <t>СУ3-ТСФ-120-25</t>
  </si>
  <si>
    <t>Смесительный узел СУ3-ТСФ-120-16 присоединение Ду 40</t>
  </si>
  <si>
    <t>СУ3-ТСФ-120-16</t>
  </si>
  <si>
    <t>Смесительный узел СУ3-ТСД-80-25 присоединение Ду 32</t>
  </si>
  <si>
    <t>СУ3-ТСД-80-25</t>
  </si>
  <si>
    <t>Смесительный узел СУ3-ТСД-80-16 присоединение Ду 32</t>
  </si>
  <si>
    <t>СУ3-ТСД-80-16</t>
  </si>
  <si>
    <t>Смесительный узел СУ3-ТСД-70-25 присоединение Ду 32</t>
  </si>
  <si>
    <t>СУ3-ТСД-70-25</t>
  </si>
  <si>
    <t>Смесительный узел СУ3-ТСД-70-16 присоединение Ду 32</t>
  </si>
  <si>
    <t>СУ3-ТСД-70-16</t>
  </si>
  <si>
    <t>Смесительный узел СУ3-ТСД-70-10 присоединение Ду 32</t>
  </si>
  <si>
    <t>СУ3-ТСД-70-10</t>
  </si>
  <si>
    <t>Смесительный узел СУ3-ТС-80-16 присоединение Ду 32</t>
  </si>
  <si>
    <t>СУ3-ТС-80-16</t>
  </si>
  <si>
    <t>Смесительный узел СУ3-ТС-80-10 присоединение Ду 25</t>
  </si>
  <si>
    <t>СУ3-ТС-80-10</t>
  </si>
  <si>
    <t>Смесительный узел СУ3-ТС-80-6,3 присоединение Ду 25</t>
  </si>
  <si>
    <t>СУ3-ТС-80-6,3</t>
  </si>
  <si>
    <t>Смесительный узел СУ3-ТС-70-16 присоединение Ду 25</t>
  </si>
  <si>
    <t>СУ3-ТС-70-16</t>
  </si>
  <si>
    <t>Смесительный узел СУ3-ТС-70-10 присоединение Ду 25</t>
  </si>
  <si>
    <t>СУ3-ТС-70-10</t>
  </si>
  <si>
    <t>Смесительный узел СУ3-ТС-70-6,3 присоединение Ду 20</t>
  </si>
  <si>
    <t>СУ3-ТС-70-6,3</t>
  </si>
  <si>
    <t>Смесительный узел СУ3-ТС-60-6,3 присоединение Ду 20</t>
  </si>
  <si>
    <t>СУ3-ТС-60-6,3</t>
  </si>
  <si>
    <t>Смесительный узел СУ3-ТС-60-4 присоединение Ду 20</t>
  </si>
  <si>
    <t>СУ3-ТС-60-4</t>
  </si>
  <si>
    <t>Смесительный узел СУ3-ТС-60-2,5 присоединение Ду 20</t>
  </si>
  <si>
    <t>СУ3-ТС-60-2,5</t>
  </si>
  <si>
    <t>Смесительный узел СУ3-ТС-40-6,3 присоединение Ду 20</t>
  </si>
  <si>
    <t>СУ3-ТС-40-6,3</t>
  </si>
  <si>
    <t>Смесительный узел СУ3-ТС-40-4 присоединение Ду 20</t>
  </si>
  <si>
    <t>СУ3-ТС-40-4</t>
  </si>
  <si>
    <t>Смесительный узел СУ3-ТС-40-2,5 присоединение Ду 20</t>
  </si>
  <si>
    <t>СУ3-ТС-40-2,5</t>
  </si>
  <si>
    <t>Насос</t>
  </si>
  <si>
    <t>КВС</t>
  </si>
  <si>
    <t>Опции</t>
  </si>
  <si>
    <t>Гибкая подводка Ду 15, 1 м + фит.</t>
  </si>
  <si>
    <t>Комплект КИП с фиттингами под Ду 15</t>
  </si>
  <si>
    <t>Гибкая подводка Ду 20, 1 м + фит.</t>
  </si>
  <si>
    <t>Комплект КИП с фиттингами под Ду 20</t>
  </si>
  <si>
    <t>Гибкая подводка Ду 25, 1 м + фит.</t>
  </si>
  <si>
    <t>Комплект КИП с фиттингами под Ду 25</t>
  </si>
  <si>
    <t>Гибкая подводка Ду 32, 1 м + фит.</t>
  </si>
  <si>
    <t>Комплект КИП с фиттингами под Ду 32</t>
  </si>
  <si>
    <t>Гибкая подводка Ду 40, 1 м + фит.</t>
  </si>
  <si>
    <t>Комплект КИП с фиттингами под Ду 40</t>
  </si>
  <si>
    <t>Комплект КИП с фиттингами под Ду 50</t>
  </si>
  <si>
    <t>Смесительный узел СУ3-ХС-2,5 присоединение Ду 15</t>
  </si>
  <si>
    <t>Смесительный узел СУ3-ХС-4 присоединение Ду 15</t>
  </si>
  <si>
    <t>Смесительный узел СУ3-ХС-6,3 присоединение Ду 20</t>
  </si>
  <si>
    <t>Смесительный узел СУ3-ХС-10 присоединение Ду 25</t>
  </si>
  <si>
    <t>Смесительный узел СУ3-ХС-16 присоединение Ду 32</t>
  </si>
  <si>
    <t>Смесительный узел СУ3-ХС-25 присоединение Ду 40</t>
  </si>
  <si>
    <t>Смесительный узел СУ3-ХС-40 присоединение Ду 50</t>
  </si>
  <si>
    <t>Смесительный узел СУ3-ХС-63LF присоединение Ду 50</t>
  </si>
  <si>
    <t>Запрос:</t>
  </si>
  <si>
    <t>Референс</t>
  </si>
  <si>
    <t>Наименование</t>
  </si>
  <si>
    <t>Описание</t>
  </si>
  <si>
    <t>Тариф руб, за единицу. с НДС</t>
  </si>
  <si>
    <t>Кол-во, шт.</t>
  </si>
  <si>
    <t>Скидка %</t>
  </si>
  <si>
    <t>Сумма с учетом скидки, руб. с НДС</t>
  </si>
  <si>
    <t>Примечание</t>
  </si>
  <si>
    <t>Heat#1</t>
  </si>
  <si>
    <t>Heat#2</t>
  </si>
  <si>
    <t>Heat#3</t>
  </si>
  <si>
    <t>Heat#4</t>
  </si>
  <si>
    <t>Cool#1</t>
  </si>
  <si>
    <t>Cool#2</t>
  </si>
  <si>
    <t>Qty</t>
  </si>
  <si>
    <t>Тариф ДРАЙВЕР ИНЖИНИРИНГ, 11.07.17</t>
  </si>
  <si>
    <t>Полное наименование</t>
  </si>
  <si>
    <t>Розница</t>
  </si>
  <si>
    <t xml:space="preserve">Габариты </t>
  </si>
  <si>
    <t>Масса</t>
  </si>
  <si>
    <t>Производитель</t>
  </si>
  <si>
    <t>руб. с НДС</t>
  </si>
  <si>
    <t>ш/в/г, мм</t>
  </si>
  <si>
    <t>кг</t>
  </si>
  <si>
    <t>ЩИТЫ УПРАВЛЕНИЯ ВЕНТИЛЯТОРАМИ (ЩУВ)</t>
  </si>
  <si>
    <t>ЩУВ1-0,18</t>
  </si>
  <si>
    <t>Щит управления ЩУВ1-0,18 IP41</t>
  </si>
  <si>
    <t>365/220/100</t>
  </si>
  <si>
    <t>Драйвер Инжиниринг</t>
  </si>
  <si>
    <t>вентилятор 0,18 кВт, защита по току или бм тк, отключение по ПОЖАР, IP41, пластик</t>
  </si>
  <si>
    <t>ЩУВ1-0,25</t>
  </si>
  <si>
    <t>Щит управления ЩУВ1-0,25 IP41</t>
  </si>
  <si>
    <t>вентилятор 0,25 кВт, защита по току или бм тк, отключение по ПОЖАР, IP41, пластик</t>
  </si>
  <si>
    <t>ЩУВ1-0,37</t>
  </si>
  <si>
    <t>Щит управления ЩУВ1-0,37 IP41</t>
  </si>
  <si>
    <t>вентилятор 0,37 кВт, защита по току или бм тк, отключение по ПОЖАР, IP41, пластик</t>
  </si>
  <si>
    <t>ЩУВ1-0,55</t>
  </si>
  <si>
    <t>Щит управления ЩУВ1-0,55 IP41</t>
  </si>
  <si>
    <t>вентилятор 0,55 кВт, защита по току или бм тк, отключение по ПОЖАР, IP41, пластик</t>
  </si>
  <si>
    <t>ЩУВ1-0,75</t>
  </si>
  <si>
    <t>Щит управления ЩУВ1-0,75 IP41</t>
  </si>
  <si>
    <t>вентилятор 0,75 кВт, защита по току или бм тк, отключение по ПОЖАР, IP41, пластик</t>
  </si>
  <si>
    <t>ЩУВ1-1,1</t>
  </si>
  <si>
    <t>Щит управления ЩУВ1-1,1 IP41</t>
  </si>
  <si>
    <t>вентилятор 1,1 кВт, защита по току или бм тк, отключение по ПОЖАР, IP41, пластик</t>
  </si>
  <si>
    <t>ЩУВ1-1,5</t>
  </si>
  <si>
    <t>Щит управления ЩУВ1-1,5 IP41</t>
  </si>
  <si>
    <t>вентилятор 1,5 кВт, защита по току или бм тк, отключение по ПОЖАР, IP41, пластик</t>
  </si>
  <si>
    <t>ЩУВ1-2,2</t>
  </si>
  <si>
    <t>Щит управления ЩУВ1-2,2 IP41</t>
  </si>
  <si>
    <t>вентилятор 2,2 кВт, защита по току или бм тк, отключение по ПОЖАР, IP41, пластик</t>
  </si>
  <si>
    <t>ЩУВ1-3</t>
  </si>
  <si>
    <t>Щит управления ЩУВ1-3 IP41</t>
  </si>
  <si>
    <t>вентилятор 3 кВт, защита по току или бм тк, отключение по ПОЖАР, IP41, пластик</t>
  </si>
  <si>
    <t>ЩУВ1-4</t>
  </si>
  <si>
    <t>Щит управления ЩУВ1-4 IP41</t>
  </si>
  <si>
    <t>вентилятор 4 кВт, защита по току или бм тк, отключение по ПОЖАР, IP41, пластик</t>
  </si>
  <si>
    <t>ЩУВ1-0,18-SE</t>
  </si>
  <si>
    <t>Щит управления ЩУВ1-0,18-SE IP65</t>
  </si>
  <si>
    <t>340/280/160</t>
  </si>
  <si>
    <t>вентилятор 0,18 кВт, защита по току или бм тк, отключение по ПОЖАР, IP65, пластик</t>
  </si>
  <si>
    <t>ЩУВ1-0,25-SE</t>
  </si>
  <si>
    <t>Щит управления ЩУВ1-0,25-SE IP65</t>
  </si>
  <si>
    <t>вентилятор 0,25 кВт, защита по току или бм тк, отключение по ПОЖАР, IP65, пластик</t>
  </si>
  <si>
    <t>ЩУВ1-0,37-SE</t>
  </si>
  <si>
    <t>Щит управления ЩУВ1-0,37-SE IP65</t>
  </si>
  <si>
    <t>вентилятор 0,37 кВт, защита по току или бм тк, отключение по ПОЖАР, IP65, пластик</t>
  </si>
  <si>
    <t>ЩУВ1-0,55-SE</t>
  </si>
  <si>
    <t>Щит управления ЩУВ1-0,55-SE IP65</t>
  </si>
  <si>
    <t>вентилятор 0,55 кВт, защита по току или бм тк, отключение по ПОЖАР, IP65, пластик</t>
  </si>
  <si>
    <t>ЩУВ1-0,75-SE</t>
  </si>
  <si>
    <t>Щит управления ЩУВ1-0,75-SE IP65</t>
  </si>
  <si>
    <t>вентилятор 0,75 кВт, защита по току или бм тк, отключение по ПОЖАР, IP65, пластик</t>
  </si>
  <si>
    <t>ЩУВ1-1,1-SE</t>
  </si>
  <si>
    <t>Щит управления ЩУВ1-1,1-SE IP65</t>
  </si>
  <si>
    <t>вентилятор 1,1 кВт, защита по току или бм тк, отключение по ПОЖАР, IP65, пластик</t>
  </si>
  <si>
    <t>ЩУВ1-1,5-SE</t>
  </si>
  <si>
    <t>Щит управления ЩУВ1-1,5-SE IP65</t>
  </si>
  <si>
    <t>вентилятор 1,5 кВт, защита по току или бм тк, отключение по ПОЖАР, IP65, пластик</t>
  </si>
  <si>
    <t>ЩУВ1-2,2-SE</t>
  </si>
  <si>
    <t>Щит управления ЩУВ1-2,2-SE IP65</t>
  </si>
  <si>
    <t>вентилятор 2,2 кВт, защита по току или бм тк, отключение по ПОЖАР, IP65, пластик</t>
  </si>
  <si>
    <t>ЩУВ1-3-SE</t>
  </si>
  <si>
    <t>Щит управления ЩУВ1-3-SE IP65</t>
  </si>
  <si>
    <t>вентилятор 3 кВт, защита по току или бм тк, отключение по ПОЖАР, IP65, пластик</t>
  </si>
  <si>
    <t>ЩУВ1-4-SE</t>
  </si>
  <si>
    <t>Щит управления ЩУВ1-4-SE IP65</t>
  </si>
  <si>
    <t>вентилятор 4 кВт, защита по току или бм тк, отключение по ПОЖАР, IP65, пластик</t>
  </si>
  <si>
    <t>ЩУВ1-5,5-SE</t>
  </si>
  <si>
    <t>Щит управления ЩУВ1-5,5-SE IP65</t>
  </si>
  <si>
    <t>вентилятор 5,5 кВт, защита по току или бм тк, отключение по ПОЖАР, IP65, пластик</t>
  </si>
  <si>
    <t>ЩУВ1-7,5-SE</t>
  </si>
  <si>
    <t>Щит управления ЩУВ1-7,5-SE IP65</t>
  </si>
  <si>
    <t>вентилятор 7,5 кВт, защита по току или бм тк, отключение по ПОЖАР, IP65, пластик</t>
  </si>
  <si>
    <t>ЩУВ1-11-SE</t>
  </si>
  <si>
    <t>Щит управления ЩУВ1-11-SE IP65</t>
  </si>
  <si>
    <t>448/280/160</t>
  </si>
  <si>
    <t>вентилятор 11 кВт, защита по току или бм тк, отключение по ПОЖАР, IP65, пластик</t>
  </si>
  <si>
    <t>ЩУВ1-15-SE</t>
  </si>
  <si>
    <t>Щит управления ЩУВ1-15-SE IP65</t>
  </si>
  <si>
    <t>вентилятор 15 кВт, защита по току или бм тк, отключение по ПОЖАР, IP65, пластик</t>
  </si>
  <si>
    <t>ЩУВ1-0,18-SE-FE</t>
  </si>
  <si>
    <t>Щит управления ЩУВ1-0,18-SE-FE IP54</t>
  </si>
  <si>
    <t>310/395/220</t>
  </si>
  <si>
    <t>вентилятор 0,18 кВт, защита по току или бм тк, отключение по ПОЖАР, IP54,  металл</t>
  </si>
  <si>
    <t>ЩУВ1-0,25-SE-FE</t>
  </si>
  <si>
    <t>Щит управления ЩУВ1-0,25-SE-FE IP54</t>
  </si>
  <si>
    <t>вентилятор 0,25 кВт, защита по току или бм тк, отключение по ПОЖАР, IP54,  металл</t>
  </si>
  <si>
    <t>ЩУВ1-0,37-SE-FE</t>
  </si>
  <si>
    <t>Щит управления ЩУВ1-0,37-SE-FE IP54</t>
  </si>
  <si>
    <t>вентилятор 0,37 кВт, защита по току или бм тк, отключение по ПОЖАР, IP54, железо</t>
  </si>
  <si>
    <t>ЩУВ1-0,55-SE-FE</t>
  </si>
  <si>
    <t>Щит управления ЩУВ1-0,55-SE-FE IP54</t>
  </si>
  <si>
    <t>вентилятор 0,55 кВт, защита по току или бм тк, отключение по ПОЖАР, IP54, железо</t>
  </si>
  <si>
    <t>ЩУВ1-0,75-SE-FE</t>
  </si>
  <si>
    <t>Щит управления ЩУВ1-0,75-SE-FE IP54</t>
  </si>
  <si>
    <t>вентилятор 0,75 кВт, защита по току или бм тк, отключение по ПОЖАР, IP54, железо</t>
  </si>
  <si>
    <t>ЩУВ1-1,1-SE-FE</t>
  </si>
  <si>
    <t>Щит управления ЩУВ1-1,1-SE-FE IP54</t>
  </si>
  <si>
    <t>вентилятор 1,1 кВт, защита по току или бм тк, отключение по ПОЖАР, IP54, железо</t>
  </si>
  <si>
    <t>ЩУВ1-1,5-SE-FE</t>
  </si>
  <si>
    <t>Щит управления ЩУВ1-1,5-SE-FE IP54</t>
  </si>
  <si>
    <t>вентилятор 1,5 кВт, защита по току или бм тк, отключение по ПОЖАР, IP54, железо</t>
  </si>
  <si>
    <t>ЩУВ1-2,2-SE-FE</t>
  </si>
  <si>
    <t>Щит управления ЩУВ1-2,2-SE-FE IP54</t>
  </si>
  <si>
    <t>вентилятор 2,2 кВт, защита по току или бм тк, отключение по ПОЖАР, IP54, железо</t>
  </si>
  <si>
    <t>ЩУВ1-3-SE-FE</t>
  </si>
  <si>
    <t>Щит управления ЩУВ1-3-SE-FE IP54</t>
  </si>
  <si>
    <t>вентилятор 3 кВт, защита по току или бм тк, отключение по ПОЖАР, IP54, железо</t>
  </si>
  <si>
    <t>ЩУВ1-4-SE-FE</t>
  </si>
  <si>
    <t>Щит управления ЩУВ1-4-SE-FE IP54</t>
  </si>
  <si>
    <t>вентилятор 4 кВт, защита по току или бм тк, отключение по ПОЖАР, IP54, железо</t>
  </si>
  <si>
    <t>ЩУВ1-5,5-SE-FE</t>
  </si>
  <si>
    <t>Щит управления ЩУВ1-5,5-SE-FE IP54</t>
  </si>
  <si>
    <t>вентилятор 5,5 кВт, защита по току или бм тк, отключение по ПОЖАР, IP54, железо</t>
  </si>
  <si>
    <t>ЩУВ1-7,5-SE-FE</t>
  </si>
  <si>
    <t>Щит управления ЩУВ1-7,5-SE-FE IP54</t>
  </si>
  <si>
    <t>вентилятор 7,5 кВт, защита по току или бм тк, отключение по ПОЖАР, IP54, железо</t>
  </si>
  <si>
    <t>ЩУВ1-11-SE-FE</t>
  </si>
  <si>
    <t>Щит управления ЩУВ1-11-SE-FE IP54</t>
  </si>
  <si>
    <t>вентилятор 11 кВт, защита по току или бм тк, отключение по ПОЖАР, IP54, железо</t>
  </si>
  <si>
    <t>ЩУВ1-15-SE-FE</t>
  </si>
  <si>
    <t>Щит управления ЩУВ1-15-SE-FE IP54</t>
  </si>
  <si>
    <t>вентилятор 15 кВт, защита по току или бм тк, отключение по ПОЖАР, IP54, железо</t>
  </si>
  <si>
    <t>ЩУВ1-18-SE-FE</t>
  </si>
  <si>
    <t>Щит управления ЩУВ1-18-SE-FE IP54</t>
  </si>
  <si>
    <t>вентилятор 18 кВт, защита по току или бм тк, отключение по ПОЖАР, IP54, железо</t>
  </si>
  <si>
    <t>ЩУВ1-22-SE-FE</t>
  </si>
  <si>
    <t>Щит управления ЩУВ1-22-SE-FE IP54</t>
  </si>
  <si>
    <t>вентилятор 22 кВт, защита по току или бм тк, отключение по ПОЖАР, IP54, железо</t>
  </si>
  <si>
    <t>ЩУВ1-30-SE-FE</t>
  </si>
  <si>
    <t>Щит управления ЩУВ1-30-SE-FE IP54</t>
  </si>
  <si>
    <t>вентилятор 30 кВт, защита по току или бм тк, отключение по ПОЖАР, IP54, железо</t>
  </si>
  <si>
    <t>ЩУВ3-0,18-SE IP41</t>
  </si>
  <si>
    <t>Щит управления ЩУВ3-0,18-SE IP41</t>
  </si>
  <si>
    <t>256/200/96</t>
  </si>
  <si>
    <t>вентилятор 0,18 кВт, защита по току, отключение по ПОЖАР, IP41, пластик</t>
  </si>
  <si>
    <t>ЩУВ3-0,25-SE IP41</t>
  </si>
  <si>
    <t>Щит управления ЩУВ3-0,25-SE IP41</t>
  </si>
  <si>
    <t>вентилятор 0,25 кВт, защита по току, отключение по ПОЖАР, IP41, пластик</t>
  </si>
  <si>
    <t>ЩУВ3-0,37-SE IP41</t>
  </si>
  <si>
    <t>Щит управления ЩУВ3-0,37-SE IP41</t>
  </si>
  <si>
    <t>вентилятор 0,37 кВт, защита по току, отключение по ПОЖАР, IP41, пластик</t>
  </si>
  <si>
    <t>ЩУВ3-0,55-SE IP41</t>
  </si>
  <si>
    <t>Щит управления ЩУВ3-0,55-SE IP41</t>
  </si>
  <si>
    <t>вентилятор 0,55 кВт, защита по току, отключение по ПОЖАР, IP41, пластик</t>
  </si>
  <si>
    <t>ЩУВ3-0,75-SE IP41</t>
  </si>
  <si>
    <t>Щит управления ЩУВ3-0,75-SE IP41</t>
  </si>
  <si>
    <t>вентилятор 0,75 кВт, защита по току, отключение по ПОЖАР, IP41, пластик</t>
  </si>
  <si>
    <t>ЩУВ3-1,1-SE IP41</t>
  </si>
  <si>
    <t>Щит управления ЩУВ3-1,1-SE IP41</t>
  </si>
  <si>
    <t>вентилятор 1,1 кВт, защита по току, отключение по ПОЖАР, IP41, пластик</t>
  </si>
  <si>
    <t>ЩУВ3-1,5-SE IP41</t>
  </si>
  <si>
    <t>Щит управления ЩУВ3-1,5-SE IP41</t>
  </si>
  <si>
    <t>вентилятор 1,5 кВт, защита по току, отключение по ПОЖАР, IP41, пластик</t>
  </si>
  <si>
    <t>ЩУВ3-2,2-SE IP41</t>
  </si>
  <si>
    <t>Щит управления ЩУВ3-2,2-SE IP41</t>
  </si>
  <si>
    <t>вентилятор 2,2 кВт, защита по току, отключение по ПОЖАР, IP41, пластик</t>
  </si>
  <si>
    <t>ЩУВ3-3-SE IP41</t>
  </si>
  <si>
    <t>Щит управления ЩУВ3-3-SE IP41</t>
  </si>
  <si>
    <t>вентилятор 3 кВт, защита по току, отключение по ПОЖАР, IP41, пластик</t>
  </si>
  <si>
    <t>ЩУВ3-4-SE IP41</t>
  </si>
  <si>
    <t>Щит управления ЩУВ3-4-SE IP41</t>
  </si>
  <si>
    <t>вентилятор 4 кВт, защита по току, отключение по ПОЖАР, IP41, пластик</t>
  </si>
  <si>
    <t>ЩУВ3-5,5-SE IP41</t>
  </si>
  <si>
    <t>Щит управления ЩУВ3-5,5-SE IP41</t>
  </si>
  <si>
    <t>вентилятор 5,5 кВт, защита по току, отключение по ПОЖАР, IP41, пластик</t>
  </si>
  <si>
    <t>ЩУВ3-7,5-SE IP41</t>
  </si>
  <si>
    <t>Щит управления ЩУВ3-7,5-SE IP41</t>
  </si>
  <si>
    <t>вентилятор 7,5 кВт, защита по току, отключение по ПОЖАР, IP41, пластик</t>
  </si>
  <si>
    <t>ЩУВ6-2,5</t>
  </si>
  <si>
    <t>Щит управления ЩУВ6-2,5</t>
  </si>
  <si>
    <t>184/200/96</t>
  </si>
  <si>
    <t>вентилятор 220 В, плавное регулирование скорости, ток 2,5 А, IP41, пластик</t>
  </si>
  <si>
    <t>ЩУВ7-0,18</t>
  </si>
  <si>
    <t>Щит управления ЩУВ7-0,18 IP41</t>
  </si>
  <si>
    <t>два вентилятора по 0,18 кВт, основной/резервный вентилятор, IP41, пластик</t>
  </si>
  <si>
    <t>ЩУВ7-0,25</t>
  </si>
  <si>
    <t>Щит управления ЩУВ7-0,25 IP41</t>
  </si>
  <si>
    <t>два вентилятора по 0,25 кВт, основной/резервный вентилятор, IP41, пластик</t>
  </si>
  <si>
    <t>ЩУВ7-0,37</t>
  </si>
  <si>
    <t>Щит управления ЩУВ7-0,37 IP41</t>
  </si>
  <si>
    <t>два вентилятора по 0,37 кВт, основной/резервный вентилятор, IP41, пластик</t>
  </si>
  <si>
    <t>ЩУВ7-0,55</t>
  </si>
  <si>
    <t>Щит управления ЩУВ7-0,55 IP41</t>
  </si>
  <si>
    <t>два вентилятора по 0,55 кВт, основной/резервный вентилятор, IP41, пластик</t>
  </si>
  <si>
    <t>ЩУВ7-0,75</t>
  </si>
  <si>
    <t>Щит управления ЩУВ7-0,75 IP41</t>
  </si>
  <si>
    <t>два вентилятора по 0,75 кВт, основной/резервный вентилятор, IP41, пластик</t>
  </si>
  <si>
    <t>ЩУВ7-1,1</t>
  </si>
  <si>
    <t>Щит управления ЩУВ7-1,1 IP41</t>
  </si>
  <si>
    <t>два вентилятора по 1,1 кВт, основной/резервный вентилятор, IP41, пластик</t>
  </si>
  <si>
    <t>ЩУВ7-1,5</t>
  </si>
  <si>
    <t>Щит управления ЩУВ7-1,5 IP41</t>
  </si>
  <si>
    <t>два вентилятора по 1,5 кВт, основной/резервный вентилятор, IP41, пластик</t>
  </si>
  <si>
    <t>ЩУВ7-2,2</t>
  </si>
  <si>
    <t>Щит управления ЩУВ7-2,2 IP41</t>
  </si>
  <si>
    <t>два вентилятора по 2,2 кВт, основной/резервный вентилятор, IP41, пластик</t>
  </si>
  <si>
    <t>ЩУВ7-3</t>
  </si>
  <si>
    <t>Щит управления ЩУВ7-3 IP41</t>
  </si>
  <si>
    <t>два вентилятора по 3 кВт, основной/резервный вентилятор, IP41, пластик</t>
  </si>
  <si>
    <t>ЩУВ7-4</t>
  </si>
  <si>
    <t>Щит управления ЩУВ7-4 IP41</t>
  </si>
  <si>
    <t>два вентилятора по 4 кВт, основной/резервный вентилятор, IP41, пластик</t>
  </si>
  <si>
    <t>ЩУВ7-0,18-SE</t>
  </si>
  <si>
    <t>Щит управления ЩУВ7-0,18-SE IP65</t>
  </si>
  <si>
    <t>два вентилятора по 0,18 кВт, основной/резервный вентилятор, IP65, пластик</t>
  </si>
  <si>
    <t>ЩУВ7-0,25-SE</t>
  </si>
  <si>
    <t>Щит управления ЩУВ7-0,25-SE IP65</t>
  </si>
  <si>
    <t>два вентилятора по 0,25 кВт, основной/резервный вентилятор, IP65, пластик</t>
  </si>
  <si>
    <t>ЩУВ7-0,37-SE</t>
  </si>
  <si>
    <t>Щит управления ЩУВ7-0,37-SE IP65</t>
  </si>
  <si>
    <t>два вентилятора по 0,37 кВт, основной/резервный вентилятор, IP65, пластик</t>
  </si>
  <si>
    <t>ЩУВ7-0,55-SE</t>
  </si>
  <si>
    <t>Щит управления ЩУВ7-0,55-SE IP65</t>
  </si>
  <si>
    <t>два вентилятора по 0,55 кВт, основной/резервный вентилятор, IP65, пластик</t>
  </si>
  <si>
    <t>ЩУВ7-0,75-SE</t>
  </si>
  <si>
    <t>Щит управления ЩУВ7-0,75-SE IP65</t>
  </si>
  <si>
    <t>два вентилятора по 0,75 кВт, основной/резервный вентилятор, IP65, пластик</t>
  </si>
  <si>
    <t>ЩУВ7-1,1-SE</t>
  </si>
  <si>
    <t>Щит управления ЩУВ7-1,1-SE IP65</t>
  </si>
  <si>
    <t>два вентилятора по 1,1 кВт, основной/резервный вентилятор, IP65, пластик</t>
  </si>
  <si>
    <t>ЩУВ7-1,5-SE</t>
  </si>
  <si>
    <t>Щит управления ЩУВ7-1,5-SE IP65</t>
  </si>
  <si>
    <t>два вентилятора по 1,5 кВт, основной/резервный вентилятор, IP65, пластик</t>
  </si>
  <si>
    <t>ЩУВ7-2,2-SE</t>
  </si>
  <si>
    <t>Щит управления ЩУВ7-2,2-SE IP65</t>
  </si>
  <si>
    <t>два вентилятора по 2,2 кВт, основной/резервный вентилятор, IP65, пластик</t>
  </si>
  <si>
    <t>ЩУВ7-3-SE</t>
  </si>
  <si>
    <t>Щит управления ЩУВ7-3-SE IP65</t>
  </si>
  <si>
    <t>два вентилятора по 3 кВт, основной/резервный вентилятор, IP65, пластик</t>
  </si>
  <si>
    <t>ЩУВ7-4-SE</t>
  </si>
  <si>
    <t>Щит управления ЩУВ7-4-SE IP65</t>
  </si>
  <si>
    <t>два вентилятора по 4 кВт, основной/резервный вентилятор, IP65, пластик</t>
  </si>
  <si>
    <t>ЩУВ7-5,5-SE</t>
  </si>
  <si>
    <t>Щит управления ЩУВ7-5,5-SE IP65</t>
  </si>
  <si>
    <t>два вентилятора по 5,5 кВт, основной/резервный вентилятор, IP65, пластик</t>
  </si>
  <si>
    <t>ЩУВ7-7,5-SE</t>
  </si>
  <si>
    <t>Щит управления ЩУВ7-7,5-SE IP65</t>
  </si>
  <si>
    <t>два вентилятора по 7,5 кВт, основной/резервный вентилятор, IP65, пластик</t>
  </si>
  <si>
    <t>ЩИТЫ УПРАВЛЕНИЯ ПРИТОЧНЫМИ СИСТЕМАМИ (Smart HVAC)</t>
  </si>
  <si>
    <t>Группа Small (S)</t>
  </si>
  <si>
    <t>CB40PL1AHUS</t>
  </si>
  <si>
    <t>Щит управления CB40PL1AHUS</t>
  </si>
  <si>
    <t>вентилятор 4 кВт, заслонка, фильтр, водяной калорифер, вод. охл., IP65, пластик</t>
  </si>
  <si>
    <t>CB55PL1AHUS</t>
  </si>
  <si>
    <t>Щит управления CB55PL1AHUS</t>
  </si>
  <si>
    <t>вентилятор 5,5 кВт, заслонка, фильтр, водяной калорифер, вод. охл., IP65, пластик</t>
  </si>
  <si>
    <t>CB75PL1AHUS</t>
  </si>
  <si>
    <t>Щит управления CB75PL1AHUS</t>
  </si>
  <si>
    <t>вентилятор 7,5 кВт, заслонка, фильтр, водяной калорифер, вод. охл., IP65, пластик</t>
  </si>
  <si>
    <t>CB11PL1AHUS</t>
  </si>
  <si>
    <t>Щит управления CB11PL1AHUS</t>
  </si>
  <si>
    <t>340/460/160</t>
  </si>
  <si>
    <t>вентилятор 11 кВт, заслонка, фильтр, водяной калорифер, вод. охл., IP65, пластик</t>
  </si>
  <si>
    <t>CB15PL1AHUS</t>
  </si>
  <si>
    <t>Щит управления CB15PL1AHUS</t>
  </si>
  <si>
    <t>вентилятор 15 кВт, заслонка, фильтр, водяной калорифер, вод. охл., IP65, пластик</t>
  </si>
  <si>
    <t>CB40FE1AHUS</t>
  </si>
  <si>
    <t>Щит управления CB40FE1AHUS</t>
  </si>
  <si>
    <t>310/395/234</t>
  </si>
  <si>
    <t>IP54, железо, вентилятор 4 квт, водяной калорифер, водяной охладитель</t>
  </si>
  <si>
    <t>CB55FE1AHUS</t>
  </si>
  <si>
    <t>Щит управления CB55FE1AHUS</t>
  </si>
  <si>
    <t>IP65, железо, вентилятор 5,5 квт, водяной калорифер, водяной охладитель</t>
  </si>
  <si>
    <t>CB75FE1AHUS</t>
  </si>
  <si>
    <t>Щит управления CB75FE1AHUS</t>
  </si>
  <si>
    <t>IP65, железо, вентилятор 7,5 квт, водяной калорифер, водяной охладитель</t>
  </si>
  <si>
    <t>CB11FE1AHUS</t>
  </si>
  <si>
    <t>Щит управления CB11FE1AHUS</t>
  </si>
  <si>
    <t>IP65, железо, вентилятор 11 квт, водяной калорифер, водяной охладитель</t>
  </si>
  <si>
    <t>CB15FE1AHUS</t>
  </si>
  <si>
    <t>Щит управления CB15FE1AHUS</t>
  </si>
  <si>
    <t>IP65, железо, вентилятор 15 квт, водяной калорифер, водяной охладитель</t>
  </si>
  <si>
    <t>CB18FE1AHUS</t>
  </si>
  <si>
    <t>Щит управления CB18FE1AHUS</t>
  </si>
  <si>
    <t>IP65, железо, вентилятор 18 квт, водяной калорифер, водяной охладитель</t>
  </si>
  <si>
    <t>CB22FE1AHUS</t>
  </si>
  <si>
    <t>Щит управления CB22FE1AHUS</t>
  </si>
  <si>
    <t>IP65, железо, вентилятор 22 квт, водяной калорифер, водяной охладитель</t>
  </si>
  <si>
    <t>CB30FE1AHUS</t>
  </si>
  <si>
    <t>Щит управления CB30FE1AHUS</t>
  </si>
  <si>
    <t>IP65, железо, вентилятор 30 квт, водяной калорифер, водяной охладитель</t>
  </si>
  <si>
    <t>CB40PL1AHUNS</t>
  </si>
  <si>
    <t>Щит управления CB40PL1AHUNS</t>
  </si>
  <si>
    <t>Modbus RTU, IP65, пластик</t>
  </si>
  <si>
    <t>CB55PL1AHUNS</t>
  </si>
  <si>
    <t>Щит управления CB55PL1AHUNS</t>
  </si>
  <si>
    <t>CB75PL1AHUNS</t>
  </si>
  <si>
    <t>Щит управления CB75PL1AHUNS</t>
  </si>
  <si>
    <t>CB11PL1AHUNS</t>
  </si>
  <si>
    <t>Щит управления CB11PL1AHUNS</t>
  </si>
  <si>
    <t>CB15PL1AHUNS</t>
  </si>
  <si>
    <t>Щит управления CB15PL1AHUNS</t>
  </si>
  <si>
    <t>CB40FE1AHUNS</t>
  </si>
  <si>
    <t>Щит управления CB40FE1AHUNS</t>
  </si>
  <si>
    <t>IP54, железо, вентилятор 4 квт, водяной калорифер, водяной охладитель,  Modbus RTU</t>
  </si>
  <si>
    <t>CB55FE1AHUNS</t>
  </si>
  <si>
    <t>Щит управления CB55FE1AHUNS</t>
  </si>
  <si>
    <t>IP54, железо, вентилятор 5,5 квт, водяной калорифер, водяной охладитель,  Modbus RTU</t>
  </si>
  <si>
    <t>CB75FE1AHUNS</t>
  </si>
  <si>
    <t>Щит управления CB75FE1AHUNS</t>
  </si>
  <si>
    <t>IP54, железо, вентилятор 7,5 квт, водяной калорифер, водяной охладитель,  Modbus RTU</t>
  </si>
  <si>
    <t>CB11FE1AHUNS</t>
  </si>
  <si>
    <t>Щит управления CB11FE1AHUNS</t>
  </si>
  <si>
    <t>IP54, железо, вентилятор 11 квт, водяной калорифер, водяной охладитель,  Modbus RTU</t>
  </si>
  <si>
    <t>CB15FE1AHUNS</t>
  </si>
  <si>
    <t>Щит управления CB15FE1AHUNS</t>
  </si>
  <si>
    <t>IP54, железо, вентилятор 15 квт, водяной калорифер, водяной охладитель,  Modbus RTU</t>
  </si>
  <si>
    <t>CB18FE1AHUNS</t>
  </si>
  <si>
    <t>Щит управления CB18FE1AHUNS</t>
  </si>
  <si>
    <t>IP54, железо, вентилятор 18 квт, водяной калорифер, водяной охладитель,  Modbus RTU</t>
  </si>
  <si>
    <t>CB22FE1AHUNS</t>
  </si>
  <si>
    <t>Щит управления CB22FE1AHUNS</t>
  </si>
  <si>
    <t>IP54, железо, вентилятор 22 квт, водяной калорифер, водяной охладитель,  Modbus RTU</t>
  </si>
  <si>
    <t>CB30FE1AHUNS</t>
  </si>
  <si>
    <t>Щит управления CB30FE1AHUNS</t>
  </si>
  <si>
    <t>IP54, железо, вентилятор 30 квт, водяной калорифер, водяной охладитель,  Modbus RTU</t>
  </si>
  <si>
    <t>CB40PL1MTPS</t>
  </si>
  <si>
    <t>Щит управления CB40PL1MTPS</t>
  </si>
  <si>
    <t>вентилятор 4 кВт, заслонка, фильтр, эл.калорифер 16 кВт, фр. охл., IP65, пластик</t>
  </si>
  <si>
    <t>CB40PL2MTPS</t>
  </si>
  <si>
    <t>Щит управления CB40PL2MTPS</t>
  </si>
  <si>
    <t>вентилятор 4 кВт, заслонка, фильтр, эл.калорифер 24 кВт, фр. охл., IP65, пластик</t>
  </si>
  <si>
    <t>CB40PL3MTPS</t>
  </si>
  <si>
    <t>Щит управления CB40PL3MTPS</t>
  </si>
  <si>
    <t>448/460/160</t>
  </si>
  <si>
    <t>вентилятор 4 кВт, заслонка, фильтр, эл.калорифер 16+16 кВт, IP65, пластик</t>
  </si>
  <si>
    <t>CB40PL4MTPS</t>
  </si>
  <si>
    <t>Щит управления CB40PL4MTPS</t>
  </si>
  <si>
    <t>вентилятор 4 кВт, заслонка, фильтр, эл.калорифер 24+24 кВт, IP65, пластик</t>
  </si>
  <si>
    <t>CB55FE11MTPS</t>
  </si>
  <si>
    <t>Щит управления CB55FE11MTPS</t>
  </si>
  <si>
    <t>IP54, железо, вентилятор 5,5 квт, электрический калорифер 26 кВт, фреоновый охладитель</t>
  </si>
  <si>
    <t>CB55FE12MTPS</t>
  </si>
  <si>
    <t>Щит управления CB55FE12MTPS</t>
  </si>
  <si>
    <t>IP54, железо, вентилятор 5,5 квт, электрический калорифер 32 кВт, фреоновый охладитель</t>
  </si>
  <si>
    <t>CB55FE13MTPS</t>
  </si>
  <si>
    <t>Щит управления CB55FE13MTPS</t>
  </si>
  <si>
    <t>IP54, железо, вентилятор 5,5 квт, электрический калорифер 36 кВт, фреоновый охладитель</t>
  </si>
  <si>
    <t>CB55FE14MTPS</t>
  </si>
  <si>
    <t>Щит управления CB55FE14MTPS</t>
  </si>
  <si>
    <t>IP54, железо, вентилятор 5,5 квт, электрический калорифер 41 кВт, фреоновый охладитель</t>
  </si>
  <si>
    <t>CB55FE21MTPS</t>
  </si>
  <si>
    <t>Щит управления CB55FE21MTPS</t>
  </si>
  <si>
    <t>IP54, железо, вентилятор 5,5 квт, электрический калорифер 26+26 кВт</t>
  </si>
  <si>
    <t>CB55FE22MTPS</t>
  </si>
  <si>
    <t>Щит управления CB55FE22MTPS</t>
  </si>
  <si>
    <t>IP54, железо, вентилятор 5,5 квт, электрический калорифер 32+32 кВт</t>
  </si>
  <si>
    <t>CB55FE23MTPS</t>
  </si>
  <si>
    <t>Щит управления CB55FE23MTPS</t>
  </si>
  <si>
    <t>IP54, железо, вентилятор 5,5 квт, электрический калорифер 36+36 кВт</t>
  </si>
  <si>
    <t>CB55FE24MTPS</t>
  </si>
  <si>
    <t>Щит управления CB55FE24MTPS</t>
  </si>
  <si>
    <t>IP54, железо, вентилятор 5,5 квт, электрический калорифер 41+41 кВт</t>
  </si>
  <si>
    <t>CB75FE21MTPS</t>
  </si>
  <si>
    <t>Щит управления CB75FE21MTPS</t>
  </si>
  <si>
    <t>IP54, железо, вентилятор 7,5 квт, электрический калорифер 26+26 кВт</t>
  </si>
  <si>
    <t>CB75FE22MTPS</t>
  </si>
  <si>
    <t>Щит управления CB75FE22MTPS</t>
  </si>
  <si>
    <t>IP54, железо, вентилятор 7,5 квт, электрический калорифер 32+32 кВт</t>
  </si>
  <si>
    <t>CB75FE23MTPS</t>
  </si>
  <si>
    <t>Щит управления CB75FE23MTPS</t>
  </si>
  <si>
    <t>IP54, железо, вентилятор 7,5 квт, электрический калорифер 36+36 кВт</t>
  </si>
  <si>
    <t>CB75FE24MTPS</t>
  </si>
  <si>
    <t>Щит управления CB75FE24MTPS</t>
  </si>
  <si>
    <t>IP54, железо, вентилятор 7,5 квт, электрический калорифер 41+41 кВт</t>
  </si>
  <si>
    <t>CB55FE31MTPNS</t>
  </si>
  <si>
    <t>Шкаф управления CB55FE31MTPNS</t>
  </si>
  <si>
    <t>500/600/220</t>
  </si>
  <si>
    <t>IP54, железо, вентилятор 5,5 квт, электрический калорифер 26+26+26 кВт, AI-5, AO-3, DI-6, DO-6, Modbus RTU</t>
  </si>
  <si>
    <t>CB55FE32MTPNS</t>
  </si>
  <si>
    <t>Шкаф управления CB55FE32MTPNS</t>
  </si>
  <si>
    <t>IP54, железо, вентилятор 5,5 квт, электрический калорифер 32+32+32 кВт, AI-5, AO-3, DI-6, DO-6, Modbus RTU</t>
  </si>
  <si>
    <t>CB55FE33MTPNS</t>
  </si>
  <si>
    <t>Шкаф управления CB55FE33MTPNS</t>
  </si>
  <si>
    <t>IP54, железо, вентилятор 5,5 квт, электрический калорифер 36+36+36 кВт, AI-5, AO-3, DI-6, DO-6, Modbus RTU</t>
  </si>
  <si>
    <t>CB55FE34MTPNS</t>
  </si>
  <si>
    <t>Шкаф управления CB55FE34MTPNS</t>
  </si>
  <si>
    <t>IP54, железо, вентилятор 5,5 квт, электрический калорифер 41+41+41 кВт, AI-5, AO-3, DI-6, DO-6, Modbus RTU</t>
  </si>
  <si>
    <t>CB75FE31MTPNS</t>
  </si>
  <si>
    <t>Шкаф управления CB75FE31MTPNS</t>
  </si>
  <si>
    <t>IP54, железо, вентилятор 7,5 квт, электрический калорифер 26+26+26 кВт, AI-5, AO-3, DI-6, DO-6, Modbus RTU</t>
  </si>
  <si>
    <t>CB75FE32MTPNS</t>
  </si>
  <si>
    <t>Шкаф управления CB75FE32MTPNS</t>
  </si>
  <si>
    <t>IP54, железо, вентилятор 7,5 квт, электрический калорифер 32+32+32 кВт,, AI-5, AO-3, DI-6, DO-6, Modbus RTU</t>
  </si>
  <si>
    <t>CB75FE33MTPNS</t>
  </si>
  <si>
    <t>Шкаф управления CB75FE33MTPNS</t>
  </si>
  <si>
    <t>IP54, железо, вентилятор 7,5 квт, электрический калорифер 36+36+36 кВт, AI-5, AO-3, DI-6, DO-6, Modbus RTU</t>
  </si>
  <si>
    <t>CB75FE34MTPNS</t>
  </si>
  <si>
    <t>Шкаф управления CB75FE34MTPNS</t>
  </si>
  <si>
    <t>IP54, железо, вентилятор 7,5 квт, электрический калорифер 41+41+41 кВт, AI-5, AO-3, DI-6, DO-6, Modbus RTU</t>
  </si>
  <si>
    <t>CB11FE31MTPNS</t>
  </si>
  <si>
    <t>Шкаф управления CB11FE31MTPNS</t>
  </si>
  <si>
    <t>IP54, железо, вентилятор 11 квт, электрический калорифер 26+26+26 кВт, AI-5, AO-3, DI-6, DO-6, Modbus RTU</t>
  </si>
  <si>
    <t>CB11FE32MTPNS</t>
  </si>
  <si>
    <t>Шкаф управления CB11FE32MTPNS</t>
  </si>
  <si>
    <t>IP54, железо, вентилятор 11 квт, электрический калорифер 32+32+32 кВт, AI-5, AO-3, DI-6, DO-6, Modbus RTU</t>
  </si>
  <si>
    <t>CB11FE33MTPNS</t>
  </si>
  <si>
    <t>Шкаф управления CB11FE33MTPNS</t>
  </si>
  <si>
    <t>IP54, железо, вентилятор 11 квт, электрический калорифер 36+36+36 кВт, AI-5, AO-3, DI-6, DO-6, Modbus RTU</t>
  </si>
  <si>
    <t>CB11FE34MTPNS</t>
  </si>
  <si>
    <t>Шкаф управления CB11FE34MTPNS</t>
  </si>
  <si>
    <t>IP54, железо, вентилятор 11 квт, электрический калорифер 41+41+41 кВт, AI-5, AO-3, DI-6, DO-6, Modbus RTU</t>
  </si>
  <si>
    <t>CB55FE41MTPNS</t>
  </si>
  <si>
    <t>Шкаф управления CB55FE41MTPNS</t>
  </si>
  <si>
    <t>600/800/250</t>
  </si>
  <si>
    <t>IP54, железо, вентилятор 5,5 квт, электрический калорифер 26+26+26+26 кВт, AI-5, AO-3, DI-6, DO-7, Modbus RTU</t>
  </si>
  <si>
    <t>CB55FE42MTPNS</t>
  </si>
  <si>
    <t>Шкаф управления CB55FE42MTPNS</t>
  </si>
  <si>
    <t>IP54, железо, вентилятор 5,5 квт, электрический калорифер 32+32+32+32 кВт, AI-5, AO-3, DI-6, DO-7, Modbus RTU</t>
  </si>
  <si>
    <t>CB55FE43MTPNS</t>
  </si>
  <si>
    <t>Шкаф управления CB55FE43MTPNS</t>
  </si>
  <si>
    <t>IP54, железо, вентилятор 5,5 квт, электрический калорифер 36+36+36+36 кВт, AI-5, AO-3, DI-6, DO-7, Modbus RTU</t>
  </si>
  <si>
    <t>CB55FE44MTPNS</t>
  </si>
  <si>
    <t>Шкаф управления CB55FE44MTPNS</t>
  </si>
  <si>
    <t>IP54, железо, вентилятор 5,5 квт, электрический калорифер 41+41+41+41 кВт, AI-5, AO-3, DI-6, DO-7, Modbus RTU</t>
  </si>
  <si>
    <t>CB75FE41MTPNS</t>
  </si>
  <si>
    <t>Шкаф управления CB75FE41MTPNS</t>
  </si>
  <si>
    <t>IP54, железо, вентилятор 7,5 квт, электрический калорифер 26+26+26+26 кВт, AI-5, AO-3, DI-6, DO-7, Modbus RTU</t>
  </si>
  <si>
    <t>CB75FE42MTPNS</t>
  </si>
  <si>
    <t>Шкаф управления CB75FE42MTPNS</t>
  </si>
  <si>
    <t>IP54, железо, вентилятор 7,5 квт, электрический калорифер 32+32+32+32 кВт, AI-5, AO-3, DI-6, DO-7, Modbus RTU</t>
  </si>
  <si>
    <t>CB75FE43MTPNS</t>
  </si>
  <si>
    <t>Шкаф управления CB75FE43MTPNS</t>
  </si>
  <si>
    <t>IP54, железо, вентилятор 7,5 квт, электрический калорифер 36+36+36+36 кВт, AI-5, AO-3, DI-6, DO-7, Modbus RTU</t>
  </si>
  <si>
    <t>CB75FE44MTPNS</t>
  </si>
  <si>
    <t>Шкаф управления CB75FE44MTPNS</t>
  </si>
  <si>
    <t>IP54, железо, вентилятор 7,5 квт, электрический калорифер 41+41+41+41 кВт, AI-5, AO-3, DI-6, DO-7, Modbus RTU</t>
  </si>
  <si>
    <t>CB11FE41MTPNS</t>
  </si>
  <si>
    <t>Шкаф управления CB11FE41MTPNS</t>
  </si>
  <si>
    <t>IP54, железо, вентилятор 11 квт, электрический калорифер 26+26+26+26 кВт, AI-5, AO-3, DI-6, DO-7, Modbus RTU</t>
  </si>
  <si>
    <t>CB11FE42MTPNS</t>
  </si>
  <si>
    <t>Шкаф управления CB11FE42MTPNS</t>
  </si>
  <si>
    <t>IP54, железо, вентилятор 11 квт, электрический калорифер 32+32+32+32 кВт, AI-5, AO-3, DI-6, DO-7, Modbus RTU</t>
  </si>
  <si>
    <t>CB11FE43MTPNS</t>
  </si>
  <si>
    <t>Шкаф управления CB11FE43MTPNS</t>
  </si>
  <si>
    <t>IP54, железо, вентилятор 11 квт, электрический калорифер 36+36+36+36 кВт, AI-5, AO-3, DI-6, DO-7, Modbus RTU</t>
  </si>
  <si>
    <t>CB11FE44MTPNS</t>
  </si>
  <si>
    <t>Шкаф управления CB11FE44MTPNS</t>
  </si>
  <si>
    <t>IP54, железо, вентилятор 11 квт, электрический калорифер 41+41+41+41 кВт, AI-5, AO-3, DI-6, DO-7, Modbus RTU</t>
  </si>
  <si>
    <t>CB15FE41MTPNS</t>
  </si>
  <si>
    <t>Шкаф управления CB15FE41MTPNS</t>
  </si>
  <si>
    <t>IP54, железо, вентилятор 15 квт, электрический калорифер 26+26+26+26 кВт, AI-5, AO-3, DI-6, DO-7, Modbus RTU</t>
  </si>
  <si>
    <t>CB15FE42MTPNS</t>
  </si>
  <si>
    <t>Шкаф управления CB15FE42MTPNS</t>
  </si>
  <si>
    <t>IP54, железо, вентилятор 15 квт, электрический калорифер 32+32+32+32 кВт, AI-5, AO-3, DI-6, DO-7, Modbus RTU</t>
  </si>
  <si>
    <t>CB15FE43MTPNS</t>
  </si>
  <si>
    <t>Шкаф управления CB15FE43MTPNS</t>
  </si>
  <si>
    <t>IP54, железо, вентилятор 15 квт, электрический калорифер 36+36+36+36 кВт, AI-5, AO-3, DI-6, DO-7, Modbus RTU</t>
  </si>
  <si>
    <t>CB15FE44MTPNS</t>
  </si>
  <si>
    <t>Шкаф управления CB15FE44MTPNS</t>
  </si>
  <si>
    <t>IP54, железо, вентилятор 15 квт, электрический калорифер 41+41+41+41 кВт, AI-5, AO-3, DI-6, DO-7, Modbus RTU</t>
  </si>
  <si>
    <t>CB55FE51MTPNS</t>
  </si>
  <si>
    <t>Шкаф управления CB55FE51MTPNS</t>
  </si>
  <si>
    <t>IP54, железо, вентилятор 5,5 квт, электрический калорифер 26+26+26+26+26 кВт, AI-5, AO-3, DI-6, DO-8, Modbus RTU</t>
  </si>
  <si>
    <t>CB55FE52MTPNS</t>
  </si>
  <si>
    <t>Шкаф управления CB55FE52MTPNS</t>
  </si>
  <si>
    <t>IP54, железо, вентилятор 5,5 квт, электрический калорифер 32+32+32+32+32 кВт, AI-5, AO-3, DI-6, DO-8, Modbus RTU</t>
  </si>
  <si>
    <t>CB55FE53MTPNS</t>
  </si>
  <si>
    <t>Шкаф управления CB55FE53MTPNS</t>
  </si>
  <si>
    <t>IP54, железо, вентилятор 5,5 квт, электрический калорифер 36+36+36+36+36 кВт, AI-5, AO-3, DI-6, DO-8, Modbus RTU</t>
  </si>
  <si>
    <t>CB55FE54MTPNS</t>
  </si>
  <si>
    <t>Шкаф управления CB55FE54MTPNS</t>
  </si>
  <si>
    <t>IP54, железо, вентилятор 5,5 квт, электрический калорифер 41+41+41+41+41 кВт, AI-5, AO-3, DI-6, DO-8, Modbus RTU</t>
  </si>
  <si>
    <t>CB75FE51MTPNS</t>
  </si>
  <si>
    <t>Шкаф управления CB75FE51MTPNS</t>
  </si>
  <si>
    <t>IP54, железо, вентилятор 7,5 квт, электрический калорифер 26+26+26+26+26 кВт, AI-5, AO-3, DI-6, DO-8, Modbus RTU</t>
  </si>
  <si>
    <t>CB75FE52MTPNS</t>
  </si>
  <si>
    <t>Шкаф управления CB75FE52MTPNS</t>
  </si>
  <si>
    <t>IP54, железо, вентилятор 7,5 квт, электрический калорифер 32+32+32+32+32 кВт, AI-5, AO-3, DI-6, DO-8, Modbus RTU</t>
  </si>
  <si>
    <t>CB75FE53MTPNS</t>
  </si>
  <si>
    <t>Шкаф управления CB75FE53MTPNS</t>
  </si>
  <si>
    <t>IP54, железо, вентилятор 7,5 квт, электрический калорифер 36+36+36+36+36 кВт, AI-5, AO-3, DI-6, DO-8, Modbus RTU</t>
  </si>
  <si>
    <t>CB75FE54MTPNS</t>
  </si>
  <si>
    <t>Шкаф управления CB75FE54MTPNS</t>
  </si>
  <si>
    <t>IP54, железо, вентилятор 7,5 квт, электрический калорифер 41+41+41+41+41 кВт, AI-5, AO-3, DI-6, DO-8, Modbus RTU</t>
  </si>
  <si>
    <t>CB11FE51MTPNS</t>
  </si>
  <si>
    <t>Шкаф управления CB11FE51MTPNS</t>
  </si>
  <si>
    <t>IP54, железо, вентилятор 11 квт, электрический калорифер 26+26+26+26+26 кВт, AI-5, AO-3, DI-6, DO-8, Modbus RTU</t>
  </si>
  <si>
    <t>CB11FE52MTPNS</t>
  </si>
  <si>
    <t>Шкаф управления CB11FE52MTPNS</t>
  </si>
  <si>
    <t>IP54, железо, вентилятор 11 квт, электрический калорифер 32+32+32+32+32 кВт, AI-5, AO-3, DI-6, DO-8, Modbus RTU</t>
  </si>
  <si>
    <t>CB11FE53MTPNS</t>
  </si>
  <si>
    <t>Шкаф управления CB11FE53MTPNS</t>
  </si>
  <si>
    <t>IP54, железо, вентилятор 11 квт, электрический калорифер 36+36+36+36+36 кВт, AI-5, AO-3, DI-6, DO-8, Modbus RTU</t>
  </si>
  <si>
    <t>CB11FE54MTPNS</t>
  </si>
  <si>
    <t>Шкаф управления CB11FE54MTPNS</t>
  </si>
  <si>
    <t>IP54, железо, вентилятор 11 квт, электрический калорифер 41+41+41+41+41 кВт, AI-5, AO-3, DI-6, DO-8, Modbus RTU</t>
  </si>
  <si>
    <t>CB15FE51MTPNS</t>
  </si>
  <si>
    <t>Шкаф управления CB15FE51MTPNS</t>
  </si>
  <si>
    <t>IP54, железо, вентилятор 15 квт, электрический калорифер 26+26+26+26+26 кВт, AI-5, AO-3, DI-6, DO-8, Modbus RTU</t>
  </si>
  <si>
    <t>CB15FE52MTPNS</t>
  </si>
  <si>
    <t>Шкаф управления CB15FE52MTPNS</t>
  </si>
  <si>
    <t>IP54, железо, вентилятор 15 квт, электрический калорифер 32+32+32+32+32 кВт, AI-5, AO-3, DI-6, DO-8, Modbus RTU</t>
  </si>
  <si>
    <t>CB15FE53MTPNS</t>
  </si>
  <si>
    <t>Шкаф управления CB15FE53MTPNS</t>
  </si>
  <si>
    <t>IP54, железо, вентилятор 15 квт, электрический калорифер 36+36+36+36+36 кВт, AI-5, AO-3, DI-6, DO-8, Modbus RTU</t>
  </si>
  <si>
    <t>CB15FE54MTPNS</t>
  </si>
  <si>
    <t>Шкаф управления CB15FE54MTPNS</t>
  </si>
  <si>
    <t>IP54, железо, вентилятор 15 квт, электрический калорифер 41+41+41+41+41 кВт, AI-5, AO-3, DI-6, DO-8, Modbus RTU</t>
  </si>
  <si>
    <t>CB40PL1MTPNS</t>
  </si>
  <si>
    <t>Щит управления CB40PL1MTPNS</t>
  </si>
  <si>
    <t>CB40PL2MTPNS</t>
  </si>
  <si>
    <t>Щит управления CB40PL2MTPNS</t>
  </si>
  <si>
    <t>CB40PL3MTPNS</t>
  </si>
  <si>
    <t>Щит управления CB40PL3MTPNS</t>
  </si>
  <si>
    <t>CB40PL4MTPNS</t>
  </si>
  <si>
    <t>Щит управления CB40PL4MTPNS</t>
  </si>
  <si>
    <t>CB55FE11MTPNS</t>
  </si>
  <si>
    <t>Шкаф управления CB55FE11MTPNS</t>
  </si>
  <si>
    <t>IP54, железо, вентилятор 5,5 квт, электрический калорифер 26 кВт, фреоновый охладитель,  Modbus RTU</t>
  </si>
  <si>
    <t>CB55FE12MTPNS</t>
  </si>
  <si>
    <t>Шкаф управления CB55FE12MTPNS</t>
  </si>
  <si>
    <t>IP54, железо, вентилятор 5,5 квт, электрический калорифер 32 кВт, фреоновый охладитель,  Modbus RTU</t>
  </si>
  <si>
    <t>CB55FE13MTPNS</t>
  </si>
  <si>
    <t>Шкаф управления CB55FE13MTPNS</t>
  </si>
  <si>
    <t>IP54, железо, вентилятор 5,5 квт, электрический калорифер 36 кВт, фреоновый охладитель,  Modbus RTU</t>
  </si>
  <si>
    <t>CB55FE14MTPNS</t>
  </si>
  <si>
    <t>Шкаф управления CB55FE14MTPNS</t>
  </si>
  <si>
    <t>IP54, железо, вентилятор 5,5 квт, электрический калорифер 41 кВт, фреоновый охладитель,  Modbus RTU</t>
  </si>
  <si>
    <t>CB55FE21MTPNS</t>
  </si>
  <si>
    <t>Шкаф управления CB55FE21MTPNS</t>
  </si>
  <si>
    <t>IP54, железо, вентилятор 5,5 квт, электрический калорифер 26+26 кВт,  Modbus RTU</t>
  </si>
  <si>
    <t>CB55FE22MTPNS</t>
  </si>
  <si>
    <t>Шкаф управления CB55FE22MTPNS</t>
  </si>
  <si>
    <t>IP54, железо, вентилятор 5,5 квт, электрический калорифер 32+32 кВт,  Modbus RTU</t>
  </si>
  <si>
    <t>CB55FE23MTPNS</t>
  </si>
  <si>
    <t>Шкаф управления CB55FE23MTPNS</t>
  </si>
  <si>
    <t>IP54, железо, вентилятор 5,5 квт, электрический калорифер 36+36 кВт,  Modbus RTU</t>
  </si>
  <si>
    <t>CB55FE24MTPNS</t>
  </si>
  <si>
    <t>Шкаф управления CB55FE24MTPNS</t>
  </si>
  <si>
    <t>IP54, железо, вентилятор 5,5 квт, электрический калорифер 41+41 кВт,  Modbus RTU</t>
  </si>
  <si>
    <t>CB75FE21MTPNS</t>
  </si>
  <si>
    <t>Шкаф управления CB75FE21MTPNS</t>
  </si>
  <si>
    <t>IP54, железо, вентилятор 7,5 квт, электрический калорифер 26+26 кВт,  Modbus RTU</t>
  </si>
  <si>
    <t>CB75FE22MTPNS</t>
  </si>
  <si>
    <t>Шкаф управления CB75FE22MTPNS</t>
  </si>
  <si>
    <t>IP54, железо, вентилятор 7,5 квт, электрический калорифер 32+32 кВт,  Modbus RTU</t>
  </si>
  <si>
    <t>CB75FE23MTPNS</t>
  </si>
  <si>
    <t>Шкаф управления CB75FE23MTPNS</t>
  </si>
  <si>
    <t>IP54, железо, вентилятор 7,5 квт, электрический калорифер 36+36 кВт,  Modbus RTU</t>
  </si>
  <si>
    <t>CB75FE24MTPNS</t>
  </si>
  <si>
    <t>Шкаф управления CB75FE24MTPNS</t>
  </si>
  <si>
    <t>IP54, железо, вентилятор 7,5 квт, электрический калорифер 41+41 кВт,  Modbus RTU</t>
  </si>
  <si>
    <t>ЩИТЫ УПРАВЛЕНИЯ ПРИТОЧНО-ВЫТЯЖНЫМИ СИСТЕМАМИ (Smart HVAC)</t>
  </si>
  <si>
    <t>Группа Middle (M)</t>
  </si>
  <si>
    <t>CB55PL0AHUM</t>
  </si>
  <si>
    <t>Щит управления CB55PL0AHUM</t>
  </si>
  <si>
    <t>вентиляторы 5,5 кВт, AO 3  шт., AI 5 шт., DO 4 шт., DI 2 шт., контроллер TM171OD14R</t>
  </si>
  <si>
    <t>CB75PL0AHUM</t>
  </si>
  <si>
    <t>Щит управления CB75PL0AHUM</t>
  </si>
  <si>
    <t>вентиляторы 7,5 кВт, AO 3  шт., AI 5 шт., DO 4 шт., DI 2 шт., контроллер TM171OD14R</t>
  </si>
  <si>
    <t>CB11PL0AHUM</t>
  </si>
  <si>
    <t>Щит управления CB11PL0AHUM</t>
  </si>
  <si>
    <t>вентиляторы 11 кВт, AO 3  шт., AI 5 шт., DO 4 шт., DI 2 шт., контроллер TM171OD14R</t>
  </si>
  <si>
    <t>CB15PL0AHUM</t>
  </si>
  <si>
    <t>Щит управления CB15PL0AHUM</t>
  </si>
  <si>
    <t>вентиляторы 15 кВт, AO 3  шт., AI 5 шт., DO 4 шт., DI 2 шт., контроллер TM171OD14R</t>
  </si>
  <si>
    <t>CB55PL0AHUNM</t>
  </si>
  <si>
    <t>Щит управления CB55PL0AHUNM</t>
  </si>
  <si>
    <t>CB75PL0AHUNM</t>
  </si>
  <si>
    <t>Щит управления CB75PL0AHUNM</t>
  </si>
  <si>
    <t>CB11PL0AHUNM</t>
  </si>
  <si>
    <t>Щит управления CB11PL0AHUNM</t>
  </si>
  <si>
    <t>CB15PL0AHUNM</t>
  </si>
  <si>
    <t>Щит управления CB15PL0AHUNM</t>
  </si>
  <si>
    <t>CB55PL1AHUM</t>
  </si>
  <si>
    <t>Щит управления CB55PL1AHUM</t>
  </si>
  <si>
    <t>вентиляторы 5,5 кВт, AO 3  шт., AI 5 шт., DO 5 шт., DI 6 шт., контроллер TM171OD22R</t>
  </si>
  <si>
    <t>CB75PL1AHUM</t>
  </si>
  <si>
    <t>Щит управления CB75PL1AHUM</t>
  </si>
  <si>
    <t>вентиляторы 7,5 кВт, AO 3  шт., AI 5 шт., DO 5 шт., DI 6 шт., контроллер TM171OD22R</t>
  </si>
  <si>
    <t>CB11PL1AHUM</t>
  </si>
  <si>
    <t>Щит управления CB11PL1AHUM</t>
  </si>
  <si>
    <t>вентиляторы 11 кВт, AO 3  шт., AI 5 шт., DO 5 шт., DI 6 шт., контроллер TM171OD22R</t>
  </si>
  <si>
    <t>CB15PL1AHUM</t>
  </si>
  <si>
    <t>Щит управления CB15PL1AHUM</t>
  </si>
  <si>
    <t>вентиляторы 15 кВт, AO 3  шт., AI 5 шт., DO 5 шт., DI 6 шт., контроллер TM171OD22R</t>
  </si>
  <si>
    <t>CB55PL1AHUNM</t>
  </si>
  <si>
    <t>Щит управления CB55PL1AHUNM</t>
  </si>
  <si>
    <t>CB75PL1AHUNM</t>
  </si>
  <si>
    <t>Щит управления CB75PL1AHUNM</t>
  </si>
  <si>
    <t>CB11PL1AHUNM</t>
  </si>
  <si>
    <t>Щит управления CB11PL1AHUNM</t>
  </si>
  <si>
    <t>CB15PL1AHUNM</t>
  </si>
  <si>
    <t>Щит управления CB15PL1AHUNM</t>
  </si>
  <si>
    <t>CB55FE1AHUNM</t>
  </si>
  <si>
    <t>Щит управления CB55FE1AHUNM</t>
  </si>
  <si>
    <t>400/500/200</t>
  </si>
  <si>
    <t>вентиляторы 5,5 кВт, AO 3  шт., AI 5 шт., DO 5 шт., DI 6 шт., контроллер TM171OFM22R, IP66, железо</t>
  </si>
  <si>
    <t>CB75FE1AHUNM</t>
  </si>
  <si>
    <t>Щит управления CB75FE1AHUNM</t>
  </si>
  <si>
    <t>вентиляторы 7,5 кВт, AO 3  шт., AI 5 шт., DO 5 шт., DI 6 шт., контроллер TM171OFM22R, IP66, железо</t>
  </si>
  <si>
    <t>CB11FE1AHUNM</t>
  </si>
  <si>
    <t>Щит управления CB11FE1AHUNM</t>
  </si>
  <si>
    <t>вентиляторы 11 кВт, AO 3  шт., AI 5 шт., DO 5 шт., DI 6 шт., контроллер TM171OFM22R, IP66, железо</t>
  </si>
  <si>
    <t>CB15FE1AHUNM</t>
  </si>
  <si>
    <t>Щит управления CB15FE1AHUNM</t>
  </si>
  <si>
    <t>вентиляторы 15 кВт, AO 3  шт., AI 5 шт., DO 5 шт., DI 6 шт., контроллер TM171OFM22R, IP66, железо</t>
  </si>
  <si>
    <t>CB55PL0MTPM</t>
  </si>
  <si>
    <t>Щит управления CB55PL0MTPM</t>
  </si>
  <si>
    <t>вентилятор 5,5 кВт, калориф. 10 кВт, AO 3  шт., AI 5 шт., DO 4 шт., DI 2 шт., контроллер TM171OD14R</t>
  </si>
  <si>
    <t>CB75PL0MTPM</t>
  </si>
  <si>
    <t>Щит управления CB75PL0MTPM</t>
  </si>
  <si>
    <t>вентилятор 7,5 кВт, калориф. 13 кВт, AO 3  шт., AI 5 шт., DO 4 шт., DI 2 шт., контроллер TM171OD14R</t>
  </si>
  <si>
    <t>CB11PL0MTPM</t>
  </si>
  <si>
    <t>Щит управления CB11PL0MTPM</t>
  </si>
  <si>
    <t>вентилятор 11 кВт, калориф. 16 кВт, AO 3  шт., AI 5 шт., DO 4 шт., DI 2 шт., контроллер TM171OD14R</t>
  </si>
  <si>
    <t>CB15PL0MTPM</t>
  </si>
  <si>
    <t>Щит управления CB15PL0MTPM</t>
  </si>
  <si>
    <t>вентилятор 15 кВт, калориф. 21 кВт, AO 3  шт., AI 5 шт., DO 4 шт., DI 2 шт., контроллер TM171OD14R</t>
  </si>
  <si>
    <t>CB55PL0MTPNM</t>
  </si>
  <si>
    <t>Щит управления CB55PL0MTPNM</t>
  </si>
  <si>
    <t>IP65, пластик</t>
  </si>
  <si>
    <t>CB75PL0MTPNM</t>
  </si>
  <si>
    <t>Щит управления CB75PL0MTPNM</t>
  </si>
  <si>
    <t>CB11PL0MTPNM</t>
  </si>
  <si>
    <t>Щит управления CB11PL0MTPNM</t>
  </si>
  <si>
    <t>CB15PL0MTPNM</t>
  </si>
  <si>
    <t>Щит управления CB15PL0MTPNM</t>
  </si>
  <si>
    <t>CB55PL1MTPM</t>
  </si>
  <si>
    <t>Щит управления CB55PL1MTPM</t>
  </si>
  <si>
    <t>448/610/160</t>
  </si>
  <si>
    <t>вентилятор 5,5 кВт, калориф. 2 ступ. 10 кВт, AO 3  шт., AI 5 шт., DO 6 шт., DI 6 шт., контроллер TM171OD22R</t>
  </si>
  <si>
    <t>CB75PL1MTPM</t>
  </si>
  <si>
    <t>Щит управления CB75PL1MTPM</t>
  </si>
  <si>
    <t>вентилятор 7,5 кВт, калориф. 2 ступ. 13 кВт, AO 3  шт., AI 5 шт., DO 6 шт., DI 6 шт., контроллер TM171OD22R</t>
  </si>
  <si>
    <t>CB11PL1MTPM</t>
  </si>
  <si>
    <t>Щит управления CB11PL1MTPM</t>
  </si>
  <si>
    <t>вентилятор 11 кВт, калориф. 2 ступ.16 кВт, AO 3  шт., AI 5 шт., DO 6 шт., DI 6 шт., контроллер TM171OD22R</t>
  </si>
  <si>
    <t>CB15PL1MTPM</t>
  </si>
  <si>
    <t>Щит управления CB15PL1MTPM</t>
  </si>
  <si>
    <t>вентилятор 15 кВт, калориф. 2 ступ. 21 кВт, AO 3  шт., AI 5 шт., DO 6 шт., DI 6 шт., контроллер TM171OD22R</t>
  </si>
  <si>
    <t>CB55PL1MTPNM</t>
  </si>
  <si>
    <t>Щит управления CB55PL1MTPNM</t>
  </si>
  <si>
    <t>CB75PL1MTPNM</t>
  </si>
  <si>
    <t>Щит управления CB75PL1MTPNM</t>
  </si>
  <si>
    <t>CB11PL1MTPNM</t>
  </si>
  <si>
    <t>Щит управления CB11PL1MTPNM</t>
  </si>
  <si>
    <t>CB15PL1MTPNM</t>
  </si>
  <si>
    <t>Щит управления CB15PL1MTPNM</t>
  </si>
  <si>
    <t>CB55FE1MTPNM</t>
  </si>
  <si>
    <t>Щит управления CB55FE1MTPNM</t>
  </si>
  <si>
    <t>500/600/200</t>
  </si>
  <si>
    <t>вентилятор 5,5 кВт, калориф. 2 ступ. 10 кВт, AO 3  шт., AI 5 шт., DO 6 шт., DI 6 шт., контроллер TM171OFM22R, IP66, железо</t>
  </si>
  <si>
    <t>CB75FE1MTPNM</t>
  </si>
  <si>
    <t>Щит управления CB75FE1MTPNM</t>
  </si>
  <si>
    <t>вентилятор 7,5 кВт, калориф. 2 ступ. 13 кВт, AO 3  шт., AI 5 шт., DO 6 шт., DI 6 шт., контроллер TM171OFM22R, IP66, железо</t>
  </si>
  <si>
    <t>CB11FE1MTPNM</t>
  </si>
  <si>
    <t>Щит управления CB11FE1MTPNM</t>
  </si>
  <si>
    <t>вентилятор 11 кВт, калориф. 2 ступ.16 кВт, AO 3  шт., AI 5 шт., DO 6 шт., DI 6 шт., контроллер TM171OFM22R, IP66, железо</t>
  </si>
  <si>
    <t>CB15FE1MTPNM</t>
  </si>
  <si>
    <t>Щит управления CB15FE1MTPNM</t>
  </si>
  <si>
    <t>вентилятор 15 кВт, калориф. 2 ступ. 21 кВт, AO 3  шт., AI 5 шт., DO 6 шт., DI 6 шт., контроллер TM171OFM22R, IP66, железо</t>
  </si>
  <si>
    <t>Группа Large (L)</t>
  </si>
  <si>
    <t>CB55PL1AHUL</t>
  </si>
  <si>
    <t>Щит управления CB55PL1AHUL</t>
  </si>
  <si>
    <t>вентиляторы 3 шт. 5,5 кВт, AO 4 шт., AI 8 шт., DO 7 шт., DI 8 шт., контроллер TM172PDG28R, IP65, пластик</t>
  </si>
  <si>
    <t>CB75PL1AHUL</t>
  </si>
  <si>
    <t>Щит управления CB75PL1AHUL</t>
  </si>
  <si>
    <t>вентиляторы 3 шт. 7,5 кВт, AO 4 шт., AI 8 шт., DO 7 шт., DI 8 шт., контроллер TM172PDG28R, IP65, пластик</t>
  </si>
  <si>
    <t>CB11PL1AHUL</t>
  </si>
  <si>
    <t>Щит управления CB11PL1AHUL</t>
  </si>
  <si>
    <t>вентиляторы 3 шт. 11 кВт, AO 4 шт., AI 8 шт., DO 7 шт., DI 8 шт., контроллер TM172PDG28R, IP65, пластик</t>
  </si>
  <si>
    <t>CB15PL1AHUL</t>
  </si>
  <si>
    <t>Щит управления CB15PL1AHUL</t>
  </si>
  <si>
    <t>вентиляторы 3 шт. 15 кВт, AO 4 шт., AI 8 шт., DO 7 шт., DI 8 шт., контроллер TM172PDG28R, IP65, пластик</t>
  </si>
  <si>
    <t>CB55PL1AHUL2</t>
  </si>
  <si>
    <t>Шкаф управления CB55PL1AHUL2</t>
  </si>
  <si>
    <t>IP65, пластик, три двигателя 5,5 кВт, насосы-2, AI-8, AO-4, DI-8, DO-7, Modbus, Ethernet, Bacnet</t>
  </si>
  <si>
    <t>CB75PL1AHUL2</t>
  </si>
  <si>
    <t>Шкаф управления CB75PL1AHUL2</t>
  </si>
  <si>
    <t>IP65, пластик, три двигателя 7,5 кВт, насосы-2, AI-8, AO-4, DI-8, DO-7, Modbus, Ethernet, Bacnet</t>
  </si>
  <si>
    <t>CB11PL1AHUL2</t>
  </si>
  <si>
    <t>Шкаф управления CB11PL1AHUL2</t>
  </si>
  <si>
    <t>IP65, пластик, три двигателя 11 кВт, насосы-2, AI-8, AO-4, DI-8, DO-7, Modbus, Ethernet, Bacnet</t>
  </si>
  <si>
    <t>CB15PL1AHUL2</t>
  </si>
  <si>
    <t>Шкаф управления CB15PL1AHUL2</t>
  </si>
  <si>
    <t>IP65, пластик, три двигателя 15 кВт, насосы-2, AI-8, AO-4, DI-8, DO-7, Modbus, Ethernet, Bacnet</t>
  </si>
  <si>
    <t>CB55PL1AHUL3</t>
  </si>
  <si>
    <t>Шкаф управления CB55PL1AHUL3</t>
  </si>
  <si>
    <t>IP65, пластик, три двигателя 5,5 кВт, насосы-3, AI-8, AO-4, DI-8, DO-7, Modbus, Ethernet, Bacnet</t>
  </si>
  <si>
    <t>CB75PL1AHUL3</t>
  </si>
  <si>
    <t>Шкаф управления CB75PL1AHUL3</t>
  </si>
  <si>
    <t>IP65, пластик, три двигателя 7,5 кВт, насосы-3, AI-8, AO-4, DI-8, DO-7, Modbus, Ethernet, Bacnet</t>
  </si>
  <si>
    <t>CB11PL1AHUL3</t>
  </si>
  <si>
    <t>Шкаф управления CB11PL1AHUL3</t>
  </si>
  <si>
    <t>IP65, пластик, три двигателя 11 кВт, насосы-3, AI-8, AO-4, DI-8, DO-7, Modbus, Ethernet, Bacnet</t>
  </si>
  <si>
    <t>CB15PL1AHUL3</t>
  </si>
  <si>
    <t>Шкаф управления CB15PL1AHUL3</t>
  </si>
  <si>
    <t>IP65, пластик, три двигателя 15 кВт, насосы-3, AI-8, AO-4, DI-8, DO-7, Modbus, Ethernet, Bacnet</t>
  </si>
  <si>
    <t>CB55PL2AHUL</t>
  </si>
  <si>
    <t>Щит управления CB55PL2AHUL</t>
  </si>
  <si>
    <t>вентиляторы 4 шт. 5,5 кВт, AO 5 шт., AI 12 шт., DO 9 шт., DI 12 шт., контроллер TM172PDG42R, IP65, пластик</t>
  </si>
  <si>
    <t>CB75PL2AHUL</t>
  </si>
  <si>
    <t>Щит управления CB75PL2AHUL</t>
  </si>
  <si>
    <t>вентиляторы 4 шт. 7,5 кВт, AO 5 шт., AI 12 шт., DO 9 шт., DI 12 шт., контроллер TM172PDG42R, IP65, пластик</t>
  </si>
  <si>
    <t>CB11PL2AHUL</t>
  </si>
  <si>
    <t>Щит управления CB11PL2AHUL</t>
  </si>
  <si>
    <t>вентиляторы 4 шт. 11 кВт, AO 5 шт., AI 12 шт., DO 9 шт., DI 12 шт., контроллер TM172PDG42R, IP65, пластик</t>
  </si>
  <si>
    <t>CB15PL2AHUL</t>
  </si>
  <si>
    <t>Щит управления CB15PL2AHUL</t>
  </si>
  <si>
    <t>вентиляторы 4 шт. 15 кВт, AO 5 шт., AI 12 шт., DO 9 шт., DI 12 шт., контроллер TM172PDG42R, IP65, пластик</t>
  </si>
  <si>
    <t>CB55PL2AHUL2</t>
  </si>
  <si>
    <t>Шкаф управления CB55PL2AHUL2</t>
  </si>
  <si>
    <t>IP65, пластик, четыре двигателя 5,5 кВт, насосы-2, AI-12, AO-5, DI-12, DO-10, Modbus, Ethernet, Bacnet</t>
  </si>
  <si>
    <t>CB75PL2AHUL2</t>
  </si>
  <si>
    <t>Шкаф управления CB75PL2AHUL2</t>
  </si>
  <si>
    <t>IP65, пластик, четыре двигателя 7,5 кВт, насосы-2, AI-12, AO-5, DI-12, DO-10, Modbus, Ethernet, Bacnet</t>
  </si>
  <si>
    <t>CB11PL2AHUL2</t>
  </si>
  <si>
    <t>Шкаф управления CB11PL2AHUL2</t>
  </si>
  <si>
    <t>IP65, пластик, четыре двигателя 11 кВт, насосы-2, AI-12, AO-5, DI-12, DO-10, Modbus, Ethernet, Bacnet</t>
  </si>
  <si>
    <t>CB15PL2AHUL2</t>
  </si>
  <si>
    <t>Шкаф управления CB15PL2AHUL2</t>
  </si>
  <si>
    <t>IP65, пластик, четыре двигателя 15 кВт, насосы-2, AI-12, AO-5, DI-12, DO-10, Modbus, Ethernet, Bacnet</t>
  </si>
  <si>
    <t>CB55PL2AHUL3</t>
  </si>
  <si>
    <t>Шкаф управления CB55PL2AHUL3</t>
  </si>
  <si>
    <t>IP65, пластик, четыре двигателя 5,5 кВт, насосы-3, AI-12, AO-5, DI-12, DO-11, Modbus, Ethernet, Bacnet</t>
  </si>
  <si>
    <t>CB75PL2AHUL3</t>
  </si>
  <si>
    <t>Шкаф управления CB75PL2AHUL3</t>
  </si>
  <si>
    <t>IP65, пластик, четыре двигателя 7,5 кВт, насосы-3, AI-12, AO-5, DI-12, DO-11, Modbus, Ethernet, Bacnet</t>
  </si>
  <si>
    <t>CB11PL2AHUL3</t>
  </si>
  <si>
    <t>Шкаф управления CB11PL2AHUL3</t>
  </si>
  <si>
    <t>IP65, пластик, четыре двигателя 11 кВт, насосы-3, AI-12, AO-5, DI-12, DO-11, Modbus, Ethernet, Bacnet</t>
  </si>
  <si>
    <t>CB15PL2AHUL3</t>
  </si>
  <si>
    <t>Шкаф управления CB15PL2AHUL3</t>
  </si>
  <si>
    <t>IP65, пластик, четыре двигателя 15 кВт, насосы-3, AI-12, AO-5, DI-12, DO-11, Modbus, Ethernet, Bacnet</t>
  </si>
  <si>
    <t>CB55PL3AHUL</t>
  </si>
  <si>
    <t>Щит управления CB55PL3AHUL</t>
  </si>
  <si>
    <t>448/842/160</t>
  </si>
  <si>
    <t>вентиляторы 5 шт. 5,5 кВт, AO 6 шт., AI 16 шт., DO 11 шт., DI 16 шт., контроллер TM172PDG42R+TM171EP14R, IP65, пластик</t>
  </si>
  <si>
    <t>CB75PL3AHUL</t>
  </si>
  <si>
    <t>Щит управления CB75PL3AHUL</t>
  </si>
  <si>
    <t>вентиляторы 5 шт. 7,5 кВт, AO 6 шт., AI 16 шт., DO 11 шт., DI 16 шт., контроллер TM172PDG42R+TM171EP14R, IP65, пластик</t>
  </si>
  <si>
    <t>CB55PL1MTPL</t>
  </si>
  <si>
    <t>Щит управления CB55PL1MTPL</t>
  </si>
  <si>
    <t>вентилятор 5,5 кВт, калорифер 3 ст. 10 кВт, AO 4 шт., AI 8 шт., DO 8 шт., DI 8 шт., контроллер TM172PDG28R, IP65, пластик</t>
  </si>
  <si>
    <t>CB75PL1MTPL</t>
  </si>
  <si>
    <t>Щит управления CB75PL1MTPL</t>
  </si>
  <si>
    <t>вентилятор 7,5 кВт, калорифер 3 ст. 13 кВт, AO 4 шт., AI 8 шт., DO 8 шт., DI 8 шт., контроллер TM172PDG28R, IP65, пластик</t>
  </si>
  <si>
    <t>CB11PL1MTPL</t>
  </si>
  <si>
    <t>Щит управления CB11PL1MTPL</t>
  </si>
  <si>
    <t>вентилятор 11 кВт, калорифер 3 ст. 16 кВт, AO 4 шт., AI 8 шт., DO 8 шт., DI 8 шт., контроллер TM172PDG28R, IP65, пластик</t>
  </si>
  <si>
    <t>CB15PL1MTPL</t>
  </si>
  <si>
    <t>Щит управления CB15PL1MTPL</t>
  </si>
  <si>
    <t>вентилятор 15 кВт, калорифер 3 ст. 21 кВт, AO 4 шт., AI 8 шт., DO 8 шт., DI 8 шт., контроллер TM172PDG28R, IP65, пластик</t>
  </si>
  <si>
    <t>CB55PL2MTPL</t>
  </si>
  <si>
    <t>Щит управления CB55PL2MTPL</t>
  </si>
  <si>
    <t>вентилятор 5,5 кВт, калорифер 4 ст. 10 кВт, AO 5 шт., AI 12 шт., DO 10 шт., DI 12 шт., контроллер TM172PDG42R, IP65, пластик</t>
  </si>
  <si>
    <t>CB75PL2MTPL</t>
  </si>
  <si>
    <t>Щит управления CB75PL2MTPL</t>
  </si>
  <si>
    <t>вентилятор 7,5 кВт, калорифер 4 ст. 13 кВт, AO 5 шт., AI 12 шт., DO 10 шт., DI 12 шт., контроллер TM172PDG42R, IP65, пластик</t>
  </si>
  <si>
    <t>CB55FE1AHUL</t>
  </si>
  <si>
    <t>Щит управления CB55FE1AHUL</t>
  </si>
  <si>
    <t>вентиляторы 3 шт. 5,5 кВт, AO 4 шт., AI 8 шт., DO 7 шт., DI 8 шт., TM172PBG28R+TM171DGRP, IP66, железо</t>
  </si>
  <si>
    <t>CB75FE1AHUL</t>
  </si>
  <si>
    <t>Щит управления CB75FE1AHUL</t>
  </si>
  <si>
    <t>вентиляторы 3 шт. 7,5 кВт, AO 4 шт., AI 8 шт., DO 7 шт., DI 8 шт., TM172PBG28R+TM171DGRP, IP66, железо</t>
  </si>
  <si>
    <t>CB11FE1AHUL</t>
  </si>
  <si>
    <t>Щит управления CB11FE1AHUL</t>
  </si>
  <si>
    <t>вентиляторы 3 шт. 11 кВт, AO 4 шт., AI 8 шт., DO 7 шт., DI 8 шт., TM172PBG28R+TM171DGRP, IP66, железо</t>
  </si>
  <si>
    <t>CB15FE1AHUL</t>
  </si>
  <si>
    <t>Щит управления CB15FE1AHUL</t>
  </si>
  <si>
    <t>вентиляторы 3 шт. 15 кВт, AO 4 шт., AI 8 шт., DO 7 шт., DI 8 шт., TM172PBG28R+TM171DGRP, IP66, железо</t>
  </si>
  <si>
    <t>CB18FE1AHUL</t>
  </si>
  <si>
    <t>Щит управления CB18FE1AHUL</t>
  </si>
  <si>
    <t>вентиляторы 3 шт. 18,5 кВт, AO 4 шт., AI 8 шт., DO 7 шт., DI 8 шт., TM172PBG28R+TM171DGRP, IP66, железо</t>
  </si>
  <si>
    <t>CB22FE1AHUL</t>
  </si>
  <si>
    <t>Щит управления CB22FE1AHUL</t>
  </si>
  <si>
    <t>вентиляторы 3 шт. 22 кВт, AO 4 шт., AI 8 шт., DO 7 шт., DI 8 шт., TM172PBG28R+TM171DGRP, IP66, железо</t>
  </si>
  <si>
    <t>CB30FE1AHUL</t>
  </si>
  <si>
    <t>Щит управления CB30FE1AHUL</t>
  </si>
  <si>
    <t>вентиляторы 3 шт. 30 кВт, AO 4 шт., AI 8 шт., DO 7 шт., DI 8 шт., TM172PBG28R+TM171DGRP, IP66, железо</t>
  </si>
  <si>
    <t>CB55FE1AHUL2</t>
  </si>
  <si>
    <t>Шкаф управления CB55FE1AHUL2</t>
  </si>
  <si>
    <t>IP66, железо, три двигателя 5,5 кВт, насосы-2, AI-8, AO-4, DI-8, DO-7, Modbus, Ethernet, Bacnet</t>
  </si>
  <si>
    <t>CB75FE1AHUL2</t>
  </si>
  <si>
    <t>Шкаф управления CB75FE1AHUL2</t>
  </si>
  <si>
    <t>IP66, железо, три двигателя 7,5 кВт, насосы-2, AI-8, AO-4, DI-8, DO-7, Modbus, Ethernet, Bacnet</t>
  </si>
  <si>
    <t>CB11FE1AHUL2</t>
  </si>
  <si>
    <t>Щкаф управления CB11FE1AHUL2</t>
  </si>
  <si>
    <t>IP66, железо, три двигателя 11 кВт, насосы-2, AI-8, AO-4, DI-8, DO-7, Modbus, Ethernet, Bacnet</t>
  </si>
  <si>
    <t>CB15FE1AHUL2</t>
  </si>
  <si>
    <t>Шкаф управления CB15FE1AHUL2</t>
  </si>
  <si>
    <t>IP66, железо, три двигателя 15 кВт, насосы-2, AI-8, AO-4, DI-8, DO-7, Modbus, Ethernet, Bacnet</t>
  </si>
  <si>
    <t>CB18FE1AHUL2</t>
  </si>
  <si>
    <t>Шкаф управления CB18FE1AHUL2</t>
  </si>
  <si>
    <t>IP66, железо, три двигателя 18 кВт, насосы-2, AI-8, AO-4, DI-8, DO-7, Modbus, Ethernet, Bacnet</t>
  </si>
  <si>
    <t>CB22FE1AHUL2</t>
  </si>
  <si>
    <t>Шкаф управления CB22FE1AHUL2</t>
  </si>
  <si>
    <t>IP66, железо, три двигателя 22 кВт, насосы-2, AI-8, AO-4, DI-8, DO-7, Modbus, Ethernet, Bacnet</t>
  </si>
  <si>
    <t>CB30FE1AHUL2</t>
  </si>
  <si>
    <t>Шкаф управления CB30FE1AHUL2</t>
  </si>
  <si>
    <t>IP66, железо, три двигателя 30 кВт, насосы-2, AI-8, AO-4, DI-8, DO-7, Modbus, Ethernet, Bacnet</t>
  </si>
  <si>
    <t>CB55FE1AHUL3</t>
  </si>
  <si>
    <t>Шкаф управления CB55FE1AHUL3</t>
  </si>
  <si>
    <t>IP66, железо, три двигателя 5,5 кВт, насосы-3, AI-8, AO-4, DI-8, DO-7, Modbus, Ethernet, Bacnet</t>
  </si>
  <si>
    <t>CB75FE1AHUL3</t>
  </si>
  <si>
    <t>Шкаф управления CB75FE1AHUL3</t>
  </si>
  <si>
    <t>IP66, железо, три двигателя 7,5 кВт, насосы-3, AI-8, AO-4, DI-8, DO-7, Modbus, Ethernet, Bacnet</t>
  </si>
  <si>
    <t>CB11FE1AHUL3</t>
  </si>
  <si>
    <t>Щкаф управления CB11FE1AHUL3</t>
  </si>
  <si>
    <t>IP66, железо, три двигателя 11 кВт, насосы-3, AI-8, AO-4, DI-8, DO-7, Modbus, Ethernet, Bacnet</t>
  </si>
  <si>
    <t>CB15FE1AHUL3</t>
  </si>
  <si>
    <t>Шкаф управления CB15FE1AHUL3</t>
  </si>
  <si>
    <t>IP66, железо, три двигателя 15 кВт, насосы-3, AI-8, AO-4, DI-8, DO-7, Modbus, Ethernet, Bacnet</t>
  </si>
  <si>
    <t>CB18FE1AHUL3</t>
  </si>
  <si>
    <t>Шкаф управления CB18FE1AHUL3</t>
  </si>
  <si>
    <t>IP66, железо, три двигателя 18 кВт, насосы-3, AI-8, AO-4, DI-8, DO-7, Modbus, Ethernet, Bacnet</t>
  </si>
  <si>
    <t>CB22FE1AHUL3</t>
  </si>
  <si>
    <t>Шкаф управления CB22FE1AHUL3</t>
  </si>
  <si>
    <t>IP66, железо, три двигателя 22 кВт, насосы-3, AI-8, AO-4, DI-8, DO-7, Modbus, Ethernet, Bacnet</t>
  </si>
  <si>
    <t>CB30FE1AHUL3</t>
  </si>
  <si>
    <t>Шкаф управления CB30FE1AHUL3</t>
  </si>
  <si>
    <t>IP66, железо, три двигателя 30 кВт, насосы-3, AI-8, AO-4, DI-8, DO-7, Modbus, Ethernet, Bacnet</t>
  </si>
  <si>
    <t>CB55FE2AHUL</t>
  </si>
  <si>
    <t>Щит управления CB55FE2AHUL</t>
  </si>
  <si>
    <t>IP66, железо, четыре двигателя 5,5 кВт, насосы-2, AI-12, AO-5, DI-12, DO-10, Modbus, Ethernet, Bacnet</t>
  </si>
  <si>
    <t>CB75FE2AHUL</t>
  </si>
  <si>
    <t>Щит управления CB75FE2AHUL</t>
  </si>
  <si>
    <t>IP66, железо, четыре двигателя 7,5 кВт, насосы-2, AI-12, AO-5, DI-12, DO-10, Modbus, Ethernet, Bacnet</t>
  </si>
  <si>
    <t>CB11FE2AHUL</t>
  </si>
  <si>
    <t>Щит управления CB11FE2AHUL</t>
  </si>
  <si>
    <t>IP66, железо, четыре двигателя 11 кВт, насосы-2, AI-12, AO-5, DI-12, DO-10, Modbus, Ethernet, Bacnet</t>
  </si>
  <si>
    <t>CB15FE2AHUL</t>
  </si>
  <si>
    <t>Щит управления CB15FE2AHUL</t>
  </si>
  <si>
    <t>IP66, железо, четыре двигателя 15 кВт, насосы-2, AI-12, AO-5, DI-12, DO-10, Modbus, Ethernet, Bacnet</t>
  </si>
  <si>
    <t>CB18FE2AHUL</t>
  </si>
  <si>
    <t>Щит управления CB18FE2AHUL</t>
  </si>
  <si>
    <t>800/800/300</t>
  </si>
  <si>
    <t>IP66, железо, четыре двигателя 18 кВт, насосы-2, AI-12, AO-5, DI-12, DO-10, Modbus, Ethernet, Bacnet</t>
  </si>
  <si>
    <t>CB22FE2AHUL</t>
  </si>
  <si>
    <t>Щит управления CB22FE2AHUL</t>
  </si>
  <si>
    <t>IP66, железо, четыре двигателя 22 кВт, насосы-2, AI-12, AO-5, DI-12, DO-10, Modbus, Ethernet, Bacnet</t>
  </si>
  <si>
    <t>CB30FE2AHUL</t>
  </si>
  <si>
    <t>Щит управления CB30FE2AHUL</t>
  </si>
  <si>
    <t>IP66, железо, четыре двигателя 30 кВт, насосы-2, AI-12, AO-5, DI-12, DO-10, Modbus, Ethernet, Bacnet</t>
  </si>
  <si>
    <t>CB55FE2AHUL2</t>
  </si>
  <si>
    <t>Шкаф управления CB55FE2AHUL2</t>
  </si>
  <si>
    <t>вентиляторы 4 шт. 5,5 кВт, AO 5 шт., AI 12 шт., DO 9 шт., DI 12 шт., TM172PBG42R+TM171DGRP, IP66, железо</t>
  </si>
  <si>
    <t>CB75FE2AHUL2</t>
  </si>
  <si>
    <t>Шкаф управления CB75FE2AHUL2</t>
  </si>
  <si>
    <t>вентиляторы 4 шт. 7,5 кВт, AO 5 шт., AI 12 шт., DO 9 шт., DI 12 шт., TM172PBG42R+TM171DGRP, IP66, железо</t>
  </si>
  <si>
    <t>CB11FE2AHUL2</t>
  </si>
  <si>
    <t>Шкаф управления CB11FE2AHUL2</t>
  </si>
  <si>
    <t>вентиляторы 4 шт. 11 кВт, AO 5 шт., AI 12 шт., DO 9 шт., DI 12 шт., TM172PBG42R+TM171DGRP, IP66, железо</t>
  </si>
  <si>
    <t>CB15FE2AHUL2</t>
  </si>
  <si>
    <t>Шкаф управления CB15FE2AHUL2</t>
  </si>
  <si>
    <t>вентиляторы 4 шт. 15 кВт, AO 5 шт., AI 12 шт., DO 9 шт., DI 12 шт., TM172PBG42R+TM171DGRP, IP66, железо</t>
  </si>
  <si>
    <t>CB18FE2AHUL2</t>
  </si>
  <si>
    <t>Шкаф управления CB18FE2AHUL2</t>
  </si>
  <si>
    <t>вентиляторы 4 шт. 18,5 кВт, AO 5 шт., AI 12 шт., DO 9 шт., DI 12 шт., TM172PBG42R+TM171DGRP, IP66, железо</t>
  </si>
  <si>
    <t>CB22FE2AHUL2</t>
  </si>
  <si>
    <t>Шкаф управления CB22FE2AHUL2</t>
  </si>
  <si>
    <t>вентиляторы 4 шт. 22 кВт, AO 5 шт., AI 12 шт., DO 9 шт., DI 12 шт., TM172PBG42R+TM171DGRP, IP66, железо</t>
  </si>
  <si>
    <t>CB30FE2AHUL2</t>
  </si>
  <si>
    <t>Шкаф управления CB30FE2AHUL2</t>
  </si>
  <si>
    <t>вентиляторы 4 шт. 30 кВт, AO 5 шт., AI 12 шт., DO 9 шт., DI 12 шт., TM172PBG42R+TM171DGRP, IP66, железо</t>
  </si>
  <si>
    <t>CB55FE2AHUL3</t>
  </si>
  <si>
    <t>Шкаф управления CB55FE2AHUL3</t>
  </si>
  <si>
    <t>IP66, железо, четыре двигателя 5,5 кВт, насосы-3, AI-12, AO-5, DI-12, DO-11, Modbus, Ethernet, Bacnet</t>
  </si>
  <si>
    <t>CB75FE2AHUL3</t>
  </si>
  <si>
    <t>Шкаф управления CB75FE2AHUL3</t>
  </si>
  <si>
    <t>IP66, железо, четыре двигателя 7,5 кВт, насосы-3, AI-12, AO-5, DI-12, DO-11, Modbus, Ethernet, Bacnet</t>
  </si>
  <si>
    <t>CB11FE2AHUL3</t>
  </si>
  <si>
    <t>Шкаф управления CB11FE2AHUL3</t>
  </si>
  <si>
    <t>IP66, железо, четыре двигателя 11 кВт, насосы-3, AI-12, AO-5, DI-12, DO-11, Modbus, Ethernet, Bacnet</t>
  </si>
  <si>
    <t>CB15FE2AHUL3</t>
  </si>
  <si>
    <t>Шкаф управления CB15FE2AHUL3</t>
  </si>
  <si>
    <t>IP66, железо, четыре двигателя 15 кВт, насосы-3, AI-12, AO-5, DI-12, DO-11, Modbus, Ethernet, Bacnet</t>
  </si>
  <si>
    <t>CB18FE2AHUL3</t>
  </si>
  <si>
    <t>Шкаф управления CB18FE2AHUL3</t>
  </si>
  <si>
    <t>IP66, железо, четыре двигателя 18 кВт, насосы-3, AI-12, AO-5, DI-12, DO-11, Modbus, Ethernet, Bacnet</t>
  </si>
  <si>
    <t>CB22FE2AHUL3</t>
  </si>
  <si>
    <t>Шкаф управления CB22FE2AHUL3</t>
  </si>
  <si>
    <t>IP66, железо, четыре двигателя 22 кВт, насосы-3, AI-12, AO-5, DI-12, DO-11, Modbus, Ethernet, Bacnet</t>
  </si>
  <si>
    <t>CB30FE2AHUL3</t>
  </si>
  <si>
    <t>Шкаф управления CB30FE2AHUL3</t>
  </si>
  <si>
    <t>IP66, железо, четыре двигателя 30 кВт, насосы-3, AI-12, AO-5, DI-12, DO-11, Modbus, Ethernet, Bacnet</t>
  </si>
  <si>
    <t>CB55FE3AHUL</t>
  </si>
  <si>
    <t>Щит управления CB55FE3AHUL</t>
  </si>
  <si>
    <t>вентиляторы 5 шт. 5,5 кВт, AO 6 шт., AI 16 шт., DO 11 шт., DI 16 шт., TM172PBG42R+TM171EP14R, IP66, железо</t>
  </si>
  <si>
    <t>CB75FE3AHUL</t>
  </si>
  <si>
    <t>Щит управления CB75FE3AHUL</t>
  </si>
  <si>
    <t>вентиляторы 5 шт. 7,5 кВт, AO 6 шт., AI 16 шт., DO 11 шт., DI 16 шт., TM172PBG42R+TM171EP14R, IP66, железо</t>
  </si>
  <si>
    <t>CB11FE3AHUL</t>
  </si>
  <si>
    <t>Щит управления CB11FE3AHUL</t>
  </si>
  <si>
    <t>вентиляторы 5 шт. 11 кВт, AO 6 шт., AI 16 шт., DO 11 шт., DI 16 шт., TM172PBG42R+TM171EP14R, IP66, железо</t>
  </si>
  <si>
    <t>CB15FE3AHUL</t>
  </si>
  <si>
    <t>Щит управления CB15FE3AHUL</t>
  </si>
  <si>
    <t>вентиляторы 5 шт. 15 кВт, AO 6 шт., AI 16 шт., DO 11 шт., DI 16 шт., TM172PBG42R+TM171EP14R, IP66, железо</t>
  </si>
  <si>
    <t>CB18FE3AHUL</t>
  </si>
  <si>
    <t>Щит управления CB18FE3AHUL</t>
  </si>
  <si>
    <t>вентиляторы 5 шт. 18,5 кВт, AO 6 шт., AI 16 шт., DO 11 шт., DI 16 шт., TM172PBG42R+TM171EP14R, IP66, железо</t>
  </si>
  <si>
    <t>CB22FE3AHUL</t>
  </si>
  <si>
    <t>Щит управления CB22FE3AHUL</t>
  </si>
  <si>
    <t>вентиляторы 5 шт. 22 кВт, AO 6 шт., AI 16 шт., DO 11 шт., DI 16 шт., TM172PBG42R+TM171EP14R, IP66, железо</t>
  </si>
  <si>
    <t>CB30FE3AHUL</t>
  </si>
  <si>
    <t>Щит управления CB30FE3AHUL</t>
  </si>
  <si>
    <t>вентиляторы 5 шт. 30 кВт, AO 6 шт., AI 16 шт., DO 11 шт., DI 16 шт., TM172PBG42R+TM171EP14R, IP66, железо</t>
  </si>
  <si>
    <t>CB55FE3AHUL2</t>
  </si>
  <si>
    <t>Шкаф управления CB55FE3AHUL2</t>
  </si>
  <si>
    <t>IP66, железо, пять двигателей 5,5 кВт, насосы-2, AI-16, AO-6, DI-16, DO-12, Modbus, Ethernet, Bacnet</t>
  </si>
  <si>
    <t>CB75FE3AHUL2</t>
  </si>
  <si>
    <t>Шкаф управления CB75FE3AHUL2</t>
  </si>
  <si>
    <t>IP66, железо, пять двигателей 7,5 кВт, насосы-2, AI-16, AO-6, DI-16, DO-12, Modbus, Ethernet, Bacnet</t>
  </si>
  <si>
    <t>CB11FE3AHUL2</t>
  </si>
  <si>
    <t>Шкаф управления CB11FE3AHUL2</t>
  </si>
  <si>
    <t>IP66, железо, пять двигателей 11 кВт, насосы-2, AI-16, AO-6, DI-16, DO-12, Modbus, Ethernet, Bacnet</t>
  </si>
  <si>
    <t>CB15FE3AHUL2</t>
  </si>
  <si>
    <t>Шкаф управления CB15FE3AHUL2</t>
  </si>
  <si>
    <t>IP66, железо, пять двигателей 15 кВт, насосы-2, AI-16, AO-6, DI-16, DO-12, Modbus, Ethernet, Bacnet</t>
  </si>
  <si>
    <t>CB18FE3AHUL2</t>
  </si>
  <si>
    <t>Шкаф управления CB18FE3AHUL2</t>
  </si>
  <si>
    <t>IP66, железо, пять двигателей 18 кВт, насосы-2, AI-16, AO-6, DI-16, DO-12, Modbus, Ethernet, Bacnet</t>
  </si>
  <si>
    <t>CB22FE3AHUL2</t>
  </si>
  <si>
    <t>Шкаф управления CB22FE3AHUL2</t>
  </si>
  <si>
    <t>IP66, железо, пять двигателей 22 кВт, насосы-2, AI-16, AO-6, DI-16, DO-12, Modbus, Ethernet, Bacnet</t>
  </si>
  <si>
    <t>CB30FE3AHUL2</t>
  </si>
  <si>
    <t>Шкаф управления CB30FE3AHUL2</t>
  </si>
  <si>
    <t>IP66, железо, пять двигателей 30 кВт, насосы-2, AI-16, AO-6, DI-16, DO-12, Modbus, Ethernet, Bacnet</t>
  </si>
  <si>
    <t>CB55FE3AHUL3</t>
  </si>
  <si>
    <t>Шкаф управления CB55FE3AHUL3</t>
  </si>
  <si>
    <t>IP66, железо, пять двигателей 5,5 кВт, насосы-3, AI-16, AO-6, DI-16, DO-13, Modbus, Ethernet, Bacnet</t>
  </si>
  <si>
    <t>CB75FE3AHUL3</t>
  </si>
  <si>
    <t>Шкаф управления CB75FE3AHUL3</t>
  </si>
  <si>
    <t>IP66, железо, пять двигателей 7,5 кВт, насосы-3, AI-16, AO-6, DI-16, DO-13, Modbus, Ethernet, Bacnet</t>
  </si>
  <si>
    <t>CB11FE3AHUL3</t>
  </si>
  <si>
    <t>Шкаф управления CB11FE3AHUL3</t>
  </si>
  <si>
    <t>IP66, железо, пять двигателей 11 кВт, насосы-3, AI-16, AO-6, DI-16, DO-13, Modbus, Ethernet, Bacnet</t>
  </si>
  <si>
    <t>CB15FE3AHUL3</t>
  </si>
  <si>
    <t>Шкаф управления CB15FE3AHUL3</t>
  </si>
  <si>
    <t>IP66, железо, пять двигателей 15 кВт, насосы-3, AI-16, AO-6, DI-16, DO-13, Modbus, Ethernet, Bacnet</t>
  </si>
  <si>
    <t>CB18FE3AHUL3</t>
  </si>
  <si>
    <t>Шкаф управления CB18FE3AHUL3</t>
  </si>
  <si>
    <t>IP66, железо, пять двигателей 18 кВт, насосы-3, AI-16, AO-6, DI-16, DO-13, Modbus, Ethernet, Bacnet</t>
  </si>
  <si>
    <t>CB22FE3AHUL3</t>
  </si>
  <si>
    <t>Шкаф управления CB22FE3AHUL3</t>
  </si>
  <si>
    <t>IP66, железо, пять двигателей 22 кВт, насосы-3, AI-16, AO-6, DI-16, DO-13, Modbus, Ethernet, Bacnet</t>
  </si>
  <si>
    <t>CB30FE3AHUL3</t>
  </si>
  <si>
    <t>Шкаф управления CB30FE3AHUL3</t>
  </si>
  <si>
    <t>IP66, железо, пять двигателей 30 кВт, насосы-3, AI-16, AO-6, DI-16, DO-13, Modbus, Ethernet, Bacnet</t>
  </si>
  <si>
    <t>CB55FE1MTPL</t>
  </si>
  <si>
    <t>Щит управления CB55FE1MTPL</t>
  </si>
  <si>
    <t>вентилятор 5,5 кВт, калорифер 3 ст. 10 кВт, AO 4 шт., AI 8 шт., DO 8 шт., DI 8 шт., TM172PBG28R+TM171DGRP, IP66, железо</t>
  </si>
  <si>
    <t>CB75FE1MTPL</t>
  </si>
  <si>
    <t>Щит управления CB75FE1MTPL</t>
  </si>
  <si>
    <t>вентилятор 7,5 кВт, калорифер 3 ст. 13 кВт, AO 4 шт., AI 8 шт., DO 8 шт., DI 8 шт., TM172PBG28R+TM171DGRP, IP66, железо</t>
  </si>
  <si>
    <t>CB11FE1MTPL</t>
  </si>
  <si>
    <t>Щит управления CB11FE1MTPL</t>
  </si>
  <si>
    <t>вентилятор 11 кВт, калорифер 3 ст. 16 кВт, AO 4 шт., AI 8 шт., DO 8 шт., DI 8 шт., TM172PBG28R+TM171DGRP, IP66, железо</t>
  </si>
  <si>
    <t>CB15FE1MTPL</t>
  </si>
  <si>
    <t>Щит управления CB15FE1MTPL</t>
  </si>
  <si>
    <t>вентилятор 15 кВт, калорифер 3 ст. 21 кВт, AO 4 шт., AI 8 шт., DO 8 шт., DI 8 шт., TM172PBG28R+TM171DGRP, IP66, железо</t>
  </si>
  <si>
    <t>CB18FE1MTPL</t>
  </si>
  <si>
    <t>Щит управления CB18FE1MTPL</t>
  </si>
  <si>
    <t>вентилятор 18,5 кВт, калорифер 3 ст. 26 кВт, AO 4 шт., AI 8 шт., DO 8 шт., DI 8 шт., TM172PBG28R+TM171DGRP, IP66, железо</t>
  </si>
  <si>
    <t>CB22FE1MTPL</t>
  </si>
  <si>
    <t>Щит управления CB22FE1MTPL</t>
  </si>
  <si>
    <t>вентилятор 22 кВт, калорифер 3 ст. 33 кВт, AO 4 шт., AI 8 шт., DO 8 шт., DI 8 шт., TM172PBG28R+TM171DGRP, IP66, железо</t>
  </si>
  <si>
    <t>CB30FE1MTPL</t>
  </si>
  <si>
    <t>Щит управления CB30FE1MTPL</t>
  </si>
  <si>
    <t>1000/1200/300</t>
  </si>
  <si>
    <t>вентилятор 30 кВт, калорифер 3 ст. 41 кВт, AO 4 шт., AI 8 шт., DO 8 шт., DI 8 шт., TM172PBG28R+TM171DGRP, IP66, железо</t>
  </si>
  <si>
    <t>CB55FE2MTPL</t>
  </si>
  <si>
    <t>Щит управления CB55FE2MTPL</t>
  </si>
  <si>
    <t>вентилятор 5,5 кВт, калорифер 4 ст. 10 кВт, AO 5 шт., AI 12 шт., DO 10 шт., DI 12 шт., TM172PBG42R+TM171DGRP, IP66, железо</t>
  </si>
  <si>
    <t>CB75FE2MTPL</t>
  </si>
  <si>
    <t>Щит управления CB75FE2MTPL</t>
  </si>
  <si>
    <t>вентилятор 7,5 кВт, калорифер 4 ст. 13 кВт, AO 5 шт., AI 12 шт., DO 10 шт., DI 12 шт., TM172PBG42R+TM171DGRP, IP66, железо</t>
  </si>
  <si>
    <t>CB11FE2MTPL</t>
  </si>
  <si>
    <t>Щит управления CB11FE2MTPL</t>
  </si>
  <si>
    <t>вентилятор 11 кВт, калорифер 4 ст. 16 кВт, AO 5 шт., AI 12 шт., DO 10 шт., DI 12 шт., TM172PBG42R+TM171DGRP, IP66, железо</t>
  </si>
  <si>
    <t>CB15FE2MTPL</t>
  </si>
  <si>
    <t>Щит управления CB15FE2MTPL</t>
  </si>
  <si>
    <t>вентилятор 15 кВт, калорифер 4 ст. 21 кВт, AO 5 шт., AI 12 шт., DO 10 шт., DI 12 шт., TM172PBG42R+TM171DGRP, IP66, железо</t>
  </si>
  <si>
    <t>CB18FE2MTPL</t>
  </si>
  <si>
    <t>Щит управления CB18FE2MTPL</t>
  </si>
  <si>
    <t>вентилятор 18,5 кВт, калорифер 4 ст. 26 кВт, AO 5 шт., AI 12 шт., DO 10 шт., DI 12 шт., TM172PBG42R+TM171DGRP, IP66, железо</t>
  </si>
  <si>
    <t>CB22FE2MTPL</t>
  </si>
  <si>
    <t>Щит управления CB22FE2MTPL</t>
  </si>
  <si>
    <t>вентилятор 22 кВт, калорифер 4 ст. 33 кВт, AO 5 шт., AI 12 шт., DO 10 шт., DI 12 шт., TM172PBG42R+TM171DGRP, IP66, железо</t>
  </si>
  <si>
    <t>CB30FE2MTPL</t>
  </si>
  <si>
    <t>Щит управления CB30FE2MTPL</t>
  </si>
  <si>
    <t>вентилятор 30 кВт, калорифер 4 ст. 41 кВт, AO 5 шт., AI 12 шт., DO 10 шт., DI 12 шт., TM172PBG42R+TM171DGRP, IP66, железо</t>
  </si>
  <si>
    <t>CB55FE3MTPL</t>
  </si>
  <si>
    <t>Щит управления CB55FE3MTPL</t>
  </si>
  <si>
    <t>вентилятор 5,5 кВт, калорифер 5 ст. 10 кВт, AO 6 шт., AI 16 шт., DO 14 шт., DI 16 шт., TM172PBG42R+TM171EP14R, IP66, железо</t>
  </si>
  <si>
    <t>CB75FE3MTPL</t>
  </si>
  <si>
    <t>Щит управления CB75FE3MTPL</t>
  </si>
  <si>
    <t>800/1000/300</t>
  </si>
  <si>
    <t>вентилятор 7,5 кВт, калорифер 5 ст. 13 кВт, AO 6 шт., AI 16 шт., DO 14 шт., DI 16 шт., TM172PBG42R+TM171EP14R, IP66, железо</t>
  </si>
  <si>
    <t>CB11FE3MTPL</t>
  </si>
  <si>
    <t>Щит управления CB11FE3MTPL</t>
  </si>
  <si>
    <t>вентилятор 11 кВт, калорифер 5 ст. 16 кВт, AO 6 шт., AI 16 шт., DO 14 шт., DI 16 шт., TM172PBG42R+TM171EP14R, IP66, железо</t>
  </si>
  <si>
    <t>CB15FE3MTPL</t>
  </si>
  <si>
    <t>Щит управления CB15FE3MTPL</t>
  </si>
  <si>
    <t>вентилятор 15 кВт, калорифер 5 ст. 21 кВт, AO 6 шт., AI 16 шт., DO 14 шт., DI 16 шт., TM172PBG42R+TM171EP14R, IP66, железо</t>
  </si>
  <si>
    <t>CB18FE3MTPL</t>
  </si>
  <si>
    <t>Щит управления CB18FE3MTPL</t>
  </si>
  <si>
    <t>вентилятор 18,5 кВт, калорифер 5 ст. 26 кВт, AO 6 шт., AI 16 шт., DO 14 шт., DI 16 шт., TM172PBG42R+TM171EP14R, IP66, железо</t>
  </si>
  <si>
    <t>CB22FE3MTPL</t>
  </si>
  <si>
    <t>Щит управления CB22FE3MTPL</t>
  </si>
  <si>
    <t>1200/1200/300</t>
  </si>
  <si>
    <t>вентилятор 22 кВт, калорифер 5 ст. 33 кВт, AO 6 шт., AI 16 шт., DO 14 шт., DI 16 шт., TM172PBG42R+TM171EP14R, IP66, железо</t>
  </si>
  <si>
    <t>CB30FE3MTPL</t>
  </si>
  <si>
    <t>Щит управления CB30FE3MTPL</t>
  </si>
  <si>
    <t>вентилятор 30 кВт, калорифер 5 ст. 41 кВт, AO 6 шт., AI 16 шт., DO 14 шт., DI 16 шт., TM172PBG42R+TM171EP14R, IP66, железо</t>
  </si>
  <si>
    <t>ПУЛЬТЫ УПРАВЛЕНИЯ</t>
  </si>
  <si>
    <t>ПУ1</t>
  </si>
  <si>
    <t>Пульт управления ПУ1</t>
  </si>
  <si>
    <t>150/70/65</t>
  </si>
  <si>
    <t>переключатель ПУСК/СТОП, кнопка ВКЛ. И ВЫКЛ. Степень защиты IP54</t>
  </si>
  <si>
    <t>ПУ2</t>
  </si>
  <si>
    <t>Пульт управления ПУ2</t>
  </si>
  <si>
    <t>70/195/65</t>
  </si>
  <si>
    <t>лампочки РАБОТА и АВАРИЯ, кнопки ПУСК и СТОП. Степень защиты IP54</t>
  </si>
  <si>
    <t>ПУ3</t>
  </si>
  <si>
    <t>Пульт управления ПУ3</t>
  </si>
  <si>
    <t>250/70/65</t>
  </si>
  <si>
    <t>лампочки РАБОТА и АВАРИЯ, 2 кнопки ПУСК и СТОП. Степень защиты IP54</t>
  </si>
  <si>
    <t>ПУ4</t>
  </si>
  <si>
    <t>Пульт управления ПУ4</t>
  </si>
  <si>
    <t>2 лампочки РАБОТА, 2 кнопки ПУСК, 1 кнопка СТОП. Степень защиты IP54</t>
  </si>
  <si>
    <t>ЧАСТОТНЫЕ ПРЕОБРАЗОВАТЕЛИ</t>
  </si>
  <si>
    <t>ATV12H018M2</t>
  </si>
  <si>
    <t>Частотный преобразователь ATV12H018M2 0,18 кВт  240В 1Ф</t>
  </si>
  <si>
    <t>72/143/103</t>
  </si>
  <si>
    <t>Schneider Electric</t>
  </si>
  <si>
    <t>для регулирования роторного рекуператора 3х220В</t>
  </si>
  <si>
    <t>ATV12H037M2</t>
  </si>
  <si>
    <t>Частотный преобразователь ATV12H037M2 0,37 кВт  240В 1Ф</t>
  </si>
  <si>
    <t>72/143/122</t>
  </si>
  <si>
    <t>для роторного рекуператора</t>
  </si>
  <si>
    <t>ATV12H055M2</t>
  </si>
  <si>
    <t>Частотный преобразователь ATV12H055M2 0,55 кВт  240В 1Ф</t>
  </si>
  <si>
    <t>72/143/132</t>
  </si>
  <si>
    <t>ATV12H075M2</t>
  </si>
  <si>
    <t>Частотный преобразователь ATV12H075M2 0,75 кВт  240В 1Ф</t>
  </si>
  <si>
    <t>ATV12HU15M2</t>
  </si>
  <si>
    <t>Частотный преобразователь ATV12HU15M2 1,5 кВт  240В 1Ф</t>
  </si>
  <si>
    <t>105/143/157</t>
  </si>
  <si>
    <t>ATV12HU22M2</t>
  </si>
  <si>
    <t>Частотный преобразователь ATV12HU22M2 2,2 кВт  240В 1Ф</t>
  </si>
  <si>
    <t>ATV212H075N4</t>
  </si>
  <si>
    <t>Частотный преобразователь ATV212H075N4 0,75 кВт  480В</t>
  </si>
  <si>
    <t>107/143/150</t>
  </si>
  <si>
    <t>для регулирования вентиляторов и насосов, 3х380В</t>
  </si>
  <si>
    <t>ATV212HU15N4</t>
  </si>
  <si>
    <t>Частотный преобразователь ATV212HU15N4 1,5 кВт 480В</t>
  </si>
  <si>
    <t>для вентиляторов и насосов</t>
  </si>
  <si>
    <t>ATV212HU22N4</t>
  </si>
  <si>
    <t>Частотный преобразователь ATV212HU22N4 2,2 кВт 480В</t>
  </si>
  <si>
    <t>ATV212HU30N4</t>
  </si>
  <si>
    <t>Частотный преобразователь ATV212HU30N4 3 кВт 480В</t>
  </si>
  <si>
    <t>142/184/150</t>
  </si>
  <si>
    <t>ATV212HU40N4</t>
  </si>
  <si>
    <t>Частотный преобразователь ATV212HU40N4 4 кВт 480В</t>
  </si>
  <si>
    <t>ATV212HU55N4</t>
  </si>
  <si>
    <t>Частотный преобразователь ATV212HU55N4 5,5 кВт 480В</t>
  </si>
  <si>
    <t>ATV212HU75N4</t>
  </si>
  <si>
    <t>Частотный преобразователь ATV212HU75N4 7,5 кВт 480В</t>
  </si>
  <si>
    <t>180/232/170</t>
  </si>
  <si>
    <t>ATV212HD11N4</t>
  </si>
  <si>
    <t>Частотный преобразователь ATV212HD11N4 11 кВт 480В</t>
  </si>
  <si>
    <t>ATV212HD15N4</t>
  </si>
  <si>
    <t>Частотный преобразователь ATV212HD15N4 15 кВт 480В</t>
  </si>
  <si>
    <t>245/330/190</t>
  </si>
  <si>
    <t>ATV212HD18N4</t>
  </si>
  <si>
    <t>Частотный преобразователь ATV212HD18N4 18 кВт 480В</t>
  </si>
  <si>
    <t>ATV212HD22N4S</t>
  </si>
  <si>
    <t>Частотный преобразователь ATV212HD22N4S 22 кВт 480В</t>
  </si>
  <si>
    <t>для вентиляторов и насосов, компактный</t>
  </si>
  <si>
    <t>ATV212HD30N4</t>
  </si>
  <si>
    <t>Частотный преобразователь ATV212HD30N4 30 кВт 480В</t>
  </si>
  <si>
    <t>240/420/214</t>
  </si>
  <si>
    <t>ATV212HD37N4</t>
  </si>
  <si>
    <t>Частотный преобразователь ATV212HD37N4 37 кВт 480В</t>
  </si>
  <si>
    <t>240/550/244</t>
  </si>
  <si>
    <t>ATV212HD45N4</t>
  </si>
  <si>
    <t>Частотный преобразователь ATV212HD45N4 45 кВт 480В</t>
  </si>
  <si>
    <t>ATV212HD55N4</t>
  </si>
  <si>
    <t>Частотный преобразователь ATV212HD55N4 55 кВт 480В</t>
  </si>
  <si>
    <t>320/630/290</t>
  </si>
  <si>
    <t>ATV212HD75N4</t>
  </si>
  <si>
    <t>Частотный преобразователь ATV212HD75N4 75 кВт 480В</t>
  </si>
  <si>
    <t>132F0001</t>
  </si>
  <si>
    <t>Частотный преобразователь FC-051 0,18 кВт 3x220B</t>
  </si>
  <si>
    <t>70/150/148</t>
  </si>
  <si>
    <t>Danfoss</t>
  </si>
  <si>
    <t>для роторного рекуператора и вентиляторов с питанием 3х220В</t>
  </si>
  <si>
    <t>132F0002</t>
  </si>
  <si>
    <t>Частотный преобразователь FC-051 0,37 кВт 3x220B</t>
  </si>
  <si>
    <t>132F0003</t>
  </si>
  <si>
    <t>Частотный преобразователь FC-051 0,75 кВт 3x220B</t>
  </si>
  <si>
    <t>132F0005</t>
  </si>
  <si>
    <t>Частотный преобразователь FC-051 1,5 кВт 3x220B</t>
  </si>
  <si>
    <t>75/176/168</t>
  </si>
  <si>
    <t>132F0007</t>
  </si>
  <si>
    <t>Частотный преобразователь FC-051 2,2 кВт 3x220B</t>
  </si>
  <si>
    <t>90/239/194</t>
  </si>
  <si>
    <t>132F0017</t>
  </si>
  <si>
    <t>Частотный преобразователь FC-051 0,37 кВт 3x380B</t>
  </si>
  <si>
    <t>для вентиляторов и насосов, питание 3х380В</t>
  </si>
  <si>
    <t>132F0018</t>
  </si>
  <si>
    <t>Частотный преобразователь FC-051 0,75 кВт 3x380B</t>
  </si>
  <si>
    <t>132F0020</t>
  </si>
  <si>
    <t>Частотный преобразователь FC-051 1,5 кВт 3x380B</t>
  </si>
  <si>
    <t>132F0022</t>
  </si>
  <si>
    <t>Частотный преобразователь FC-051 2,2 кВт 3x380B</t>
  </si>
  <si>
    <t>132F0024</t>
  </si>
  <si>
    <t>Частотный преобразователь FC-051 3,0 кВт 3x380B</t>
  </si>
  <si>
    <t>132F0026</t>
  </si>
  <si>
    <t>Частотный преобразователь FC-051 4,0 кВт 3x380B</t>
  </si>
  <si>
    <t>132F0028</t>
  </si>
  <si>
    <t>Частотный преобразователь FC-051 5,5 кВт 3x380B</t>
  </si>
  <si>
    <t>132F0030</t>
  </si>
  <si>
    <t>Частотный преобразователь FC-051 7,5 кВт 3x380B</t>
  </si>
  <si>
    <t>132F0058</t>
  </si>
  <si>
    <t>Частотный преобразователь FC-051 11 кВт 3x380B</t>
  </si>
  <si>
    <t>125/292/241</t>
  </si>
  <si>
    <t>132F0059</t>
  </si>
  <si>
    <t>Частотный преобразователь FC-051 15 кВт 3x220B</t>
  </si>
  <si>
    <t>132F0060</t>
  </si>
  <si>
    <t>Частотный преобразователь FC-051 18 кВт 3x220B</t>
  </si>
  <si>
    <t>165/335/248</t>
  </si>
  <si>
    <t>132F0061</t>
  </si>
  <si>
    <t>Частотный преобразователь FC-051 22 кВт 3x220B</t>
  </si>
  <si>
    <t>132B0101</t>
  </si>
  <si>
    <t>Панель управления LCP для FC-051</t>
  </si>
  <si>
    <t>85/65/120</t>
  </si>
  <si>
    <t>132B0201</t>
  </si>
  <si>
    <t>Комплект для выноса LCP на дверцу шкафа, кабель 3м</t>
  </si>
  <si>
    <t>ATV310H037N4E</t>
  </si>
  <si>
    <t>Преобразователь частоты ATV310H037N4E 0,37кВт 380В 3ф</t>
  </si>
  <si>
    <t>72/130/143</t>
  </si>
  <si>
    <t>ATV310H075N4E</t>
  </si>
  <si>
    <t>Преобразователь частоты ATV310H075N4E 0,75кВт 380В 3ф</t>
  </si>
  <si>
    <t>ATV310HU15N4E</t>
  </si>
  <si>
    <t>Преобразователь частоты ATV310HU15N4E 1,5кВт 380В 3ф</t>
  </si>
  <si>
    <t>105/151/143</t>
  </si>
  <si>
    <t>ATV310HU22N4E</t>
  </si>
  <si>
    <t>Преобразователь частоты ATV310HU22N4E 2,2кВт 380В 3ф</t>
  </si>
  <si>
    <t>ATV310HU30N4E</t>
  </si>
  <si>
    <t>Преобразователь частоты ATV310HU30N4E 3кВт 380В 3ф</t>
  </si>
  <si>
    <t>140/151/184</t>
  </si>
  <si>
    <t>ATV310HU40N4E</t>
  </si>
  <si>
    <t>Преобразователь частоты ATV310HU40N4E 4кВт 380В 3ф</t>
  </si>
  <si>
    <t>ATV310HU55N4E</t>
  </si>
  <si>
    <t>Преобразователь частоты ATV310HU55N4E 5,5кВт 380В 3ф</t>
  </si>
  <si>
    <t>ATV310HU75N4E</t>
  </si>
  <si>
    <t>Преобразователь частоты ATV310HU75N4E 7,5кВт 380В 3ф</t>
  </si>
  <si>
    <t>171/150/232</t>
  </si>
  <si>
    <t>ATV310HD11N4E</t>
  </si>
  <si>
    <t>Преобразователь частоты ATV310HD11N4E 11кВт 380В 3ф</t>
  </si>
  <si>
    <t>АВТОМАТИЧЕСКИЕ ВЫКЛЮЧАТЕЛИ ЗАЩИТЫ ДВИГАТЕЛЯ GZ1</t>
  </si>
  <si>
    <t>GZ1E04</t>
  </si>
  <si>
    <t>Автоматический выключатель GZ1E04 0,4-0,63А</t>
  </si>
  <si>
    <t>45/80/78</t>
  </si>
  <si>
    <t>для двигателей менее 0,18 кВт</t>
  </si>
  <si>
    <t>GZ1E05</t>
  </si>
  <si>
    <t>Автоматический выключатель GZ1E05 0,63-1А</t>
  </si>
  <si>
    <t>для двигателей 0,18 кВт</t>
  </si>
  <si>
    <t>GZ1E06</t>
  </si>
  <si>
    <t>Автоматический выключатель GZ1E06 1-1,6А</t>
  </si>
  <si>
    <t>для двигателей 0,25 или 0,37 кВт</t>
  </si>
  <si>
    <t>GZ1E07</t>
  </si>
  <si>
    <t>Автоматический выключатель GZ1E07 1,6-2,5А</t>
  </si>
  <si>
    <t>для двигателей 0,55 или 0,75 кВт</t>
  </si>
  <si>
    <t>GZ1E08</t>
  </si>
  <si>
    <t>Автоматический выключатель GZ1E08 2,5-4А</t>
  </si>
  <si>
    <t>для двигателей 1,1 или 1,5 кВт</t>
  </si>
  <si>
    <t>GZ1E10</t>
  </si>
  <si>
    <t>Автоматический выключатель GZ1E10 4-6,3А</t>
  </si>
  <si>
    <t>для двигателей 2,2 кВт</t>
  </si>
  <si>
    <t>GZ1E14</t>
  </si>
  <si>
    <t>Автоматический выключатель GZ1E14 6-10А</t>
  </si>
  <si>
    <t>для двигателей 3 и 4 кВт</t>
  </si>
  <si>
    <t>GZ1E16</t>
  </si>
  <si>
    <t>Автоматический выключатель GZ1E16 9-14А</t>
  </si>
  <si>
    <t>для двигателей 5,5 кВт</t>
  </si>
  <si>
    <t>GZ1E20</t>
  </si>
  <si>
    <t>Автоматический выключатель GZ1E20 13-18А</t>
  </si>
  <si>
    <t>для двигателей 7,5 кВт</t>
  </si>
  <si>
    <t>GZ1E21</t>
  </si>
  <si>
    <t>Автоматический выключатель GZ1E21 17-23А</t>
  </si>
  <si>
    <t>для двигателей менее 11 кВт</t>
  </si>
  <si>
    <t>GZ1E22</t>
  </si>
  <si>
    <t>Автоматический выключатель GZ1E22 20-25А</t>
  </si>
  <si>
    <t>для двигателей 11 кВт</t>
  </si>
  <si>
    <t>GZ1E32</t>
  </si>
  <si>
    <t>Автоматический выключатель GZ1E32 24-32А</t>
  </si>
  <si>
    <t>для двигателей 15 кВт</t>
  </si>
  <si>
    <t>АВТОМАТИЧЕСКИЕ ВЫКЛЮЧАТЕЛИ ЗАЩИТЫ ДВИГАТЕЛЯ GV3</t>
  </si>
  <si>
    <t>GV3P40</t>
  </si>
  <si>
    <t>Автоматический выключатель GV3P40 30-40А</t>
  </si>
  <si>
    <t>55/132/146</t>
  </si>
  <si>
    <t>для двигателей 18 кВт</t>
  </si>
  <si>
    <t>GV3P50</t>
  </si>
  <si>
    <t>Автоматический выключатель GV3P50 37-50А</t>
  </si>
  <si>
    <t>для двигателей 22 кВт</t>
  </si>
  <si>
    <t>GV3P65</t>
  </si>
  <si>
    <t>Автоматический выключатель GV3P65 48-65А</t>
  </si>
  <si>
    <t>для двигателей 30 кВт</t>
  </si>
  <si>
    <t>УСТРОЙСТВА ПЛАВНОГО ПУСКА</t>
  </si>
  <si>
    <t>ATS01N209QN</t>
  </si>
  <si>
    <t>Устройство плавного пуска ATS01N209QN 9А 380-415В</t>
  </si>
  <si>
    <t>45/124/131</t>
  </si>
  <si>
    <t>плавный запуск, мощность двигателя до 4-х кВт</t>
  </si>
  <si>
    <t>ATS01N212QN</t>
  </si>
  <si>
    <t>Устройство плавного пуска ATS01N212QN 12А 380-415В</t>
  </si>
  <si>
    <t>мощность двигателя 5,5 кВт</t>
  </si>
  <si>
    <t>ATS01N222QN</t>
  </si>
  <si>
    <t>Устройство плавного пуска ATS01N222QN 22А 380-415В</t>
  </si>
  <si>
    <t>45/154/131</t>
  </si>
  <si>
    <t>мощность двигателя до 11 кВт</t>
  </si>
  <si>
    <t>ATS01N232QN</t>
  </si>
  <si>
    <t>Устройство плавного пуска ATS01N232QN 32А 380-415В</t>
  </si>
  <si>
    <t>мощность двигателя 15 кВт</t>
  </si>
  <si>
    <t>ATS22D47Q</t>
  </si>
  <si>
    <t>Устройство плавного пуска ATS22D47Q 47А 380-440В</t>
  </si>
  <si>
    <t>130/265/169</t>
  </si>
  <si>
    <t>мощность двигателя до 22 кВт</t>
  </si>
  <si>
    <t>ATS22D62Q</t>
  </si>
  <si>
    <t>Устройство плавного пуска ATS22D62Q 62А 380-440В</t>
  </si>
  <si>
    <t>145/295/207</t>
  </si>
  <si>
    <t>мощность двигателя до 30 кВт</t>
  </si>
  <si>
    <t>ATS22D75Q</t>
  </si>
  <si>
    <t>Устройство плавного пуска ATS22D75Q 75А 380-440В</t>
  </si>
  <si>
    <t>мощность двигателя 37 кВт</t>
  </si>
  <si>
    <t>ATS22D88Q</t>
  </si>
  <si>
    <t>Устройство плавного пуска ATS22D88Q 88А 380-440В</t>
  </si>
  <si>
    <t>мощность двигателя 45 кВт</t>
  </si>
  <si>
    <t>РЕМОНТНЫЕ ВЫКЛЮЧАТЕЛИ</t>
  </si>
  <si>
    <t>VCFN25GE</t>
  </si>
  <si>
    <t>Выключатель-разъединитель 20А</t>
  </si>
  <si>
    <t>83/131/106</t>
  </si>
  <si>
    <t>Гл/авар.3p выключатель-разъединитель 20А</t>
  </si>
  <si>
    <t>VCFN32GE</t>
  </si>
  <si>
    <t>Выключатель-разъединитель 25А</t>
  </si>
  <si>
    <t>Гл/авар.3p выключатель-разъединитель 25А</t>
  </si>
  <si>
    <t>VCFN40GE</t>
  </si>
  <si>
    <t>Выключатель-разъединитель 32А</t>
  </si>
  <si>
    <t>Гл/авар.3p выключатель-разъединитель 32А</t>
  </si>
  <si>
    <t>VCF3GE</t>
  </si>
  <si>
    <t>Выключатель-разъединитель 50А</t>
  </si>
  <si>
    <t>150/170/152</t>
  </si>
  <si>
    <t>Гл/авар.3p выключатель-разъединитель 50А</t>
  </si>
  <si>
    <t>VCF4GE</t>
  </si>
  <si>
    <t>Выключатель-разъединитель 63А</t>
  </si>
  <si>
    <t>Гл/авар.3p выключатель-разъединитель 63А</t>
  </si>
  <si>
    <t>ДАТЧИКИ</t>
  </si>
  <si>
    <t>TM1STNTCRN61530</t>
  </si>
  <si>
    <t xml:space="preserve">Датчик температуры TM1STNTCRN61530, NTC 10k, IP67, 3 м </t>
  </si>
  <si>
    <t>20/5/5</t>
  </si>
  <si>
    <t>для установки в канале вентиляции</t>
  </si>
  <si>
    <t>TM1STNTCWN65605</t>
  </si>
  <si>
    <t>Датчик температуры TM1STNTCWN65605, NTC, 10k, уличный</t>
  </si>
  <si>
    <t>56/56/28</t>
  </si>
  <si>
    <t>измерение наружной температуры, IP65</t>
  </si>
  <si>
    <t>TM1STNTCWN75750</t>
  </si>
  <si>
    <t>Датчик температуры TM1STNTCWN75750, NTC 10k, комнатный</t>
  </si>
  <si>
    <t>температура в помещении, IP30</t>
  </si>
  <si>
    <t>TM1STNTCSN62030</t>
  </si>
  <si>
    <t>Датчик температуры TM1STNTCSN62030, NTC 10k, IP68, 3 м</t>
  </si>
  <si>
    <t>20/6/6</t>
  </si>
  <si>
    <t>температуры обратной воды из водяного калорифера, IP68</t>
  </si>
  <si>
    <t>TM1STPTTSN62030</t>
  </si>
  <si>
    <t>Датчик температуры TM1STPTTSN52030, Pt1000, IP67 3 м</t>
  </si>
  <si>
    <t>PT1000 3,0m IP67 5x20 -50+110°C Green</t>
  </si>
  <si>
    <t>Датчик температуры TM1STPTTSN62030, Pt1000, IP68, 3 м</t>
  </si>
  <si>
    <t>PT1000 3,0m IP68 6x20 -50+110°C Green</t>
  </si>
  <si>
    <t>NTC10K-CANAL-171</t>
  </si>
  <si>
    <t>Датчик температуры NTC 10k, канальный, кабель 4 м , для М171</t>
  </si>
  <si>
    <t>180/8/8</t>
  </si>
  <si>
    <t>пластиковый корпус, глубина установки от 40 до 160 мм, в комплекте резиновый фланец, для контроллера М171</t>
  </si>
  <si>
    <t>NTC10K-CANAL-172</t>
  </si>
  <si>
    <t>Датчик температуры NTC 10k, канальный, кабель 4 м, для М172</t>
  </si>
  <si>
    <t>пластиковый корпус, глубина установки от 40 до 160 мм, в комплекте резиновый фланец, для контроллера М172</t>
  </si>
  <si>
    <t>TM1SH284</t>
  </si>
  <si>
    <t>Датчик влажности TM1SH284</t>
  </si>
  <si>
    <t>230/43/43</t>
  </si>
  <si>
    <t>универсальный датчик влажности, питание 24 В</t>
  </si>
  <si>
    <t>TM1SH304</t>
  </si>
  <si>
    <t>Датчик влажности комнатный TM1SH304</t>
  </si>
  <si>
    <t>93/93/46</t>
  </si>
  <si>
    <t>влажность в помещении IP65, питание 24 В</t>
  </si>
  <si>
    <t>PS500</t>
  </si>
  <si>
    <t>Дифференциальный датчик давления PS500</t>
  </si>
  <si>
    <t>73/105/63</t>
  </si>
  <si>
    <t>HK Instruments</t>
  </si>
  <si>
    <t>индикация загрязнения фильтра, защита от обмерзания рекуператора, под заказ 13Х64=705 руб. без ндс</t>
  </si>
  <si>
    <t>PS1500</t>
  </si>
  <si>
    <t>Дифференциальный датчик давления PS1500</t>
  </si>
  <si>
    <t>подтверждение работы вентилятора</t>
  </si>
  <si>
    <t>TF60</t>
  </si>
  <si>
    <t>Термостат защиты от замерзания TF60 6 м</t>
  </si>
  <si>
    <t>140/62/65</t>
  </si>
  <si>
    <t>Industrie Technic</t>
  </si>
  <si>
    <t>защита водяного калорифера от замерзания</t>
  </si>
  <si>
    <t>DBZ-05</t>
  </si>
  <si>
    <t>Держатели для термостата DBZ-05</t>
  </si>
  <si>
    <t>90/90/25</t>
  </si>
  <si>
    <t>используются для монтажа термостата защиты</t>
  </si>
  <si>
    <t>KPI 35</t>
  </si>
  <si>
    <t>Реле давления KPI 35</t>
  </si>
  <si>
    <t>84/61/44</t>
  </si>
  <si>
    <t>подтверждение работы насоса</t>
  </si>
  <si>
    <t>КОНТРОЛЛЕРЫ</t>
  </si>
  <si>
    <t>TM171OD14R</t>
  </si>
  <si>
    <t>Контроллер  TM171OD14R, дисплей, 14 I/Os</t>
  </si>
  <si>
    <t>71/87/62</t>
  </si>
  <si>
    <t>программируемый контроллер HVAC, для простейших задач управления</t>
  </si>
  <si>
    <t>TM171ODM14R</t>
  </si>
  <si>
    <t>Контроллер  TM171ODM14R, дисплей, 14 I/Os, Modbus</t>
  </si>
  <si>
    <t>Modbus RTU</t>
  </si>
  <si>
    <t>TM171OD22R</t>
  </si>
  <si>
    <t>Контроллер  TM171OD22R, дисплей, 22 I/Os</t>
  </si>
  <si>
    <t>программируемый контроллер HVAC, для простых задач управления</t>
  </si>
  <si>
    <t>TM171ODM22R</t>
  </si>
  <si>
    <t>Контроллер  TM171ODM22R, дисплей, 22 I/Os, Modbus</t>
  </si>
  <si>
    <t>TM171OFM22R</t>
  </si>
  <si>
    <t>Контроллер  TM171OFM22R, дисплей, скрытый монтаж, 22 I/Os, Modbus</t>
  </si>
  <si>
    <t>программируемый контроллер HVAC, поверхностный монтаж, Modbus RTU</t>
  </si>
  <si>
    <t>TM171EP14R</t>
  </si>
  <si>
    <t>Модуль расширения  TM171EP14R, 14 I/Os</t>
  </si>
  <si>
    <t>расширение вх/вых TM171 и ТМ172</t>
  </si>
  <si>
    <t>TM171DWAL2L</t>
  </si>
  <si>
    <t>Пульт управления  TM171DWAL2L, настенный, подсветка</t>
  </si>
  <si>
    <t>137/97/32</t>
  </si>
  <si>
    <t>выносной пульт для м171О, настенный, подсветка</t>
  </si>
  <si>
    <t>TM171ASCTB14</t>
  </si>
  <si>
    <t>Клеммная колодка на 14 вх/вых TM171ASCTB14</t>
  </si>
  <si>
    <t>30/20/15</t>
  </si>
  <si>
    <t>клеммы для TM171EP14R</t>
  </si>
  <si>
    <t>TM171ACB4OI1M</t>
  </si>
  <si>
    <t>Кабель с разъемом 20-pin длиной 1 м TM171ACB4OI1M</t>
  </si>
  <si>
    <t>120/80/15</t>
  </si>
  <si>
    <t>клеммы с кабелем для TM171OD22R,  TM171ODM22R и TM171OFM22R</t>
  </si>
  <si>
    <t>TM171ACB4OAO1M</t>
  </si>
  <si>
    <t>Кабель с разъемом 4-pin длиной 1 м TM171ACB4OAO1M</t>
  </si>
  <si>
    <t>70/50/15</t>
  </si>
  <si>
    <t>TM172PDG28R</t>
  </si>
  <si>
    <t>Контроллер  TM172PDG28R, дисплей, 28 I/O, Eth, 2 MB</t>
  </si>
  <si>
    <t>144/110/61</t>
  </si>
  <si>
    <t>программируемый контроллер для HVAC, для сложных задач управления</t>
  </si>
  <si>
    <t>TM172PDG42R</t>
  </si>
  <si>
    <t>Контроллер  TM172PDG42R, дисплей, 42 I/O, Eth, 2 MB</t>
  </si>
  <si>
    <t>TM171DGRP</t>
  </si>
  <si>
    <t>Графический дисплей  TM171DGRP</t>
  </si>
  <si>
    <t>140/75/30</t>
  </si>
  <si>
    <t>выносной дисплей для ТМ172</t>
  </si>
  <si>
    <t>TM171ABKPB</t>
  </si>
  <si>
    <t>Задняя крышка белого цвета TM171ABKPB</t>
  </si>
  <si>
    <t>160/96/30</t>
  </si>
  <si>
    <t>задняя крышка для выносного дисплея TM171DGRP</t>
  </si>
  <si>
    <t>TM172ASCTB28</t>
  </si>
  <si>
    <t>Терминальный блок с винтами на 28 вх/вых TM172ASCTB28</t>
  </si>
  <si>
    <t>40/30/15</t>
  </si>
  <si>
    <t>клеммы для TM172PDG28R</t>
  </si>
  <si>
    <t>TM172ASCTB42</t>
  </si>
  <si>
    <t>Терминальный блок с винтами на 42 вх/вых TM172ASCTB42</t>
  </si>
  <si>
    <t>клеммы для TM172PDG42R</t>
  </si>
  <si>
    <t>SR2A101FU</t>
  </si>
  <si>
    <t>Контроллер  Zelio SR2A101FU</t>
  </si>
  <si>
    <t>72/90/60</t>
  </si>
  <si>
    <t>логический контроллер,  для резервного вентилятора</t>
  </si>
  <si>
    <t>ТРАНСФОРМАТОРЫ И БЛОКИ ПИТАНИЯ</t>
  </si>
  <si>
    <t>ABL8MEM24003</t>
  </si>
  <si>
    <t>Модульный блок питания 24В 0,3A ABL8MEM24003</t>
  </si>
  <si>
    <t>36/110/59</t>
  </si>
  <si>
    <t>для питания приводов и датчиков на 24 В</t>
  </si>
  <si>
    <t>ABL8MEM24006</t>
  </si>
  <si>
    <t>Модульный блок питания 24В 0,6A ABL8MEM24006</t>
  </si>
  <si>
    <t>для питания TM171OD22R, TM171ODM22R,  TM171EP14R</t>
  </si>
  <si>
    <t>ABL8MEM24012</t>
  </si>
  <si>
    <t>Модульный блок питания 24В 1,2A ABL8MEM24012</t>
  </si>
  <si>
    <t>54/110/59</t>
  </si>
  <si>
    <t>для питания TM172PDG28R,  TM172PDG42R</t>
  </si>
  <si>
    <t>A9A15220</t>
  </si>
  <si>
    <t>Трансформатор iTR 40ВА 12/24В</t>
  </si>
  <si>
    <t>90/89/60</t>
  </si>
  <si>
    <t>для питания приводов на 24 В</t>
  </si>
  <si>
    <t>A9A15222</t>
  </si>
  <si>
    <t>Трансформатор iTR 63ВА 12/24В</t>
  </si>
  <si>
    <t>ПАНЕЛИ MAGELIS</t>
  </si>
  <si>
    <t>HMISTU655</t>
  </si>
  <si>
    <t>Сенсорная цветная панель 3"5 HMISTU655</t>
  </si>
  <si>
    <t>98/116/55</t>
  </si>
  <si>
    <t>Ethernet, IP65, питание 24В пост., 7Вт, крепление на отверстие 22 мм</t>
  </si>
  <si>
    <t>HMISTU855</t>
  </si>
  <si>
    <t>Сенсорная цветная панель 5"7 HMISTU855</t>
  </si>
  <si>
    <t>129/163/56</t>
  </si>
  <si>
    <t>HMIGXU3512</t>
  </si>
  <si>
    <t>Сенсорная цветная панель 7" HMIGXU3512</t>
  </si>
  <si>
    <t>147/202/34</t>
  </si>
  <si>
    <t>Ethernet, IP65, питание 24В пост.</t>
  </si>
  <si>
    <t>HMIGXU5512</t>
  </si>
  <si>
    <t>Сенсорная цветная панель 10" HMIGXU5512</t>
  </si>
  <si>
    <t>201/270/34</t>
  </si>
  <si>
    <t>ПРИБОРЫ АВТОМАТИКИ</t>
  </si>
  <si>
    <t>СРМ1</t>
  </si>
  <si>
    <t>Симисторный регулятор СРМ1</t>
  </si>
  <si>
    <t>82/82/59</t>
  </si>
  <si>
    <t>Россия</t>
  </si>
  <si>
    <t>регулирование скорости, установка на стену,  220В, 1А</t>
  </si>
  <si>
    <t>СРМ2</t>
  </si>
  <si>
    <t>Симисторный регулятор СРМ2</t>
  </si>
  <si>
    <t>регулирование скорости, установка на стену,  220В, 2А</t>
  </si>
  <si>
    <t>СРС1</t>
  </si>
  <si>
    <t>Симисторный регулятор СРС1</t>
  </si>
  <si>
    <t>82/82/67</t>
  </si>
  <si>
    <t>регулирование скорости, утопленный монтаж,  220В, 1А</t>
  </si>
  <si>
    <t>СРС2</t>
  </si>
  <si>
    <t>Симисторный регулятор СРС2</t>
  </si>
  <si>
    <t>регулирование скорости, утопленный монтаж,  220В, 2А</t>
  </si>
  <si>
    <t>СРМ3</t>
  </si>
  <si>
    <t>Симисторный регулятор СРМ3</t>
  </si>
  <si>
    <t>82/82/63</t>
  </si>
  <si>
    <t>регулирование скорости, установка на стену,  220В, 3А</t>
  </si>
  <si>
    <t>СРМ4</t>
  </si>
  <si>
    <t>Симисторный регулятор СРМ4</t>
  </si>
  <si>
    <t>регулирование скорости, установка на стену,  220В, 4А</t>
  </si>
  <si>
    <t>СРМ5</t>
  </si>
  <si>
    <t>Симисторный регулятор СРМ5</t>
  </si>
  <si>
    <t>153/80/70</t>
  </si>
  <si>
    <t>регулирование скорости, установка на стену,  220В, 5А</t>
  </si>
  <si>
    <t>СРМ7</t>
  </si>
  <si>
    <t>Симисторный регулятор СРМ7</t>
  </si>
  <si>
    <t>регулирование скорости, установка на стену,  220В, 7А</t>
  </si>
  <si>
    <t>СРМ2,5щ</t>
  </si>
  <si>
    <t>Симисторный регулятор СРМ2,5щ</t>
  </si>
  <si>
    <t>35/90/58</t>
  </si>
  <si>
    <t>регулирование скорости, установка на DIN-рейку,  220В, 2,5А</t>
  </si>
  <si>
    <t>ТР220</t>
  </si>
  <si>
    <t>Реле защиты ТР220</t>
  </si>
  <si>
    <t>для защиты двигателей с РТС термоконтактами</t>
  </si>
  <si>
    <t>МРТ220.10-16</t>
  </si>
  <si>
    <t>Терморегулятор МРТ220.10-16</t>
  </si>
  <si>
    <t>153/80/63</t>
  </si>
  <si>
    <t>регулятор температуры 220В, 16А, вкл/выкл вентилятора</t>
  </si>
  <si>
    <t>МРТ220.12-16</t>
  </si>
  <si>
    <t>Терморегулятор МРТ220.12-16</t>
  </si>
  <si>
    <t>регулятор температуры для канального нагревателя 220В, 16А</t>
  </si>
  <si>
    <t>МРТ220.14-16</t>
  </si>
  <si>
    <t>Терморегулятор МРТ220.14-16</t>
  </si>
  <si>
    <t>регулятор температуры 220В, 16А, регулировка скорости вентилятора</t>
  </si>
  <si>
    <t>МРТ380.14-25</t>
  </si>
  <si>
    <t>Терморегулятор МРТ380.14-25</t>
  </si>
  <si>
    <t>243/187/88</t>
  </si>
  <si>
    <t>регулятор температуры для канального нагревателя 380В, 25А</t>
  </si>
  <si>
    <t>МРТ380.14-40</t>
  </si>
  <si>
    <t>Терморегулятор МРТ380.14-40</t>
  </si>
  <si>
    <t>305/187/88</t>
  </si>
  <si>
    <t>регулятор температуры для канального нагревателя 380В, 40А</t>
  </si>
  <si>
    <t>БРМ25</t>
  </si>
  <si>
    <t>Блок расширения мощности БРМ25</t>
  </si>
  <si>
    <t>регулятор мощности нагревателя 380В, 25А</t>
  </si>
  <si>
    <t>БРМ40</t>
  </si>
  <si>
    <t>Блок расширения мощности БРМ40</t>
  </si>
  <si>
    <t>регулятор мощности нагревателя 380В, 40А</t>
  </si>
  <si>
    <t>ТД1</t>
  </si>
  <si>
    <t>Датчик температуры ТД1</t>
  </si>
  <si>
    <t>160/9/9</t>
  </si>
  <si>
    <t>температурный датчик PT1000, кабель 4 м</t>
  </si>
  <si>
    <t>ТД1 (10м)</t>
  </si>
  <si>
    <t>Датчик температуры ТД1 (10м)</t>
  </si>
  <si>
    <t>температурный датчик PT1000, кабель 10 м</t>
  </si>
  <si>
    <t>ПН1</t>
  </si>
  <si>
    <t>Позиционер ПН1</t>
  </si>
  <si>
    <t>задание сигнала 0-10В, настенный монтаж</t>
  </si>
  <si>
    <t>ПС1</t>
  </si>
  <si>
    <t>Позиционер ПС1</t>
  </si>
  <si>
    <t>задание сигнала 0-10В, утопленный монтаж</t>
  </si>
  <si>
    <t>ШАРОВЫЕ СМЕСИТЕЛЬНЫЕ КЛАПАНА SAUTER</t>
  </si>
  <si>
    <t>67/55/50</t>
  </si>
  <si>
    <t>Sauter</t>
  </si>
  <si>
    <t>kvs 2,5, ДУ15</t>
  </si>
  <si>
    <t>kvs 4, ДУ15</t>
  </si>
  <si>
    <t>72/58/54</t>
  </si>
  <si>
    <t>kvs 6,3, ДУ20</t>
  </si>
  <si>
    <t>85/66/59</t>
  </si>
  <si>
    <t>kvs 10, ДУ25</t>
  </si>
  <si>
    <t>99/77/66</t>
  </si>
  <si>
    <t>kvs 16, ДУ32</t>
  </si>
  <si>
    <t>110/85/78</t>
  </si>
  <si>
    <t>kvs 25, ДУ40</t>
  </si>
  <si>
    <t>131/103/101</t>
  </si>
  <si>
    <t>kvs 40, ДУ50</t>
  </si>
  <si>
    <t>AKM105SF132</t>
  </si>
  <si>
    <t>Привод AKM105SF132</t>
  </si>
  <si>
    <t>127/70/138</t>
  </si>
  <si>
    <t>для клапанов с kvs 1,6 - 6,3</t>
  </si>
  <si>
    <t>AKM115SF132</t>
  </si>
  <si>
    <t>Привод AKM115SF132</t>
  </si>
  <si>
    <t>для клапанов с kvs 10 - 63</t>
  </si>
  <si>
    <t>НАСОСЫ</t>
  </si>
  <si>
    <t>Насос GHN 20/40-130</t>
  </si>
  <si>
    <t>130/124/136</t>
  </si>
  <si>
    <t>IMPPUMPS</t>
  </si>
  <si>
    <t>3,5 м куб/час, DN 20, 40 кПа, гайки 3/4", 220В, 0,21А</t>
  </si>
  <si>
    <t>Насос GHN 20/60-130</t>
  </si>
  <si>
    <t>3,5 м куб/час, DN 20, 60 кПа, гайки 3|4", 220В, 0,35А</t>
  </si>
  <si>
    <t>GHN 25/60-130</t>
  </si>
  <si>
    <t>Насос GHN 25/60-130</t>
  </si>
  <si>
    <t>3,5 м куб/час, 60 кПа, DN 25, гайки 1", 220В, 0,35А</t>
  </si>
  <si>
    <t>Насос GHN 25/70-180</t>
  </si>
  <si>
    <t>180/138/124</t>
  </si>
  <si>
    <t>6 м куб/час, 68 кПа, DN 25, гайки 1", 220В, 0,62А</t>
  </si>
  <si>
    <t>Насос GHN 25/80-180</t>
  </si>
  <si>
    <t>180/178/137</t>
  </si>
  <si>
    <t>8,4 м куб/час, 80 кПа, DN 25, гайки 1", 220В, 0,91А</t>
  </si>
  <si>
    <t>GHN 32/70-180</t>
  </si>
  <si>
    <t>Насос GHN 32/70-180</t>
  </si>
  <si>
    <t>6 м куб/час, 68 кПа, DN 32, гайки 1", 220В, 0,62А</t>
  </si>
  <si>
    <t>Насос GHN 32/80-180</t>
  </si>
  <si>
    <t>180/181/137</t>
  </si>
  <si>
    <t>8,4 м куб/час, 80 кПа, DN 32, гайки 1 1/1", 220В, 0,91А</t>
  </si>
  <si>
    <t>Насос GHND 32/70-180</t>
  </si>
  <si>
    <t>180/241/318</t>
  </si>
  <si>
    <t>10,8 м куб/час, 64 кПа, DN 32, гайки 1 1/1", 220В, 0,62А</t>
  </si>
  <si>
    <t>Насос GHND 32/80-180</t>
  </si>
  <si>
    <t>180/227/333</t>
  </si>
  <si>
    <t>14,4 м куб/час, 78 кПа, DN 32, гайки 1 1/1", 220В, 0,95А</t>
  </si>
  <si>
    <t>GHND 32/120-180</t>
  </si>
  <si>
    <t>Насос GHND 32/120-180</t>
  </si>
  <si>
    <t>180/202/359</t>
  </si>
  <si>
    <t>14,3 м куб/час, 108 кПа, DN 32, гайки 1 1/1", 220В, 1,15А</t>
  </si>
  <si>
    <t>Насос GHN Basic  40-120 F</t>
  </si>
  <si>
    <t>250/263/217</t>
  </si>
  <si>
    <t>20 м куб/час, 120 кПа, фланцевый DN 40, 380В, 1,46А</t>
  </si>
  <si>
    <t>Насос GHN Basic  40-190 F</t>
  </si>
  <si>
    <t>250/300/222</t>
  </si>
  <si>
    <t>28,5м куб/час, 180 кПа, фланцевый DN 40, 380В, 2,24А</t>
  </si>
  <si>
    <t>Насос GHN Basic  50-40 F</t>
  </si>
  <si>
    <t>280/320/243</t>
  </si>
  <si>
    <t>20 м куб/час, 35 кПа, фланцевый DN 50, 380В, 1,1А</t>
  </si>
  <si>
    <t>GHN Basic  50-70 F</t>
  </si>
  <si>
    <t>Насос GHN Basic  50-70 F</t>
  </si>
  <si>
    <t>25 м куб/час, 60 кПа, фланцевый DN 50, 380В, 1,2А</t>
  </si>
  <si>
    <t>Насос GHN Basic  50-120 F</t>
  </si>
  <si>
    <t>30 м куб/час, 120 кПа, фланцевый DN 50, 380В, 1,73А</t>
  </si>
  <si>
    <t>Насос GHN Basic  50-190 F</t>
  </si>
  <si>
    <t>39 м куб/час, 195 кПа, фланцевый DN 50, 380В, 2,9А</t>
  </si>
  <si>
    <t>Гайки 3/4"</t>
  </si>
  <si>
    <t>Гайки 3/4" (чугун) 2 шт. в комплеке</t>
  </si>
  <si>
    <t>50/50/80</t>
  </si>
  <si>
    <t>две гайки, две уплотнительные резинки и два штуцера</t>
  </si>
  <si>
    <t>Гайки 1"</t>
  </si>
  <si>
    <t>Гайки 1" (чугун) 2 шт. в комплеке</t>
  </si>
  <si>
    <t>60/60/100</t>
  </si>
  <si>
    <t>Гайки 1 1/4"</t>
  </si>
  <si>
    <t>Гайки 1 1/4" (чугун) 2 шт. в комплеке</t>
  </si>
  <si>
    <t>СМЕСИТЕЛЬНЫЕ УЗЛЫ</t>
  </si>
  <si>
    <t>СУ3-40-2,5</t>
  </si>
  <si>
    <t>Смесительный узел СУ3-40-2,5</t>
  </si>
  <si>
    <t>3-х ходовой, kvs 2,5, насос 3,5 м куб/час, 40 кПа</t>
  </si>
  <si>
    <t>СУ3-40-4</t>
  </si>
  <si>
    <t>Смесительный узел СУ3-40-4</t>
  </si>
  <si>
    <t>3-х ходовой, kvs 4, насос 3,5 м куб/час, 40 кПа</t>
  </si>
  <si>
    <t>СУ3-60-4</t>
  </si>
  <si>
    <t>Смесительный узел СУ3-60-4</t>
  </si>
  <si>
    <t>3-х ходовой, kvs 4, насос 4 м куб/час, 60 кПа</t>
  </si>
  <si>
    <t>СУ3-60-6,3</t>
  </si>
  <si>
    <t>Смесительный узел СУ3-60-6,3</t>
  </si>
  <si>
    <t>3-х ходовой, kvs 6,3, насос 4 м куб/час, 60 кПа</t>
  </si>
  <si>
    <t>СУ3-70-6,3</t>
  </si>
  <si>
    <t>Смесительный узел СУ3-70-6,3</t>
  </si>
  <si>
    <t>3-х ходовой, kvs 6,3, насос 6 м куб/час, 70 кПа</t>
  </si>
  <si>
    <t>СУ3-70-10</t>
  </si>
  <si>
    <t>Смесительный узел СУ3-70-10</t>
  </si>
  <si>
    <t>3-х ходовой, kvs 10, насос 6 м куб/час, 70 кПа</t>
  </si>
  <si>
    <t>СУ3-80-10</t>
  </si>
  <si>
    <t>Смесительный узел СУ3-80-10</t>
  </si>
  <si>
    <t>3-х ходовой, kvs 10, насос 8 м куб/час, 80 кПа</t>
  </si>
  <si>
    <t>СУ3-80-16</t>
  </si>
  <si>
    <t>Смесительный узел СУ3-80-16</t>
  </si>
  <si>
    <t>3-х ходовой, kvs 16, насос 8 м куб/час, 80 кПа</t>
  </si>
  <si>
    <t>СУ3-ХС-2,5</t>
  </si>
  <si>
    <t>Смесительный узел СУ3-ХС-2,5</t>
  </si>
  <si>
    <t>СУ3-ХС-4</t>
  </si>
  <si>
    <t>Смесительный узел СУ3-ХС-4</t>
  </si>
  <si>
    <t>СУ3-ХС-6,3</t>
  </si>
  <si>
    <t>Смесительный узел СУ3-ХС-6,3</t>
  </si>
  <si>
    <t>СУ3-ХС-10</t>
  </si>
  <si>
    <t>Смесительный узел СУ3-ХС-10</t>
  </si>
  <si>
    <t>СУ3-ХС-16</t>
  </si>
  <si>
    <t>Смесительный узел СУ3-ХС-16</t>
  </si>
  <si>
    <t>СУ3-ХС-25</t>
  </si>
  <si>
    <t>Смесительный узел СУ3-ХС-25</t>
  </si>
  <si>
    <t>СУ3-ХС-40</t>
  </si>
  <si>
    <t>Смесительный узел СУ3-ХС-40</t>
  </si>
  <si>
    <t>СУ3-ХС-63LF</t>
  </si>
  <si>
    <t>Смесительный узел СУ3-ХС-63LF</t>
  </si>
  <si>
    <r>
      <t xml:space="preserve">Холодоснабжение, клапан BV-3-50-63, привод DA08N24PIS, </t>
    </r>
    <r>
      <rPr>
        <sz val="11"/>
        <rFont val="Arial"/>
        <family val="2"/>
        <charset val="204"/>
      </rPr>
      <t>DN 50</t>
    </r>
  </si>
  <si>
    <t>Смесительный узел СУ3-ТС-40-2,5</t>
  </si>
  <si>
    <t>Смесительный узел СУ3-ТС-40-4</t>
  </si>
  <si>
    <t>Смесительный узел СУ3-ТС-40-6,3</t>
  </si>
  <si>
    <t>Смесительный узел СУ3-ТС-60-2,5</t>
  </si>
  <si>
    <t>Смесительный узел СУ3-ТС-60-4</t>
  </si>
  <si>
    <t>Смесительный узел СУ3-ТС-60-6,3</t>
  </si>
  <si>
    <t>Смесительный узел СУ3-ТС-70-6,3</t>
  </si>
  <si>
    <t>Смесительный узел СУ3-ТС-70-10</t>
  </si>
  <si>
    <t>Смесительный узел СУ3-ТС-70-16</t>
  </si>
  <si>
    <t>Смесительный узел СУ3-ТС-80-6,3</t>
  </si>
  <si>
    <t>Смесительный узел СУ3-ТС-80-10</t>
  </si>
  <si>
    <t>Смесительный узел СУ3-ТС-80-16</t>
  </si>
  <si>
    <t>Смесительный узел СУ3-ТСД-70-10</t>
  </si>
  <si>
    <t>Смесительный узел СУ3-ТСД-70-16</t>
  </si>
  <si>
    <t>Смесительный узел СУ3-ТСД-70-25</t>
  </si>
  <si>
    <t>Смесительный узел СУ3-ТСД-80-16</t>
  </si>
  <si>
    <t>Смесительный узел СУ3-ТСД-80-25</t>
  </si>
  <si>
    <t>Смесительный узел СУ3-ТСФ-120-16</t>
  </si>
  <si>
    <t>Смесительный узел СУ3-ТСФ-120-25</t>
  </si>
  <si>
    <t>Смесительный узел СУ3-ТСФ-50/40-40</t>
  </si>
  <si>
    <t>Смесительный узел СУ3-ТСФ-190-16</t>
  </si>
  <si>
    <t>Смесительный узел СУ3-ТСФ-190-25</t>
  </si>
  <si>
    <t>Смесительный узел СУ3-ТСФ-190-40</t>
  </si>
  <si>
    <t>Смесительный узел СУ3-ТСФ-50/120-40</t>
  </si>
  <si>
    <t>Теплооснабжение, клапан BV-3-50-63, привод DA08N24PIS, насос GHN Basic  50-120 F, DN 50</t>
  </si>
  <si>
    <t>Смесительный узел СУ3-ТСФ-50/190-40</t>
  </si>
  <si>
    <t>Смесительный узел СУ3-ТСР-40-2,5</t>
  </si>
  <si>
    <t>Смесительный узел СУ3-ТСР-40-4</t>
  </si>
  <si>
    <t>Смесительный узел СУ3-ТСР-40-6,3</t>
  </si>
  <si>
    <t>Смесительный узел СУ3-ТСР-60-2,5</t>
  </si>
  <si>
    <t>Смесительный узел СУ3-ТСР-60-4</t>
  </si>
  <si>
    <t>Смесительный узел СУ3-ТСР-60-6,3</t>
  </si>
  <si>
    <t>Смесительный узел СУ3-ТСР-70-6,3</t>
  </si>
  <si>
    <t>Смесительный узел СУ3-ТСР-70-10</t>
  </si>
  <si>
    <t>Смесительный узел СУ3-ТСР-70-16</t>
  </si>
  <si>
    <t>Смесительный узел СУ3-ТСР-80-6,3</t>
  </si>
  <si>
    <t>Смесительный узел СУ3-ТСР-80-10</t>
  </si>
  <si>
    <t>Смесительный узел СУ3-ТСР-80-16</t>
  </si>
  <si>
    <t>Смесительный узел СУ3-ТСРФ-50/40-40</t>
  </si>
  <si>
    <t>СУ3-ТСРФ-50/70-40</t>
  </si>
  <si>
    <t>Смесительный узел СУ3-ТСРФ-50/70-40</t>
  </si>
  <si>
    <t>Смесительный узел СУ3-ТСРФ-50/120-40</t>
  </si>
  <si>
    <t>Теплооснабжение, клапан BV-3-50-63, привод DA08N24PIS, насос GHN Basic  50-120 F 2 шт., DN 50</t>
  </si>
  <si>
    <t>СУ3-ТСРФ-50/190-25</t>
  </si>
  <si>
    <t>Смесительный узел СУ3-ТСРФ-50/190-25</t>
  </si>
  <si>
    <t>Смесительный узел СУ3-ТСРФ-50/190-40</t>
  </si>
  <si>
    <t>Узлы с постоянным расходом теплоносителя</t>
  </si>
  <si>
    <t>СУ3-ТСЛ-40-2,5</t>
  </si>
  <si>
    <t>Смесительный узел СУ3-ТСЛ-40-2,5</t>
  </si>
  <si>
    <t>СУ3-ТСЛ-40-4</t>
  </si>
  <si>
    <t>Смесительный узел СУ3-ТСЛ-40-4</t>
  </si>
  <si>
    <t>СУ3-ТСЛ-40-6,3</t>
  </si>
  <si>
    <t>Смесительный узел СУ3-ТСЛ-40-6,3</t>
  </si>
  <si>
    <t>СУ3-ТСЛ-60-2,5</t>
  </si>
  <si>
    <t>Смесительный узел СУ3-ТСЛ-60-2,5</t>
  </si>
  <si>
    <t>СУ3-ТСЛ-60-4</t>
  </si>
  <si>
    <t>Смесительный узел СУ3-ТСЛ-60-4</t>
  </si>
  <si>
    <t>СУ3-ТСЛ-60-6,3</t>
  </si>
  <si>
    <t>Смесительный узел СУ3-ТСЛ-60-6,3</t>
  </si>
  <si>
    <t>СУ3-ТСЛ-70-6,3</t>
  </si>
  <si>
    <t>Смесительный узел СУ3-ТСЛ-70-6,3</t>
  </si>
  <si>
    <t>СУ3-ТСЛ-70-10</t>
  </si>
  <si>
    <t>Смесительный узел СУ3-ТСЛ-70-10</t>
  </si>
  <si>
    <t>СУ3-ТСЛ-70-16</t>
  </si>
  <si>
    <t>Смесительный узел СУ3-ТСЛ-70-16</t>
  </si>
  <si>
    <t>СУ3-ТСЛД-70-16</t>
  </si>
  <si>
    <t>Смесительный узел СУ3-ТСЛД-70-16</t>
  </si>
  <si>
    <t>СУ3-ТСЛ-80-6,3</t>
  </si>
  <si>
    <t>Смесительный узел СУ3-ТСЛ-80-6,3</t>
  </si>
  <si>
    <t>СУ3-ТСЛ-80-10</t>
  </si>
  <si>
    <t>Смесительный узел СУ3-ТСЛ-80-10</t>
  </si>
  <si>
    <t>СУ3-ТСЛ-80-16</t>
  </si>
  <si>
    <t>Смесительный узел СУ3-ТСЛ-80-16</t>
  </si>
  <si>
    <t>Узлы с переменным расходом сети</t>
  </si>
  <si>
    <t>СУ3-ТСО-40-2,5</t>
  </si>
  <si>
    <t>Смесительный узел СУ3-ТСО-40-2,5</t>
  </si>
  <si>
    <t>СУ3-ТСО-40-4</t>
  </si>
  <si>
    <t>Смесительный узел СУ3-ТСО-40-4</t>
  </si>
  <si>
    <t>СУ3-ТСО-40-6,3</t>
  </si>
  <si>
    <t>Смесительный узел СУ3-ТСО-40-6,3</t>
  </si>
  <si>
    <t>СУ3-ТСО-60-2,5</t>
  </si>
  <si>
    <t>Смесительный узел СУ3-ТСО-60-2,5</t>
  </si>
  <si>
    <t>СУ3-ТСО-60-4</t>
  </si>
  <si>
    <t>Смесительный узел СУ3-ТСО-60-4</t>
  </si>
  <si>
    <t>СУ3-ТСО-60-6,3</t>
  </si>
  <si>
    <t>Смесительный узел СУ3-ТСО-60-6,3</t>
  </si>
  <si>
    <t>СУ3-ТСО-70-6,3</t>
  </si>
  <si>
    <t>Смесительный узел СУ3-ТСО-70-6,3</t>
  </si>
  <si>
    <t>СУ3-ТСО-70-10</t>
  </si>
  <si>
    <t>Смесительный узел СУ3-ТСО-70-10</t>
  </si>
  <si>
    <t>СУ3-ТСО-70-16</t>
  </si>
  <si>
    <t>Смесительный узел СУ3-ТСО-70-16</t>
  </si>
  <si>
    <t>СУ3-ТСО-80-6,3</t>
  </si>
  <si>
    <t>Смесительный узел СУ3-ТСО-80-6,3</t>
  </si>
  <si>
    <t>СУ3-ТСО-80-10</t>
  </si>
  <si>
    <t>Смесительный узел СУ3-ТСО-80-10</t>
  </si>
  <si>
    <t>СУ3-ТСО-80-16</t>
  </si>
  <si>
    <t>Смесительный узел СУ3-ТСО-80-16</t>
  </si>
  <si>
    <t>СУ3-ТСОД-70-10</t>
  </si>
  <si>
    <t>Смесительный узел СУ3-ТСОД-70-10</t>
  </si>
  <si>
    <t>СУ3-ТСОД-70-16</t>
  </si>
  <si>
    <t>Смесительный узел СУ3-ТСОД-70-16</t>
  </si>
  <si>
    <t>СУ3-ТСОД-70-25</t>
  </si>
  <si>
    <t>Смесительный узел СУ3-ТСОД-70-25</t>
  </si>
  <si>
    <t>СУ3-ТСОД-80-16</t>
  </si>
  <si>
    <t>Смесительный узел СУ3-ТСОД-80-16</t>
  </si>
  <si>
    <t>СУ3-ТСОД-80-25</t>
  </si>
  <si>
    <t>Смесительный узел СУ3-ТСОД-80-25</t>
  </si>
  <si>
    <t>СУ3-ТСОФ-120-16</t>
  </si>
  <si>
    <t>Смесительный узел СУ3-ТСОФ-120-16</t>
  </si>
  <si>
    <t>СУ3-ТСОФ-120-25</t>
  </si>
  <si>
    <t>Смесительный узел СУ3-ТСОФ-120-25</t>
  </si>
  <si>
    <t>СУ3-ТСОФ-50/40-40</t>
  </si>
  <si>
    <t>Смесительный узел СУ3-ТСОФ-50/40-40</t>
  </si>
  <si>
    <t>СУ3-ТСОФ-190-16</t>
  </si>
  <si>
    <t>Смесительный узел СУ3-ТСОФ-190-16</t>
  </si>
  <si>
    <t>СУ3-ТСОФ-190-25</t>
  </si>
  <si>
    <t>Смесительный узел СУ3-ТСОФ-190-25</t>
  </si>
  <si>
    <t>СУ3-ТСОФ-190-40</t>
  </si>
  <si>
    <t>Смесительный узел СУ3-ТСОФ-190-40</t>
  </si>
  <si>
    <t>СУ3-ТСОФ-50/70-40</t>
  </si>
  <si>
    <t>Смесительный узел СУ3-ТСОФ-50/70-40</t>
  </si>
  <si>
    <t>СУ3-ТСОФ-50/120-40</t>
  </si>
  <si>
    <t>Смесительный узел СУ3-ТСОФ-50/120-40</t>
  </si>
  <si>
    <t>СУ3-ТСОФ-50/190-40</t>
  </si>
  <si>
    <t>Смесительный узел СУ3-ТСОФ-50/190-40</t>
  </si>
  <si>
    <t>СУ3-ТСОФ-50/190-25</t>
  </si>
  <si>
    <t>Смесительный узел СУ3-ТСОФ-50/190-25</t>
  </si>
  <si>
    <t>Подводка, DN 15</t>
  </si>
  <si>
    <t>Гибкая подводка DN 15, 1 м + фитинг</t>
  </si>
  <si>
    <t>Гибкая подводка, нержавеющая жесть Neptun IWS, 1 м, в комплекте фитинг, DN 15</t>
  </si>
  <si>
    <t>Подводка, DN 20</t>
  </si>
  <si>
    <t>Гибкая подводка DN 20, 1 м + фитинг</t>
  </si>
  <si>
    <t>Гибкая подводка, нержавеющая жесть Neptun IWS, 1 м, в комплекте фитинг, DN 20</t>
  </si>
  <si>
    <t>Подводка, DN 25</t>
  </si>
  <si>
    <t>Гибкая подводка DN 25, 1 м + фитинг</t>
  </si>
  <si>
    <t>Гибкая подводка, нержавеющая жесть Neptun IWS, 1 м, в комплекте фитинг, DN 25</t>
  </si>
  <si>
    <t>Подводка, DN 32</t>
  </si>
  <si>
    <t>Гибкая подводка DN 32, 1 м + фитинг</t>
  </si>
  <si>
    <t>Гибкая подводка, нержавеющая жесть Neptun IWS, 1 м, в комплекте фитинг, DN 32</t>
  </si>
  <si>
    <t>Подводка, DN 40</t>
  </si>
  <si>
    <t>Гибкая подводка DN 40, 1 м + фитинг</t>
  </si>
  <si>
    <t>Гибкая подводка, нержавеющая жесть Neptun IWS, 1 м, в комплекте фитинг, DN 40</t>
  </si>
  <si>
    <t>Комплект КИП</t>
  </si>
  <si>
    <t>Комплект КИП, 2 манометра и 2 термометра</t>
  </si>
  <si>
    <t>Комплект КИП без фитингов, 2 манометра и 2 термометра</t>
  </si>
  <si>
    <t>Комплект КИП DN 15</t>
  </si>
  <si>
    <t>Комплект КИП с фитингами под DN 15</t>
  </si>
  <si>
    <t>Подготавливаем для установки 2 манометра на стороне сети, 2 термометра на стороне ТО, Приборы отдельно, тройники заглушены.</t>
  </si>
  <si>
    <t>Комплект КИП DN 20</t>
  </si>
  <si>
    <t>Комплект КИП с фитингами под DN 20</t>
  </si>
  <si>
    <t>Комплект КИП DN 25</t>
  </si>
  <si>
    <t>Комплект КИП с фитингами под DN 25</t>
  </si>
  <si>
    <t>Комплект КИП DN 32</t>
  </si>
  <si>
    <t>Комплект КИП с фитингами под DN 32</t>
  </si>
  <si>
    <t>Комплект КИП DN 40</t>
  </si>
  <si>
    <t>Комплект КИП с фитингами под DN 40</t>
  </si>
  <si>
    <t>Комплект КИП DN 50</t>
  </si>
  <si>
    <t>Комплект КИП с фитингами под DN 50</t>
  </si>
  <si>
    <t>Бал. клапан DN 15 Kvs 2,11</t>
  </si>
  <si>
    <t>Балансировочный клапан Ballorex DN 15 Kvs 2,11</t>
  </si>
  <si>
    <t>Балансировочный клапан Ballorex Venturi DRV, Broen + ниппель, DN 15 Kvs 2,11</t>
  </si>
  <si>
    <t>Бал. клапан DN 15 Kvs 4,81</t>
  </si>
  <si>
    <t>Балансировочный клапан Ballorex DN 15 Kvs 4,81</t>
  </si>
  <si>
    <t>Балансировочный клапан Ballorex Venturi DRV, Broen + ниппель, DN 15 Kvs 4,81</t>
  </si>
  <si>
    <t>Бал. клапан DN 15 Kvs 9,94</t>
  </si>
  <si>
    <t>Балансировочный клапан Ballorex DN 15 Kvs 9,94</t>
  </si>
  <si>
    <t>Балансировочный клапан Ballorex Venturi DRV, Broen + ниппель, DN 15 Kvs 9,94</t>
  </si>
  <si>
    <t>Бал. клапан DN 20 Kvs 4,81</t>
  </si>
  <si>
    <t>Балансировочный клапан Ballorex DN 20 Kvs 4,81</t>
  </si>
  <si>
    <t>Балансировочный клапан Ballorex Venturi DRV, Broen + ниппель, DN 20 Kvs 4,81</t>
  </si>
  <si>
    <t>Бал. клапан DN 20 Kvs 9,94</t>
  </si>
  <si>
    <t>Балансировочный клапан Ballorex DN 20 Kvs 9,94</t>
  </si>
  <si>
    <t>Балансировочный клапан Ballorex Venturi DRV, Broen + ниппель, DN 20 Kvs 9,94</t>
  </si>
  <si>
    <t>Бал. клапан DN 20 Kvs 13,3</t>
  </si>
  <si>
    <t>Балансировочный клапан Ballorex DN 20 Kvs 13,3</t>
  </si>
  <si>
    <t>Балансировочный клапан Ballorex Venturi DRV, Broen + ниппель, DN 20 Kvs 13,3</t>
  </si>
  <si>
    <t>Бал. клапан DN 25 Kvs 9,94</t>
  </si>
  <si>
    <t>Балансировочный клапан Ballorex DN 25 Kvs 9,94</t>
  </si>
  <si>
    <t>Балансировочный клапан Ballorex Venturi DRV, Broen + ниппель, DN 25 Kvs 9,94</t>
  </si>
  <si>
    <t>Бал. клапан DN 25 Kvs 13,3</t>
  </si>
  <si>
    <t>Балансировочный клапан Ballorex DN 25 Kvs 13,3</t>
  </si>
  <si>
    <t>Бал. клапан DN 32 Kvs 13,3</t>
  </si>
  <si>
    <t>Балансировочный клапан Ballorex DN 32 Kvs 13,3</t>
  </si>
  <si>
    <t>Балансировочный клапан Ballorex Venturi DRV, Broen + ниппель, DN 32 Kvs 13,3</t>
  </si>
  <si>
    <t>Бал. клапан DN 32 Kvs 23,3</t>
  </si>
  <si>
    <t>Балансировочный клапан Ballorex DN 32 Kvs 23,3</t>
  </si>
  <si>
    <t>Балансировочный клапан Ballorex Venturi DRV, Broen + ниппель, DN 32 Kvs 23,3</t>
  </si>
  <si>
    <t>Бал. клапан DN 40 Kvs 23,3</t>
  </si>
  <si>
    <t>Балансировочный клапан Ballorex DN 40 Kvs 23,3</t>
  </si>
  <si>
    <t>Балансировочный клапан Ballorex Venturi DRV, Broen + ниппель, DN 40 Kvs 23,3</t>
  </si>
  <si>
    <t>Бал. клапан DN 40 Kvs 35,3</t>
  </si>
  <si>
    <t>Балансировочный клапан Ballorex DN 40 Kvs 35,3</t>
  </si>
  <si>
    <t>Балансировочный клапан Ballorex Venturi DRV, Broen + ниппель, DN 40 Kvs 35,3</t>
  </si>
  <si>
    <t>Бал. клапан DN 50 Kvs 35,3</t>
  </si>
  <si>
    <t>Балансировочный клапан Ballorex DN 50 Kvs 35,3</t>
  </si>
  <si>
    <t>Балансировочный клапан Ballorex Venturi DRV, Broen + ниппель, DN 50 Kvs 35,3</t>
  </si>
  <si>
    <t>Бал. клапан р/р DN 15 Kvs 1,71</t>
  </si>
  <si>
    <t>Балансировочный клапан р/р Ballorex V DN 15, Broen Kvs 1,71</t>
  </si>
  <si>
    <t>Балансировочный клапан р/р Ballorex® V, Broen + ниппель,  DN 15 Kvs 1,71</t>
  </si>
  <si>
    <t>Бал. клапан р/р DN 15 Kvs 4,4</t>
  </si>
  <si>
    <t>Балансировочный клапан р/р Ballorex V DN 15, Broen Kvs 4,4</t>
  </si>
  <si>
    <t>Балансировочный клапан р/р Ballorex® V, Broen + ниппель,  DN 15 Kvs 4,4</t>
  </si>
  <si>
    <t>Бал. клапан р/р DN 15 Kvs 7,46</t>
  </si>
  <si>
    <t>Балансировочный клапан р/р Ballorex V DN 15, Broen Kvs 7,46</t>
  </si>
  <si>
    <t>Балансировочный клапан р/р Ballorex® V, Broen + ниппель,  DN 15 Kvs 7,46</t>
  </si>
  <si>
    <t>Бал. клапан р/р DN 20 Kvs 4,4</t>
  </si>
  <si>
    <t>Балансировочный клапан р/р Ballorex V DN 20, Brotn Kvs 4,4</t>
  </si>
  <si>
    <t>Балансировочный клапан р/р Ballorex® V, Broen + ниппель,  DN 20 Kvs 4,4</t>
  </si>
  <si>
    <t>Бал. клапан р/р DN 20 Kvs 7,46</t>
  </si>
  <si>
    <t>Балансировочный клапан р/р Ballorex V DN 20, Broen Kvs 7,46</t>
  </si>
  <si>
    <t>Балансировочный клапан р/р Ballorex® V, Broen + ниппель,  DN 20 Kvs 7,46</t>
  </si>
  <si>
    <t>Бал. клапан р/р DN 20 Kvs 13,48</t>
  </si>
  <si>
    <t>Балансировочный клапан р/р Ballorex V DN 20, Broen Kvs 13,48</t>
  </si>
  <si>
    <t>Балансировочный клапан р/р Ballorex® V, Broen + ниппель,  DN 20 Kvs 13,48</t>
  </si>
  <si>
    <t>Бал. клапан р/р DN 25 Kvs 7,46</t>
  </si>
  <si>
    <t>Балансировочный клапан р/р Ballorex V DN 25, Broen Kvs 7,46</t>
  </si>
  <si>
    <t>Балансировочный клапан р/р Ballorex® V, Broen + ниппель,  DN 25 Kvs 7,46</t>
  </si>
  <si>
    <t>Бал. клапан р/р DN 25 Kvs 13,48</t>
  </si>
  <si>
    <t>Балансировочный клапан р/р Ballorex V DN 25, Broen Kvs 13,48</t>
  </si>
  <si>
    <t>Балансировочный клапан р/р Ballorex® V, Broen + ниппель,  DN 25 Kvs 13,48</t>
  </si>
  <si>
    <t>Бал. клапан р/р DN 32 Kvs 13,48</t>
  </si>
  <si>
    <t>Балансировочный клапан р/р Ballorex V DN 32, Broen Kvs 13,48</t>
  </si>
  <si>
    <t>Балансировочный клапан р/р Ballorex® V, Broen + ниппель,  DN 32 Kvs 13,48</t>
  </si>
  <si>
    <t>Бал. клапан р/р DN 32 Kvs 23,68</t>
  </si>
  <si>
    <t>Балансировочный клапан р/р Ballorex V DN 32, Broen Kvs 23,68</t>
  </si>
  <si>
    <t>Балансировочный клапан р/р Ballorex® V, Broen + ниппель,  DN 32 Kvs 23,68</t>
  </si>
  <si>
    <t>Бал. клапан р/р DN 40 Kvs 23,68</t>
  </si>
  <si>
    <t>Балансировочный клапан р/р Ballorex V DN 40, Broen Kvs 23,68</t>
  </si>
  <si>
    <t>Балансировочный клапан р/р Ballorex® V, Broen + ниппель,  DN 40 Kvs 23,68</t>
  </si>
  <si>
    <t>Бал. клапан р/р DN 40 Kvs 34,68</t>
  </si>
  <si>
    <t>Балансировочный клапан р/р Ballorex V DN 40, Broen Kvs 34,68</t>
  </si>
  <si>
    <t>Балансировочный клапан р/р Ballorex® V, Broen + ниппель,  DN 40 Kvs 34,68</t>
  </si>
  <si>
    <t>Бал. клапан р/р DN 50 Kvs 34,68</t>
  </si>
  <si>
    <t>Балансировочный клапан р/р Ballorex V DN 50, Broen Kvs 34,68</t>
  </si>
  <si>
    <t>Балансировочный клапан р/р Ballorex® V, Broen + ниппель,  DN 50 Kvs 34,68</t>
  </si>
  <si>
    <t>KPI 35 Danfoss DN 20</t>
  </si>
  <si>
    <t>Реле давления жидкости KPI 35 Danfoss, DN 20</t>
  </si>
  <si>
    <t>Реле давления жидкости KPI 35 Danfoss + тройник + ниппель, DN 20</t>
  </si>
  <si>
    <t>KPI 35 Danfoss DN 25</t>
  </si>
  <si>
    <t>Реле давления жидкости KPI 35 Danfoss, DN 25</t>
  </si>
  <si>
    <t>Реле давления жидкости KPI 35 Danfoss + тройник + ниппель, DN 25</t>
  </si>
  <si>
    <t>KPI 35 Danfoss DN 32</t>
  </si>
  <si>
    <t>Реле давления жидкости KPI 35 Danfoss, DN 32</t>
  </si>
  <si>
    <t>Реле давления жидкости KPI 35 Danfoss + тройник + ниппель, DN 32</t>
  </si>
  <si>
    <t>KPI 35 Danfoss DN 40</t>
  </si>
  <si>
    <t>Реле давления жидкости KPI 35 Danfoss, DN 40</t>
  </si>
  <si>
    <t>Реле давления жидкости KPI 35 Danfoss + тройник + ниппель, DN 40</t>
  </si>
  <si>
    <t>KPI 35 Danfoss DN 50</t>
  </si>
  <si>
    <t>Реле давления жидкости KPI 35 Danfoss, DN 50</t>
  </si>
  <si>
    <t>Реле давления жидкости KPI 35 Danfoss + тройник + ниппель, DN 50</t>
  </si>
  <si>
    <t>Выполнил</t>
  </si>
  <si>
    <t>Filters</t>
  </si>
  <si>
    <t>Res</t>
  </si>
  <si>
    <t>Phase</t>
  </si>
  <si>
    <t>ElHeater</t>
  </si>
  <si>
    <t>QtyMod</t>
  </si>
  <si>
    <t>QtySec</t>
  </si>
  <si>
    <t>RefCool</t>
  </si>
  <si>
    <t>Pwr</t>
  </si>
  <si>
    <t>Recu</t>
  </si>
  <si>
    <t>Modific</t>
  </si>
  <si>
    <t>Humi</t>
  </si>
  <si>
    <t>Special</t>
  </si>
  <si>
    <t>AO</t>
  </si>
  <si>
    <t>DI</t>
  </si>
  <si>
    <t>AI</t>
  </si>
  <si>
    <t>ModBus</t>
  </si>
  <si>
    <t>DO_SW</t>
  </si>
  <si>
    <t>DO_380</t>
  </si>
  <si>
    <t>DO_220</t>
  </si>
  <si>
    <t>DO_24</t>
  </si>
  <si>
    <t>Приводы</t>
  </si>
  <si>
    <t>less than</t>
  </si>
  <si>
    <t>m2</t>
  </si>
  <si>
    <t>Электропривод с пружинным возвратом DA05S220</t>
  </si>
  <si>
    <t>Электропривод с пружинным возвратом DA10S220</t>
  </si>
  <si>
    <t>Электропривод с пружинным возвратом DA15S220</t>
  </si>
  <si>
    <t xml:space="preserve"> </t>
  </si>
  <si>
    <t>Электропривод без пружинного возврата DA04N220</t>
  </si>
  <si>
    <t>Электропривод без пружинного возврата DA08N220</t>
  </si>
  <si>
    <t>Электропривод без пружинного возврата DA16N220</t>
  </si>
  <si>
    <t>Электропривод без пружинного возврата DA24N220</t>
  </si>
  <si>
    <t>Электропривод без пружинного возврата DA32N220</t>
  </si>
  <si>
    <t>скорость</t>
  </si>
  <si>
    <t>TempCanal</t>
  </si>
  <si>
    <t>TempOut</t>
  </si>
  <si>
    <t>TempCollar</t>
  </si>
  <si>
    <t>TempRoom</t>
  </si>
  <si>
    <t>Thermostat</t>
  </si>
  <si>
    <t>HumCanal</t>
  </si>
  <si>
    <t>HumRoom</t>
  </si>
  <si>
    <t>FilterPresSw</t>
  </si>
  <si>
    <t>FanPresSw</t>
  </si>
  <si>
    <t>Модель ЧП</t>
  </si>
  <si>
    <t>Преобразователь частоты ATV310H037N4E 0,37 кВт 380В 3ф</t>
  </si>
  <si>
    <t>Преобразователь частоты ATV310H075N4E 0,75 кВт 380В 3ф</t>
  </si>
  <si>
    <t>Преобразователь частоты ATV310HU15N4E 1,5 кВт 380В 3ф</t>
  </si>
  <si>
    <t>Преобразователь частоты ATV310HU22N4E 2,2 кВт 380В 3ф</t>
  </si>
  <si>
    <t>Преобразователь частоты ATV310HU30N4E 3 кВт 380В 3ф</t>
  </si>
  <si>
    <t>Преобразователь частоты ATV310HU40N4E 4 кВт 380В 3ф</t>
  </si>
  <si>
    <t>Преобразователь частоты ATV310HU55N4E 5,5 кВт 380В 3ф</t>
  </si>
  <si>
    <t>Преобразователь частоты ATV310HU75N4E 7,5 кВт 380В 3ф</t>
  </si>
  <si>
    <t>Преобразователь частоты ATV310HD11N4E 11 кВт 380В 3ф</t>
  </si>
  <si>
    <t>No</t>
  </si>
  <si>
    <t>Датчики 0-10</t>
  </si>
  <si>
    <t>Датчики SW</t>
  </si>
  <si>
    <t>DO-PM</t>
  </si>
  <si>
    <t>DO-220</t>
  </si>
  <si>
    <t>DO-24-SW</t>
  </si>
  <si>
    <t>DO-24-</t>
  </si>
  <si>
    <t>DO-380</t>
  </si>
  <si>
    <t>вент.</t>
  </si>
  <si>
    <t>ступень</t>
  </si>
  <si>
    <t>ток</t>
  </si>
  <si>
    <t>24 В</t>
  </si>
  <si>
    <t>тип</t>
  </si>
  <si>
    <t>модуль</t>
  </si>
  <si>
    <t>Полное</t>
  </si>
  <si>
    <t>Габариты</t>
  </si>
  <si>
    <t>Вес</t>
  </si>
  <si>
    <t>Краткое описание</t>
  </si>
  <si>
    <t>0-10 В</t>
  </si>
  <si>
    <t>шт.</t>
  </si>
  <si>
    <t>220-SW</t>
  </si>
  <si>
    <t>кВт</t>
  </si>
  <si>
    <t>нагр</t>
  </si>
  <si>
    <t>шкафа</t>
  </si>
  <si>
    <t>ВА</t>
  </si>
  <si>
    <t>контроллера</t>
  </si>
  <si>
    <t>расширения</t>
  </si>
  <si>
    <t>наименование</t>
  </si>
  <si>
    <t>ш/в/г</t>
  </si>
  <si>
    <t>DO-A(1PH)</t>
  </si>
  <si>
    <t>DO-E</t>
  </si>
  <si>
    <t>DO-D</t>
  </si>
  <si>
    <t>DO-B</t>
  </si>
  <si>
    <t>DO-A</t>
  </si>
  <si>
    <t>DO-C</t>
  </si>
  <si>
    <t>А</t>
  </si>
  <si>
    <t>Шкаф управления CB40PL1AHUS</t>
  </si>
  <si>
    <t>IP65, пластик, вентилятор 4 квт, водяной калорифер, водяной охладитель</t>
  </si>
  <si>
    <t>вкл/выкл ПЧ только подачей питания</t>
  </si>
  <si>
    <t>Шкаф управления CB55PL1AHUS</t>
  </si>
  <si>
    <t>IP65, пластик, вентилятор 5,5 квт, водяной калорифер, водяной охладитель</t>
  </si>
  <si>
    <t>Шкаф управления CB75PL1AHUS</t>
  </si>
  <si>
    <t>IP65, пластик, вентилятор 7,5 квт, водяной калорифер, водяной охладитель</t>
  </si>
  <si>
    <t>Шкаф управления CB11PL1AHUS</t>
  </si>
  <si>
    <t>IP65, пластик, вентилятор 11 квт, водяной калорифер, водяной охладитель</t>
  </si>
  <si>
    <t>Шкаф управления CB15PL1AHUS</t>
  </si>
  <si>
    <t>IP65, пластик, вентилятор 15 квт, водяной калорифер, водяной охладитель</t>
  </si>
  <si>
    <t>Шкаф управления CB40PL1AHUNS</t>
  </si>
  <si>
    <t>IP65, пластик, вентилятор 4 квт, водяной калорифер, водяной охладитель,  Modbus RTU</t>
  </si>
  <si>
    <t>Шкаф управления CB55PL1AHUNS</t>
  </si>
  <si>
    <t>IP65, пластик, вентилятор 5,5 квт, водяной калорифер, водяной охладитель,  Modbus RTU</t>
  </si>
  <si>
    <t>Шкаф управления CB75PL1AHUNS</t>
  </si>
  <si>
    <t>IP65, пластик, вентилятор 7,5 квт, водяной калорифер, водяной охладитель,  Modbus RTU</t>
  </si>
  <si>
    <t>Шкаф управления CB11PL1AHUNS</t>
  </si>
  <si>
    <t>IP65, пластик, вентилятор 11 квт, водяной калорифер, водяной охладитель,  Modbus RTU</t>
  </si>
  <si>
    <t>Шкаф управления CB15PL1AHUNS</t>
  </si>
  <si>
    <t>IP65, пластик, вентилятор 15 квт, водяной калорифер, водяной охладитель,  Modbus RTU</t>
  </si>
  <si>
    <t>Шкаф управления CB40PL1MTPS</t>
  </si>
  <si>
    <t>IP65, пластик, вентилятор 4 квт, электрический калорифер 16 кВт, фреоновый охладитель</t>
  </si>
  <si>
    <t>Шкаф управления CB40PL2MTPS</t>
  </si>
  <si>
    <t>IP65, пластик, вентилятор 4 квт, электрический калорифер 24 кВт, фреоновый охладитель</t>
  </si>
  <si>
    <t>Шкаф управления CB40PL3MTPS</t>
  </si>
  <si>
    <t>IP65, пластик, вентилятор 4 квт, электрический калорифер 16 + 16 кВт</t>
  </si>
  <si>
    <t>Шкаф управления CB40PL4MTPS</t>
  </si>
  <si>
    <t>IP65, пластик, вентилятор 4 квт, электрический калорифер 24 + 24 кВт</t>
  </si>
  <si>
    <t>Шкаф управления CB40PL1MTPNS</t>
  </si>
  <si>
    <t>IP65, пластик, вентилятор 4 квт, электрический калорифер 16 кВт, фреоновый охладитель,  Modbus RTU</t>
  </si>
  <si>
    <t>Шкаф управления CB40PL2MTPNS</t>
  </si>
  <si>
    <t>IP65, пластик, вентилятор 4 квт, электрический калорифер 24 кВт, фреоновый охладитель,  Modbus RTU</t>
  </si>
  <si>
    <t>Шкаф управления CB40PL3MTPNS</t>
  </si>
  <si>
    <t>IP65, пластик, вентилятор 4 квт, электрический калорифер 16 + 16 кВт,  Modbus RTU</t>
  </si>
  <si>
    <t>Шкаф управления CB40PL4MTPNS</t>
  </si>
  <si>
    <t>IP65, пластик, вентилятор 4 квт, электрический калорифер 24 + 24 кВт,  Modbus RTU</t>
  </si>
  <si>
    <t>Шкаф управления CB55PL0AHUM</t>
  </si>
  <si>
    <t>IP65, пластик, два вентилятора 5,5 кВт, водяной калорифер, AI-5, AO-3, DI-2, DO-4</t>
  </si>
  <si>
    <t>Шкаф управления CB75PL0AHUM</t>
  </si>
  <si>
    <t>IP65, пластик, два вентилятора 7,5 кВт, водяной калорифер, AI-5, AO-3, DI-2, DO-4</t>
  </si>
  <si>
    <t>Шкаф управления CB11PL0AHUM</t>
  </si>
  <si>
    <t>IP65, пластик, два вентилятора 11 кВт, водяной калорифер, AI-5, AO-3, DI-2, DO-4</t>
  </si>
  <si>
    <t>Шкаф управления CB15PL0AHUM</t>
  </si>
  <si>
    <t>IP65, пластик, два вентилятора 15 кВт, водяной калорифер, AI-5, AO-3, DI-2, DO-4</t>
  </si>
  <si>
    <t>Шкаф управления CB55PL0AHUNM</t>
  </si>
  <si>
    <t>IP65, пластик, два вентилятора 5,5 кВт, водяной калорифер, AI-5, AO-3, DI-2, DO-4, Modbus RTU</t>
  </si>
  <si>
    <t>Шкаф управления CB75PL0AHUNM</t>
  </si>
  <si>
    <t>IP65, пластик, два вентилятора 7,5 кВт, водяной калорифер, AI-5, AO-3, DI-2, DO-4, Modbus RTU</t>
  </si>
  <si>
    <t>Шкаф управления CB11PL0AHUNM</t>
  </si>
  <si>
    <t>IP65, пластик, два вентилятора 11 кВт, водяной калорифер, AI-5, AO-3, DI-2, DO-4, Modbus RTU</t>
  </si>
  <si>
    <t>Шкаф управления CB15PL0AHUNM</t>
  </si>
  <si>
    <t>IP65, пластик, два вентилятора 15 кВт, водяной калорифер, AI-5, AO-3, DI-2, DO-4, Modbus RTU</t>
  </si>
  <si>
    <t>Шкаф управления CB55PL1AHUM</t>
  </si>
  <si>
    <t>IP65, пластик, два вентилятора 5,5 кВт, водяной калорифер, AI-5, AO-3, DI-6, DO-5</t>
  </si>
  <si>
    <t>Шкаф управления CB75PL1AHUM</t>
  </si>
  <si>
    <t>IP65, пластик, два вентилятора 7,5 кВт, водяной калорифер, AI-5, AO-3, DI-6, DO-5</t>
  </si>
  <si>
    <t>Шкаф управления CB11PL1AHUM</t>
  </si>
  <si>
    <t>IP65, пластик, два вентилятора 11 кВт, водяной калорифер, AI-5, AO-3, DI-6, DO-5</t>
  </si>
  <si>
    <t>Шкаф управления CB15PL1AHUM</t>
  </si>
  <si>
    <t>IP65, пластик, два вентилятора 15 кВт, водяной калорифер, AI-5, AO-3, DI-6, DO-5</t>
  </si>
  <si>
    <t>Шкаф управления CB55PL1AHUNM</t>
  </si>
  <si>
    <t>IP65, пластик, два вентилятора 5,5 кВт, водяной калорифер, AI-5, AO-3, DI-6, DO-5, Modbus RTU</t>
  </si>
  <si>
    <t>Шкаф управления CB75PL1AHUNM</t>
  </si>
  <si>
    <t>IP65, пластик, два вентилятора 7,5 кВт, водяной калорифер, AI-5, AO-3, DI-6, DO-5, Modbus RTU</t>
  </si>
  <si>
    <t>Шкаф управления CB11PL1AHUNM</t>
  </si>
  <si>
    <t>IP65, пластик, два вентилятора 11 кВт, водяной калорифер, AI-5, AO-3, DI-6, DO-5, Modbus RTU</t>
  </si>
  <si>
    <t>Шкаф управления CB15PL1AHUNM</t>
  </si>
  <si>
    <t>IP65, пластик, два вентилятора 15 кВт, водяной калорифер, AI-5, AO-3, DI-6, DO-5, Modbus RTU</t>
  </si>
  <si>
    <t>Шкаф управления CB55FE1AHUNM</t>
  </si>
  <si>
    <t>IP66, железо, два вентилятора 5,5 кВт, водяной калорифер, AI-5, AO-3, DI-6, DO-5, Modbus RTU</t>
  </si>
  <si>
    <t>Шкаф управления CB75FE1AHUNM</t>
  </si>
  <si>
    <t>IP66, железо, два вентилятора 7,5 кВт, водяной калорифер, AI-5, AO-3, DI-6, DO-5, Modbus RTU</t>
  </si>
  <si>
    <t>Шкаф управления CB11FE1AHUNM</t>
  </si>
  <si>
    <t>IP66, железо, два вентилятора 11 кВт, водяной калорифер, AI-5, AO-3, DI-6, DO-5, Modbus RTU</t>
  </si>
  <si>
    <t>Шкаф управления CB15FE1AHUNM</t>
  </si>
  <si>
    <t>IP66, железо, два вентилятора 15 кВт, водяной калорифер, AI-5, AO-3, DI-6, DO-5, Modbus RTU</t>
  </si>
  <si>
    <t>Шкаф управления CB55PL0MTPM</t>
  </si>
  <si>
    <t>IP65, пластик, вентилятор 5,5 кВт, эл, нагреватель 10 кВт, AI-5, AO-3, DI-2, DO-4</t>
  </si>
  <si>
    <t>Шкаф управления CB75PL0MTPM</t>
  </si>
  <si>
    <t>IP65, пластик, вентилятор 7,5 кВт, эл, нагреватель 13 кВт, AI-5, AO-3, DI-2, DO-4</t>
  </si>
  <si>
    <t>Шкаф управления CB11PL0MTPM</t>
  </si>
  <si>
    <t>IP65, пластик, вентилятор 11 кВт, эл, нагреватель 16,5 кВт, AI-5, AO-3, DI-2, DO-4</t>
  </si>
  <si>
    <t>Шкаф управления CB15PL0MTPM</t>
  </si>
  <si>
    <t>IP65, пластик, вентилятор 15 кВт, эл, нагреватель 21 кВт, AI-5, AO-3, DI-2, DO-4</t>
  </si>
  <si>
    <t>Шкаф управления CB55PL0MTPNM</t>
  </si>
  <si>
    <t>IP65, пластик, вентилятор 5,5 кВт, эл, нагреватель 10 кВт, AI-5, AO-3, DI-2, DO-4, Modbus RTU</t>
  </si>
  <si>
    <t>Шкаф управления CB75PL0MTPNM</t>
  </si>
  <si>
    <t>IP65, пластик, вентилятор 7,5 кВт, эл, нагреватель 13 кВт, AI-5, AO-3, DI-2, DO-4, Modbus RTU</t>
  </si>
  <si>
    <t>Шкаф управления CB11PL0MTPNM</t>
  </si>
  <si>
    <t>IP65, пластик, вентилятор 11 кВт, эл, нагреватель 16,5 кВт, AI-5, AO-3, DI-2, DO-4, Modbus RTU</t>
  </si>
  <si>
    <t>Шкаф управления CB15PL0MTPNM</t>
  </si>
  <si>
    <t>IP65, пластик, вентилятор 15 кВт, эл, нагреватель 21 кВт, AI-5, AO-3, DI-2, DO-4, Modbus RTU</t>
  </si>
  <si>
    <t>Шкаф управления CB55PL1MTPM</t>
  </si>
  <si>
    <t>IP65, пластик, вентилятор 5,5 кВт, эл, нагреватель 10 кВт, AI-5, AO-3, DI-6, DO-5</t>
  </si>
  <si>
    <t>Шкаф управления CB75PL1MTPM</t>
  </si>
  <si>
    <t>IP65, пластик, вентилятор 7,5 кВт, эл, нагреватель 13 кВт, AI-5, AO-3, DI-6, DO-5</t>
  </si>
  <si>
    <t>Шкаф управления CB11PL1MTPM</t>
  </si>
  <si>
    <t>IP65, пластик, вентилятор 11 кВт, эл, нагреватель 16,5 кВт, AI-5, AO-3, DI-6, DO-5</t>
  </si>
  <si>
    <t>Шкаф управления CB15PL1MTPM</t>
  </si>
  <si>
    <t>IP65, пластик, вентилятор 15 кВт, эл, нагреватель 21 кВт, AI-5, AO-3, DI-6, DO-5</t>
  </si>
  <si>
    <t>Шкаф управления CB55PL1MTPNM</t>
  </si>
  <si>
    <t>IP65, пластик, вентилятор 5,5 кВт, эл, нагреватель 10 кВт, AI-5, AO-3, DI-6, DO-5, Modbus RTU</t>
  </si>
  <si>
    <t>Шкаф управления CB75PL1MTPNM</t>
  </si>
  <si>
    <t>IP65, пластик, вентилятор 7,5 кВт, эл, нагреватель 13 кВт, AI-5, AO-3, DI-6, DO-5, Modbus RTU</t>
  </si>
  <si>
    <t>Шкаф управления CB11PL1MTPNM</t>
  </si>
  <si>
    <t>IP65, пластик, вентилятор 11 кВт, эл, нагреватель 16,5 кВт, AI-5, AO-3, DI-6, DO-5, Modbus RTU</t>
  </si>
  <si>
    <t>Шкаф управления CB15PL1MTPNM</t>
  </si>
  <si>
    <t>IP65, пластик, вентилятор 15 кВт, эл, нагреватель 21 кВт, AI-5, AO-3, DI-6, DO-5, Modbus RTU</t>
  </si>
  <si>
    <t>Шкаф управления CB55FE1MTPNM</t>
  </si>
  <si>
    <t>IP66, железо, вентилятор 5,5 кВт, эл, нагреватель 10 кВт, AI-5, AO-3, DI-6, DO-5, Modbus RTU</t>
  </si>
  <si>
    <t>Шкаф управления CB75FE1MTPNM</t>
  </si>
  <si>
    <t>IP66, железо, вентилятор 7,5 кВт, эл, нагреватель 13 кВт, AI-5, AO-3, DI-6, DO-5, Modbus RTU</t>
  </si>
  <si>
    <t>Шкаф управления CB11FE1MTPNM</t>
  </si>
  <si>
    <t>IP66, железо, вентилятор 11 кВт, эл, нагреватель 16,5 кВт, AI-5, AO-3, DI-6, DO-5, Modbus RTU</t>
  </si>
  <si>
    <t>Шкаф управления CB15FE1MTPNM</t>
  </si>
  <si>
    <t>IP66, железо, вентилятор 15 кВт, эл, нагреватель 21 кВт, AI-5, AO-3, DI-6, DO-5, Modbus RTU</t>
  </si>
  <si>
    <t>Шкаф управления CB55PL1AHUL</t>
  </si>
  <si>
    <t>IP65, пластик, три двигателя 5,5 кВт, водяной калорифер, AI-8, AO-4, DI-8, DO-7, Modbus, Ethernet, Bacnet</t>
  </si>
  <si>
    <t>Шкаф управления CB75PL1AHUL</t>
  </si>
  <si>
    <t>IP65, пластик, три двигателя 7,5 кВт, водяной калорифер, AI-8, AO-4, DI-8, DO-7, Modbus, Ethernet, Bacnet</t>
  </si>
  <si>
    <t>Шкаф управления CB11PL1AHUL</t>
  </si>
  <si>
    <t>IP65, пластик, три двигателя 11 кВт, водяной калорифер, AI-8, AO-4, DI-8, DO-7, Modbus, Ethernet, Bacnet</t>
  </si>
  <si>
    <t>Шкаф управления CB15PL1AHUL</t>
  </si>
  <si>
    <t>IP65, пластик, три двигателя 15 кВт, водяной калорифер, AI-8, AO-4, DI-8, DO-7, Modbus, Ethernet, Bacnet</t>
  </si>
  <si>
    <t>Шкаф управления CB55PL2AHUL</t>
  </si>
  <si>
    <t>IP65, пластик, четыре двигателя 5,5 кВт, водяной калорифер, AI-12, AO-5, DI-12, DO-9, Modbus, Ethernet, Bacnet</t>
  </si>
  <si>
    <t>Шкаф управления CB75PL2AHUL</t>
  </si>
  <si>
    <t>IP65, пластик, четыре двигателя 7,5 кВт, водяной калорифер, AI-12, AO-5, DI-12, DO-9, Modbus, Ethernet, Bacnet</t>
  </si>
  <si>
    <t>Шкаф управления CB11PL2AHUL</t>
  </si>
  <si>
    <t>IP65, пластик, четыре двигателя 11 кВт, водяной калорифер, AI-12, AO-5, DI-12, DO-9, Modbus, Ethernet, Bacnet</t>
  </si>
  <si>
    <t>Шкаф управления CB15PL2AHUL</t>
  </si>
  <si>
    <t>IP65, пластик, четыре двигателя 15 кВт, водяной калорифер, AI-12, AO-5, DI-12, DO-9, Modbus, Ethernet, Bacnet</t>
  </si>
  <si>
    <t>Шкаф управления CB55PL3AHUL</t>
  </si>
  <si>
    <t>IP65, пластик, пять двигателей 5,5 кВт, водяной калорифер, AI-16, AO-6, DI-16, DO-11, Modbus, Ethernet, Bacnet</t>
  </si>
  <si>
    <t>Шкаф управления CB75PL3AHUL</t>
  </si>
  <si>
    <t>IP65, пластик, пять двигателей 7,5 кВт, водяной калорифер, AI-16, AO-6, DI-16, DO-11, Modbus, Ethernet, Bacnet</t>
  </si>
  <si>
    <t>Шкаф управления CB55PL1MTPL</t>
  </si>
  <si>
    <t>IP65, пластик, двигатель 5,5 кВт, эл, нагреватель 10 кВт, 3 ступени, AI-8, AO-4, DI-8, DO-8, Modbus, Ethernet, Bacnet</t>
  </si>
  <si>
    <t>Шкаф управления CB75PL1MTPL</t>
  </si>
  <si>
    <t>IP65, пластик, двигатель 7,5 кВт, эл, нагреватель 13 кВт, 3 ступени, AI-8, AO-4, DI-8, DO-8, Modbus, Ethernet, Bacnet</t>
  </si>
  <si>
    <t>Шкаф управления CB11PL1MTPL</t>
  </si>
  <si>
    <t>IP65, пластик, двигатель 11 кВт, эл, нагреватель 16,5 кВт, 3 ступени, AI-8, AO-4, DI-8, DO-8, Modbus, Ethernet, Bacnet</t>
  </si>
  <si>
    <t>Шкаф управления CB15PL1MTPL</t>
  </si>
  <si>
    <t>IP65, пластик, двигатель 15 кВт, эл, нагреватель 21 кВт, 3 ступени, AI-8, AO-4, DI-8, DO-8, Modbus, Ethernet, Bacnet</t>
  </si>
  <si>
    <t>Шкаф управления CB55PL2MTPL</t>
  </si>
  <si>
    <t>IP65, пластик, двигатель 5,5 кВт, эл, нагреватель 10 кВт, 4 ступени, AI-12, AO-5, DI-12, DO-10, Modbus, Ethernet, Bacnet</t>
  </si>
  <si>
    <t>Шкаф управления CB75PL2MTPL</t>
  </si>
  <si>
    <t>IP65, пластик, двигатель 7,5 кВт, эл, нагреватель 13 кВт, 4 ступени, AI-12, AO-5, DI-12, DO-10, Modbus, Ethernet, Bacnet</t>
  </si>
  <si>
    <t>Шкаф управления CB55FE1AHUL</t>
  </si>
  <si>
    <t>IP66, железо, три двигателя 5,5 кВт, водяной калорифер, AI-8, AO-4, DI-8, DO-7, Modbus, Ethernet, Bacnet</t>
  </si>
  <si>
    <t>Шкаф управления CB75FE1AHUL</t>
  </si>
  <si>
    <t>IP66, железо, три двигателя 7,5 кВт, водяной калорифер, AI-8, AO-4, DI-8, DO-7, Modbus, Ethernet, Bacnet</t>
  </si>
  <si>
    <t>Щкаф управления CB11FE1AHUL</t>
  </si>
  <si>
    <t>IP66, железо, три двигателя 11 кВт, водяной калорифер, AI-8, AO-4, DI-8, DO-7, Modbus, Ethernet, Bacnet</t>
  </si>
  <si>
    <t>Шкаф управления CB15FE1AHUL</t>
  </si>
  <si>
    <t>IP66, железо, три двигателя 15 кВт, водяной калорифер, AI-8, AO-4, DI-8, DO-7, Modbus, Ethernet, Bacnet</t>
  </si>
  <si>
    <t>Шкаф управления CB18FE1AHUL</t>
  </si>
  <si>
    <t>IP66, железо, три двигателя 18 кВт, водяной калорифер, AI-8, AO-4, DI-8, DO-7, Modbus, Ethernet, Bacnet</t>
  </si>
  <si>
    <t>Шкаф управления CB22FE1AHUL</t>
  </si>
  <si>
    <t>IP66, железо, три двигателя 22 кВт, водяной калорифер, AI-8, AO-4, DI-8, DO-7, Modbus, Ethernet, Bacnet</t>
  </si>
  <si>
    <t>Шкаф управления CB30FE1AHUL</t>
  </si>
  <si>
    <t>IP66, железо, три двигателя 30 кВт, водяной калорифер, AI-8, AO-4, DI-8, DO-7, Modbus, Ethernet, Bacnet</t>
  </si>
  <si>
    <t>Шкаф управления CB55FE2AHUL</t>
  </si>
  <si>
    <t>IP66, железо, четыре двигателя 5,5 кВт, водяной калорифер, AI-12, AO-5, DI-12, DO-9, Modbus, Ethernet, Bacnet</t>
  </si>
  <si>
    <t>Шкаф управления CB75FE2AHUL</t>
  </si>
  <si>
    <t>IP66, железо, четыре двигателя 7,5 кВт, водяной калорифер, AI-12, AO-5, DI-12, DO-9, Modbus, Ethernet, Bacnet</t>
  </si>
  <si>
    <t>Шкаф управления CB11FE2AHUL</t>
  </si>
  <si>
    <t>IP66, железо, четыре двигателя 11 кВт, водяной калорифер, AI-12, AO-5, DI-12, DO-9, Modbus, Ethernet, Bacnet</t>
  </si>
  <si>
    <t>Шкаф управления CB15FE2AHUL</t>
  </si>
  <si>
    <t>IP66, железо, четыре двигателя 15 кВт, водяной калорифер, AI-12, AO-5, DI-12, DO-9, Modbus, Ethernet, Bacnet</t>
  </si>
  <si>
    <t>Шкаф управления CB18FE2AHUL</t>
  </si>
  <si>
    <t>IP66, железо, четыре двигателя 18 кВт, водяной калорифер, AI-12, AO-5, DI-12, DO-9, Modbus, Ethernet, Bacnet</t>
  </si>
  <si>
    <t>Шкаф управления CB22FE2AHUL</t>
  </si>
  <si>
    <t>IP66, железо, четыре двигателя 22 кВт, водяной калорифер, AI-12, AO-5, DI-12, DO-9, Modbus, Ethernet, Bacnet</t>
  </si>
  <si>
    <t>Шкаф управления CB30FE2AHUL</t>
  </si>
  <si>
    <t>IP66, железо, четыре двигателя 30 кВт, водяной калорифер, AI-12, AO-5, DI-12, DO-9, Modbus, Ethernet, Bacnet</t>
  </si>
  <si>
    <t>Шкаф управления CB55FE3AHUL</t>
  </si>
  <si>
    <t>IP66, железо, пять двигателей 5,5 кВт, водяной калорифер, AI-16, AO-6, DI-16, DO-11, Modbus, Ethernet, Bacnet</t>
  </si>
  <si>
    <t>Шкаф управления CB75FE3AHUL</t>
  </si>
  <si>
    <t>IP66, железо, пять двигателей 7,5 кВт, водяной калорифер, AI-16, AO-6, DI-16, DO-11, Modbus, Ethernet, Bacnet</t>
  </si>
  <si>
    <t>Шкаф управления CB11FE3AHUL</t>
  </si>
  <si>
    <t>IP66, железо, пять двигателей 11 кВт, водяной калорифер, AI-16, AO-6, DI-16, DO-11, Modbus, Ethernet, Bacnet</t>
  </si>
  <si>
    <t>Шкаф управления CB15FE3AHUL</t>
  </si>
  <si>
    <t>IP66, железо, пять двигателей 15 кВт, водяной калорифер, AI-16, AO-6, DI-16, DO-11, Modbus, Ethernet, Bacnet</t>
  </si>
  <si>
    <t>Шкаф управления CB18FE3AHUL</t>
  </si>
  <si>
    <t>IP66, железо, пять двигателей 18 кВт, водяной калорифер, AI-16, AO-6, DI-16, DO-11, Modbus, Ethernet, Bacnet</t>
  </si>
  <si>
    <t>Шкаф управления CB22FE3AHUL</t>
  </si>
  <si>
    <t>IP66, железо, пять двигателей 22 кВт, водяной калорифер, AI-16, AO-6, DI-16, DO-11, Modbus, Ethernet, Bacnet</t>
  </si>
  <si>
    <t>Шкаф управления CB30FE3AHUL</t>
  </si>
  <si>
    <t>IP66, железо, пять двигателей 30 кВт, водяной калорифер, AI-16, AO-6, DI-16, DO-11, Modbus, Ethernet, Bacnet</t>
  </si>
  <si>
    <t>Шкаф управления CB55FE1MTPL</t>
  </si>
  <si>
    <t>IP66, железо, двигатель 5,5 кВт, эл, нагреватель 10 кВт, 3 ступени, AI-8, AO-4, DI-8, DO-8, Modbus, Ethernet, Bacnet</t>
  </si>
  <si>
    <t>Шкаф управления CB75FE1MTPL</t>
  </si>
  <si>
    <t>IP66, железо, двигатель 7,5 кВт, эл, нагреватель 13 кВт, 3 ступени, AI-8, AO-4, DI-8, DO-8, Modbus, Ethernet, Bacnet</t>
  </si>
  <si>
    <t>Шкаф управления CB11FE1MTPL</t>
  </si>
  <si>
    <t>IP66, железо, двигатель 11 кВт, эл, нагреватель 16,5 кВт, 3 ступени, AI-8, AO-4, DI-8, DO-8, Modbus, Ethernet, Bacnet</t>
  </si>
  <si>
    <t>Шкаф управления CB15FE1MTPL</t>
  </si>
  <si>
    <t>IP66, железо, двигатель 15 кВт, эл, нагреватель 21 кВт, 3 ступени, AI-8, AO-4, DI-8, DO-8, Modbus, Ethernet, Bacnet</t>
  </si>
  <si>
    <t>Шкаф управления CB18FE1MTPL</t>
  </si>
  <si>
    <t>IP66, железо, двигатель 18 кВт, эл, нагреватель 26 кВт, 3 ступени, AI-8, AO-4, DI-8, DO-8, Modbus, Ethernet, Bacnet</t>
  </si>
  <si>
    <t>Шкаф управления CB22FE1MTPL</t>
  </si>
  <si>
    <t>IP66, железо, двигатель 22 кВт, эл, нагреватель 33 кВт, 3 ступени, AI-8, AO-4, DI-8, DO-8, Modbus, Ethernet, Bacnet</t>
  </si>
  <si>
    <t>Шкаф управления CB30FE1MTPL</t>
  </si>
  <si>
    <t>IP66, железо, двигатель 30 кВт, эл, нагреватель 41 кВт, 3 ступени, AI-8, AO-4, DI-8, DO-8, Modbus, Ethernet, Bacnet</t>
  </si>
  <si>
    <t>Шкаф управления CB55FE2MTPL</t>
  </si>
  <si>
    <t>IP66, железо, двигатель 5,5 кВт, эл, нагреватель 10 кВт, 4 ступени, AI-12, AO-5, DI-12, DO-10, Modbus, Ethernet, Bacnet</t>
  </si>
  <si>
    <t>Шкаф управления CB75FE2MTPL</t>
  </si>
  <si>
    <t>IP66, железо, двигатель 7,5 кВт, эл, нагреватель 13 кВт, 4 ступени, AI-12, AO-5, DI-12, DO-10, Modbus, Ethernet, Bacnet</t>
  </si>
  <si>
    <t>Шкаф управления CB11FE2MTPL</t>
  </si>
  <si>
    <t>IP66, железо, двигатель 11 кВт, эл, нагреватель 16,5 кВт, 4 ступени, AI-12, AO-5, DI-12, DO-10, Modbus, Ethernet, Bacnet</t>
  </si>
  <si>
    <t>Шкаф управления CB15FE2MTPL</t>
  </si>
  <si>
    <t>IP66, железо, двигатель 15 кВт, эл, нагреватель 21 кВт, 4 ступени, AI-12, AO-5, DI-12, DO-10, Modbus, Ethernet, Bacnet</t>
  </si>
  <si>
    <t>Шкаф управления CB18FE2MTPL</t>
  </si>
  <si>
    <t>IP66, железо, двигатель 18 кВт, эл, нагреватель 26 кВт, 4 ступени, AI-12, AO-5, DI-12, DO-10, Modbus, Ethernet, Bacnet</t>
  </si>
  <si>
    <t>Шкаф управления CB22FE2MTPL</t>
  </si>
  <si>
    <t>IP66, железо, двигатель 22 кВт, эл, нагреватель 33 кВт, 4 ступени, AI-12, AO-5, DI-12, DO-10, Modbus, Ethernet, Bacnet</t>
  </si>
  <si>
    <t>Шкаф управления CB30FE2MTPL</t>
  </si>
  <si>
    <t>IP66, железо, двигатель 30 кВт, эл, нагреватель 41 кВт, 4 ступени, AI-12, AO-5, DI-12, DO-10, Modbus, Ethernet, Bacnet</t>
  </si>
  <si>
    <t>Шкаф управления CB55FE3MTPL</t>
  </si>
  <si>
    <t>Шкаф управления CB75FE3MTPL</t>
  </si>
  <si>
    <t>IP66, железо, двигатель 7,5 кВт, эл, нагреватель 13 кВт, 5 ступеней, AI-16, AO-6, DI-16, DO-14, Modbus, Ethernet, Bacnet</t>
  </si>
  <si>
    <t>Шкаф управления CB11FE3MTPL</t>
  </si>
  <si>
    <t>IP66, железо, двигатель 11 кВт, эл, нагреватель 16,5 кВт, 5 ступеней, AI-16, AO-6, DI-16, DO-14, Modbus, Ethernet, Bacnet</t>
  </si>
  <si>
    <t>Шкаф управления CB15FE3MTPL</t>
  </si>
  <si>
    <t>IP66, железо, двигатель 15 кВт, эл, нагреватель 21 кВт, 5 ступеней, AI-16, AO-6, DI-16, DO-14, Modbus, Ethernet, Bacnet</t>
  </si>
  <si>
    <t>Шкаф управления CB18FE3MTPL</t>
  </si>
  <si>
    <t>IP66, железо, двигатель 18 кВт, эл, нагреватель 26 кВт, 5 ступеней, AI-16, AO-6, DI-16, DO-14, Modbus, Ethernet, Bacnet</t>
  </si>
  <si>
    <t>Шкаф управления CB22FE3MTPL</t>
  </si>
  <si>
    <t>IP66, железо, двигатель 22 кВт, эл, нагреватель 33 кВт, 5 ступеней, AI-16, AO-6, DI-16, DO-14, Modbus, Ethernet, Bacnet</t>
  </si>
  <si>
    <t>Шкаф управления CB30FE3MTPL</t>
  </si>
  <si>
    <t>IP66, железо, двигатель 30 кВт, эл, нагреватель 41 кВт, 5 ступеней, AI-16, AO-6, DI-16, DO-14, Modbus, Ethernet, Bacnet</t>
  </si>
  <si>
    <t>Пояснения к таблице свойств щитов СВ</t>
  </si>
  <si>
    <t>1. Количество универсальных входов - сумма AI и DI. Обычно не хватает DI входов, они замещаются из AI.</t>
  </si>
  <si>
    <t>2. DO-PM особый выход на щитах AHU для подключения насоса водяного калорифера или гликолевого рекуператора. В щите автомат на 10 А и пускатель на 9 А.</t>
  </si>
  <si>
    <t>3. DO-220 выход для шкафов AHU для подключения заслонок с приводами на 220 В.  Как для заслонок с пружинным возвратом, так и для трехпроводного управления.</t>
  </si>
  <si>
    <t>4. DO-24-SW это пара сухих замыкающихся контактов. При подачие на один из контактов 24 В, может подавать питание.</t>
  </si>
  <si>
    <t>5. DO-24-220-SW выходные контакты для щитов MTP. В каждом наборе пара сухих контактов и набор (L, N и L1) для подачи питания 220 В. Как для заслонок с пружинным возвратом, так и для трехпроводного управления. Через сухие контакты можно подавать 24 В.</t>
  </si>
  <si>
    <t>6. DO-380 это выход силовой нагрузки для щитов MTP. В щите установлен трехфазный автомат и пускатель.</t>
  </si>
  <si>
    <t>7. Вент. Шт. - какое количество автоматических выключателей установлено в щитах AHU для подключения двигателей. Это могут быть вентиляторы и двигатель роторного рекуператора и все. Что включается через ПЧ.</t>
  </si>
  <si>
    <t>8. Ступ. Нагр. - мощность ступени нагревателя (группы ТЭНов) для подключения к данному шкафы MTP. Управляется через DO-380.</t>
  </si>
  <si>
    <t>9. Ток шкафа - максимальный рабочий ток шкафа управления.</t>
  </si>
  <si>
    <t>10. 24 В ВА - мощность в ВА, установленного в щите блока питания или трансформатора, используемого для подключения приводов и датчиков на 24 В.</t>
  </si>
  <si>
    <t>11. Шкафы CB"S" имеют свою программу управления и не параметризуются через программу диспетчер</t>
  </si>
  <si>
    <t>12. Для SE храним цены без НДС</t>
  </si>
  <si>
    <t>Выключатель-разъединитель 20А VCFN25GE</t>
  </si>
  <si>
    <t>Выключатель-разъединитель 25А VCFN32GE</t>
  </si>
  <si>
    <t>Выключатель-разъединитель 32А VCFN40GE</t>
  </si>
  <si>
    <t>Выключатель-разъединитель 50А VCF3GE</t>
  </si>
  <si>
    <t>Выключатель-разъединитель 63А VCF4GE</t>
  </si>
  <si>
    <t>П1</t>
  </si>
  <si>
    <t>AO_V</t>
  </si>
  <si>
    <t>DO_220PW</t>
  </si>
  <si>
    <t>DO_220RELSW</t>
  </si>
  <si>
    <t>DO_220PLC</t>
  </si>
  <si>
    <t>MAX_PWR</t>
  </si>
  <si>
    <t>Щит</t>
  </si>
  <si>
    <t>Контроллер</t>
  </si>
  <si>
    <t>Блок расширения</t>
  </si>
  <si>
    <t>Розница руб. с НДС</t>
  </si>
  <si>
    <t>Габариты, ш/в/г</t>
  </si>
  <si>
    <t>Вес, кг</t>
  </si>
  <si>
    <t>DO_380PW1</t>
  </si>
  <si>
    <t>DO_380ELH</t>
  </si>
  <si>
    <t>DO_220REL</t>
  </si>
  <si>
    <t>DO_380PW2</t>
  </si>
  <si>
    <t>1_9</t>
  </si>
  <si>
    <t>1_6</t>
  </si>
  <si>
    <t>1_12</t>
  </si>
  <si>
    <t>1_18</t>
  </si>
  <si>
    <t>1_25</t>
  </si>
  <si>
    <t>1_32</t>
  </si>
  <si>
    <t>1_40</t>
  </si>
  <si>
    <t>2_18</t>
  </si>
  <si>
    <t>2_32</t>
  </si>
  <si>
    <t>2_16</t>
  </si>
  <si>
    <t>2_20</t>
  </si>
  <si>
    <t>2_25</t>
  </si>
  <si>
    <t>2_12</t>
  </si>
  <si>
    <t>3_12</t>
  </si>
  <si>
    <t>3_18</t>
  </si>
  <si>
    <t>3_25</t>
  </si>
  <si>
    <t>3_32</t>
  </si>
  <si>
    <t>3_16</t>
  </si>
  <si>
    <t>3_20</t>
  </si>
  <si>
    <t>4_16</t>
  </si>
  <si>
    <t>4_20</t>
  </si>
  <si>
    <t>4_25</t>
  </si>
  <si>
    <t>4_32</t>
  </si>
  <si>
    <t>5_16</t>
  </si>
  <si>
    <t>5_20</t>
  </si>
  <si>
    <t>4_12</t>
  </si>
  <si>
    <t>4_18</t>
  </si>
  <si>
    <t>5_12</t>
  </si>
  <si>
    <t>5_18</t>
  </si>
  <si>
    <t>3_40</t>
  </si>
  <si>
    <t>3_50</t>
  </si>
  <si>
    <t>3_63</t>
  </si>
  <si>
    <t>4_40</t>
  </si>
  <si>
    <t>4_50</t>
  </si>
  <si>
    <t>4_63</t>
  </si>
  <si>
    <t>5_25</t>
  </si>
  <si>
    <t>5_32</t>
  </si>
  <si>
    <t>5_40</t>
  </si>
  <si>
    <t>5_50</t>
  </si>
  <si>
    <t>5_63</t>
  </si>
  <si>
    <t>6_12</t>
  </si>
  <si>
    <t>6_18</t>
  </si>
  <si>
    <t>6_25</t>
  </si>
  <si>
    <t>6_32</t>
  </si>
  <si>
    <t>6_40</t>
  </si>
  <si>
    <t>6_50</t>
  </si>
  <si>
    <t>6_63</t>
  </si>
  <si>
    <t>шкафа СВ</t>
  </si>
  <si>
    <t>VT17-009734-01</t>
  </si>
  <si>
    <t>ВСЕГО:</t>
  </si>
  <si>
    <t>ПРИМЕЧАНИЯ:</t>
  </si>
  <si>
    <r>
      <rPr>
        <sz val="11"/>
        <color theme="1"/>
        <rFont val="Arial"/>
        <family val="2"/>
        <charset val="204"/>
      </rPr>
      <t>Вся комплектация для сборки щитов управления фирмы Schneider Electric. 
Стоимость оборудования указана в рублях с учетом НДС на условиях поставки DDP (Инкотерсм-2010).</t>
    </r>
    <r>
      <rPr>
        <sz val="11"/>
        <color theme="1"/>
        <rFont val="Calibri"/>
        <family val="2"/>
        <charset val="204"/>
        <scheme val="minor"/>
      </rPr>
      <t xml:space="preserve">
</t>
    </r>
  </si>
  <si>
    <t>Управляющие контроллеры  ТМ171О или ТМ172Р фирмы  Schneider Electric</t>
  </si>
  <si>
    <t>Срок производства</t>
  </si>
  <si>
    <t>ООО "Драйвер Инжиниринг"</t>
  </si>
  <si>
    <t>ИНН  7839047274</t>
  </si>
  <si>
    <t>г. Санкт-Петербург, ул. Циолковского, д. 9 корп 2, офис 008.</t>
  </si>
  <si>
    <t>Тел.: +79219097307</t>
  </si>
  <si>
    <t>E-mail: drivereng@ya.ru</t>
  </si>
  <si>
    <t>Веб-сайт: www.driverengi.com</t>
  </si>
  <si>
    <t>Коммерческое предложение № 877</t>
  </si>
  <si>
    <t>0_0</t>
  </si>
  <si>
    <t>Частотный преобразователь ATV212HD18N4 18,5 кВт 480В</t>
  </si>
  <si>
    <t>Частотный преобразователь FC-051 18,5 кВт 3x220B</t>
  </si>
  <si>
    <t>PWR_24</t>
  </si>
  <si>
    <t>PWR_220</t>
  </si>
  <si>
    <t>PWR_380</t>
  </si>
  <si>
    <t>Электропривод с пружинным возвратом 0-10В,  DA05S24PS</t>
  </si>
  <si>
    <t>Электропривод с пружинным возвратом 0-10В,  DA10S24P</t>
  </si>
  <si>
    <t>Электропривод с пружинным возвратом 0-10В,  DA15S24P</t>
  </si>
  <si>
    <t>24/spr/A</t>
  </si>
  <si>
    <t>220/D</t>
  </si>
  <si>
    <t>220/spr/D</t>
  </si>
  <si>
    <t>24/A</t>
  </si>
  <si>
    <t>PwrSecMax</t>
  </si>
  <si>
    <t>Flaps</t>
  </si>
  <si>
    <t>Защита рекуператоров</t>
  </si>
  <si>
    <t>BV-BR адаптер для водяных вентилей Lufberg</t>
  </si>
  <si>
    <t>DA08N24PI электропривод без пружинного возврата</t>
  </si>
  <si>
    <t>BV-3-50-63 3-х ходовой вентиль</t>
  </si>
  <si>
    <t>СУ3-ТСФ-50/190-63LF</t>
  </si>
  <si>
    <t>Смесительный узел СУ3-ТСФ-50/190-63LF</t>
  </si>
  <si>
    <t>Теплооснабжение, клапан BV-3-50-63, привод DA08N24PI, насос GHN Basic 50-190 F, DN 50</t>
  </si>
  <si>
    <t>СУ3-ТСРФ-50/120-63LF</t>
  </si>
  <si>
    <t>СУ3-ТСРФ-50/190-63LF</t>
  </si>
  <si>
    <t>Смесительный узел СУ3-ТСРД-70-10</t>
  </si>
  <si>
    <t>Смесительный узел СУ3-ТСРД-70-16</t>
  </si>
  <si>
    <t>Смесительный узел СУ3-ТСРД-70-25</t>
  </si>
  <si>
    <t>Смесительный узел СУ3-ТСРД-80-16</t>
  </si>
  <si>
    <t>Смесительный узел СУ3-ТСРД-80-25</t>
  </si>
  <si>
    <t>Смесительный узел СУ3-ТСРФ-120-16</t>
  </si>
  <si>
    <t>Смесительный узел СУ3-ТСРФ-120-25</t>
  </si>
  <si>
    <t>Смесительный узел СУ3-ТСРФ-190-16</t>
  </si>
  <si>
    <t>Смесительный узел СУ3-ТСРФ-190-25</t>
  </si>
  <si>
    <t>Смесительный узел СУ3-ТСРФ-190-40</t>
  </si>
  <si>
    <t>Смесительный узел СУ3-ТСРФ-50/120-63LF</t>
  </si>
  <si>
    <t>Смесительный узел СУ3-ТСРФ-50/190-63LF</t>
  </si>
  <si>
    <t>СУ3-ТСФ-50/120-63LF</t>
  </si>
  <si>
    <t>Смесительный узел СУ3-ТСФ-50/120-63LF</t>
  </si>
  <si>
    <t>СУ3-ТСЛД-70-10</t>
  </si>
  <si>
    <t>Смесительный узел СУ3-ТСЛД-70-10</t>
  </si>
  <si>
    <t>СУ3-ТСОФ-50/120-63LF</t>
  </si>
  <si>
    <t>СУ3-ТСОФ-50/190-63LF</t>
  </si>
  <si>
    <t>Смесительный узел СУ3-ТСОФ-50/120-63LF</t>
  </si>
  <si>
    <t>Смесительный узел СУ3-ТСОФ-50/190-63LF</t>
  </si>
  <si>
    <t>Датчик темп. погружной DN 20</t>
  </si>
  <si>
    <t>Датчик температуры погружной в комплекте с фитингами DN 20</t>
  </si>
  <si>
    <t>Датчик темп. погружной DN 25</t>
  </si>
  <si>
    <t>Датчик температуры погружной в комплекте с фитингами DN 25</t>
  </si>
  <si>
    <t>Датчик темп. погружной DN 32</t>
  </si>
  <si>
    <t>Датчик температуры погружной в комплекте с фитингами DN 32</t>
  </si>
  <si>
    <t>Датчик темп. погружной DN 40</t>
  </si>
  <si>
    <t>Датчик температуры погружной в комплекте с фитингами DN 40</t>
  </si>
  <si>
    <t>Датчик темп. погружной DN 50</t>
  </si>
  <si>
    <t>Датчик температуры погружной в комплекте с фитингами DN 50</t>
  </si>
  <si>
    <t>Смесительный узел СУ3-ТСФ-50/190-63LF присоединение Ду 50</t>
  </si>
  <si>
    <t>mm</t>
  </si>
  <si>
    <t>A,~1</t>
  </si>
  <si>
    <t>A,~3</t>
  </si>
  <si>
    <t>Коммерческое предложение №</t>
  </si>
  <si>
    <t>Лудов Д.</t>
  </si>
  <si>
    <t>Авторитет ХС</t>
  </si>
  <si>
    <t>Фазность насоса</t>
  </si>
  <si>
    <t>Мощность насоса</t>
  </si>
  <si>
    <t>Ток Насоса</t>
  </si>
  <si>
    <t>y = 0,1375x2 - 1,8931x + 4,0844</t>
  </si>
  <si>
    <t>y = 0,3531x2 - 2,1489x + 3,1184</t>
  </si>
  <si>
    <t>y = 0,0098x2 - 0,405x + 4,07</t>
  </si>
  <si>
    <t>y = -0,0072x2 - 0,124x + 12,07</t>
  </si>
  <si>
    <t>Вт</t>
  </si>
  <si>
    <t>%</t>
  </si>
  <si>
    <t>Скидка</t>
  </si>
  <si>
    <t>Оптимальный ~0,5</t>
  </si>
  <si>
    <t>Полная</t>
  </si>
  <si>
    <t>Vp-Adb</t>
  </si>
  <si>
    <t>Электропривод без пружинного возврата 0-10В, DA02N24PI</t>
  </si>
  <si>
    <t>Электропривод без пружинного возврата 0-10В, DA04N24PI</t>
  </si>
  <si>
    <t>Электропривод без пружинного возврата 0-10В, DA08N24PI</t>
  </si>
  <si>
    <t>Электропривод без пружинного возврата 0-10В, DA16N24PI</t>
  </si>
  <si>
    <t>Электропривод без пружинного возврата 0-10В, DA24N24PI</t>
  </si>
  <si>
    <t>Электропривод без пружинного возврата 0-10В, DA32N24PI</t>
  </si>
  <si>
    <t>Сигналы управления, доп. +</t>
  </si>
  <si>
    <t>Тариф ДРАЙВЕР ИНЖИНИРИНГ, 30.10.17</t>
  </si>
  <si>
    <t>CB18FE1AHUNM</t>
  </si>
  <si>
    <t>Щит управления CB18FE1AHUNM</t>
  </si>
  <si>
    <t>вентиляторы 18,5 кВт, AO 3  шт., AI 5 шт., DO 5 шт., DI 6 шт., контроллер TM171OFM22R, IP66, железо</t>
  </si>
  <si>
    <t>CB22FE1AHUNM</t>
  </si>
  <si>
    <t>Щит управления CB22FE1AHUNM</t>
  </si>
  <si>
    <t>вентиляторы 22 кВт, AO 3  шт., AI 5 шт., DO 5 шт., DI 6 шт., контроллер TM171OFM22R, IP66, железо</t>
  </si>
  <si>
    <t>CB30FE1AHUNM</t>
  </si>
  <si>
    <t>Щит управления CB30FE1AHUNM</t>
  </si>
  <si>
    <t>вентиляторы 30 кВт, AO 3  шт., AI 5 шт., DO 5 шт., DI 6 шт., контроллер TM171OFM22R, IP66, железо</t>
  </si>
  <si>
    <t>CB18FE1MTPNM</t>
  </si>
  <si>
    <t>Щит управления CB18FE1MTPNM</t>
  </si>
  <si>
    <t>вентилятор 18,5 кВт, калориф. 2 ступ. 26 кВт, AO 3  шт., AI 5 шт., DO 6 шт., DI 6 шт., контроллер TM171OFM22R, IP66, железо</t>
  </si>
  <si>
    <t>CB22FE1MTPNM</t>
  </si>
  <si>
    <t>Щит управления CB22FE1MTPNM</t>
  </si>
  <si>
    <t>вентилятор 22 кВт, калориф. 2 ступ. 33 кВт, AO 3  шт., AI 5 шт., DO 6 шт., DI 6 шт., контроллер TM171OFM22R, IP66, железо</t>
  </si>
  <si>
    <t>CB30FE1MTPNM</t>
  </si>
  <si>
    <t>Щит управления CB30FE1MTPNM</t>
  </si>
  <si>
    <t>вентилятор 30 кВт, калориф. 2 ступ. 41 кВт, AO 3  шт., AI 5 шт., DO 6 шт., DI 6 шт., контроллер TM171OFM22R, IP66, железо</t>
  </si>
  <si>
    <t>Частотный преобразователь FC-051 15 кВт 3x380B</t>
  </si>
  <si>
    <t>Частотный преобразователь FC-051 18 кВт 3x380B</t>
  </si>
  <si>
    <t>Частотный преобразователь FC-051 22 кВт 3x380B</t>
  </si>
  <si>
    <t>BKR015F330</t>
  </si>
  <si>
    <t>Трехходовой смесительный клапан BKR015F330</t>
  </si>
  <si>
    <t>BKR015F320</t>
  </si>
  <si>
    <t>Трехходовой смесительный клапан BKR015F320</t>
  </si>
  <si>
    <t>BKR020F310</t>
  </si>
  <si>
    <t>Трехходовой смесительный клапан BKR020F310</t>
  </si>
  <si>
    <t>BKR025F310</t>
  </si>
  <si>
    <t>Трехходовой смесительный клапан BKR025F310</t>
  </si>
  <si>
    <t>BKR032F310</t>
  </si>
  <si>
    <t>Трехходовой смесительный клапан BKR032F310</t>
  </si>
  <si>
    <t>BKR040F310</t>
  </si>
  <si>
    <t>Трехходовой смесительный клапан BKR040F310</t>
  </si>
  <si>
    <t>BKR050F310</t>
  </si>
  <si>
    <t>Трехходовой смесительный клапан BKR050F310</t>
  </si>
  <si>
    <t>СУ3-ТСФ-50/120-63/31,5</t>
  </si>
  <si>
    <t>Смесительный узел СУ3-ТСФ-50/120-63/31,5</t>
  </si>
  <si>
    <t>СУ3-ТСДР-70-10</t>
  </si>
  <si>
    <t>Смесительный узел СУ3-ТСДР-70-10</t>
  </si>
  <si>
    <t>СУ3-ТСДР-70-16</t>
  </si>
  <si>
    <t>Смесительный узел СУ3-ТСДР-70-16</t>
  </si>
  <si>
    <t>СУ3-ТСДР-70-25</t>
  </si>
  <si>
    <t>Смесительный узел СУ3-ТСДР-70-25</t>
  </si>
  <si>
    <t>СУ3-ТСДР-80-16</t>
  </si>
  <si>
    <t>Смесительный узел СУ3-ТСДР-80-16</t>
  </si>
  <si>
    <t>СУ3-ТСДР-80-25</t>
  </si>
  <si>
    <t>Смесительный узел СУ3-ТСДР-80-25</t>
  </si>
  <si>
    <t>СУ3-ТСФР-120-16</t>
  </si>
  <si>
    <t>Смесительный узел СУ3-ТСФР-120-16</t>
  </si>
  <si>
    <t>СУ3-ТСФР-120-25</t>
  </si>
  <si>
    <t>Смесительный узел СУ3-ТСФР-120-25</t>
  </si>
  <si>
    <t>СУ3-ТСФР-190-16</t>
  </si>
  <si>
    <t>Смесительный узел СУ3-ТСФР-190-16</t>
  </si>
  <si>
    <t>СУ3-ТСФР-190-25</t>
  </si>
  <si>
    <t>Смесительный узел СУ3-ТСФР-190-25</t>
  </si>
  <si>
    <t>СУ3-ТСФР-190-40</t>
  </si>
  <si>
    <t>Смесительный узел СУ3-ТСФР-190-40</t>
  </si>
  <si>
    <t>СУ3-ТСРФ-50/120-63/31,5</t>
  </si>
  <si>
    <t>Смесительный узел СУ3-ТСРФ-50/120-63/31,5</t>
  </si>
  <si>
    <t>СУ3-ТСОФ-50/120-63/31,5</t>
  </si>
  <si>
    <t>Смесительный узел СУ3-ТСОФ-50/120-63/31,5</t>
  </si>
  <si>
    <t>Холодоснабжение, клапан BKR015F330, привод AKM105SF132, DN 15</t>
  </si>
  <si>
    <t>Холодоснабжение, клапан BKR015F320, привод AKM105SF132, DN 15</t>
  </si>
  <si>
    <t>Холодоснабжение, клапан BKR020F310, привод AKM105SF132, DN 20</t>
  </si>
  <si>
    <t>Холодоснабжение, клапан BKR025F310, привод AKM115SF132, DN 25</t>
  </si>
  <si>
    <t>Холодоснабжение, клапан BKR032F310, привод AKM115SF132, DN 32</t>
  </si>
  <si>
    <t>Холодоснабжение, клапан BKR040F310, привод AKM115SF132, DN 40</t>
  </si>
  <si>
    <t>Холодоснабжение, клапан BKR050F310, привод AKM115SF132, DN 50</t>
  </si>
  <si>
    <t>Теплооснабжение, клапан BKR015F330, привод AKM105SF132, насос GHN 20/40-130, DN 20</t>
  </si>
  <si>
    <t>Теплооснабжение, клапан BKR015F320, привод AKM105SF132, насос GHN 20/40-130, DN 20</t>
  </si>
  <si>
    <t>Теплооснабжение, клапан BKR020F310, привод AKM105SF132, насос GHN 20/40-130, DN 20</t>
  </si>
  <si>
    <t>Теплооснабжение, клапан BKR015F330, привод AKM105SF132, насос GHN 20/60-130, DN 20</t>
  </si>
  <si>
    <t>Теплооснабжение, клапан BKR015F320, привод AKM105SF132, насос GHN 20/60-130, DN 20</t>
  </si>
  <si>
    <t>Теплооснабжение, клапан BKR020F310, привод AKM105SF132, насос GHN 20/60-130, DN 20</t>
  </si>
  <si>
    <t>Теплооснабжение, клапан BKR020F310, привод AKM105SF132, насос GHN 25/70-180, DN 25</t>
  </si>
  <si>
    <t>Теплооснабжение, клапан BKR025F310, привод AKM115SF132, насос GHN 25/70-180, DN 25</t>
  </si>
  <si>
    <t>Теплооснабжение, клапан BKR032F310, привод AKM115SF132, насос GHN 25/70-180, DN 25</t>
  </si>
  <si>
    <t>Теплооснабжение, клапан BKR020F310, привод AKM105SF132, насос GHN 32/80-180, DN 25</t>
  </si>
  <si>
    <t>Теплооснабжение, клапан BKR025F310, привод AKM115SF132, насос GHN 32/80-180, DN 25</t>
  </si>
  <si>
    <t>Теплооснабжение, клапан BKR032F310, привод AKM115SF132, насос GHN 32/80-180, DN 32</t>
  </si>
  <si>
    <t>Теплооснабжение, клапан BKR025F310, привод AKM115SF132, насос GHND 32/70-180, DN 32</t>
  </si>
  <si>
    <t>Теплооснабжение, клапан BKR032F310, привод AKM115SF132, насос GHND 32/70-180, DN 32</t>
  </si>
  <si>
    <t>Теплооснабжение, клапан BKR040F310, привод AKM115SF132, насос GHND 32/70-180, DN 32</t>
  </si>
  <si>
    <t>Теплооснабжение, клапан BKR032F310, привод AKM115SF132, насос GHND 32/80-180, DN 32</t>
  </si>
  <si>
    <t>Теплооснабжение, клапан BKR040F310, привод AKM115SF132, насос GHND 32/80-180, DN 32</t>
  </si>
  <si>
    <t>Теплооснабжение, клапан BKR032F310, привод AKM115SF132, насос GHN Basic 40-120 F, DN 40</t>
  </si>
  <si>
    <t>Теплооснабжение, клапан BKR040F310, привод AKM115SF132, насос GHN Basic 40-120 F, DN 40</t>
  </si>
  <si>
    <t>Теплооснабжение, клапан BKR050F310, привод AKM115SF132, насос GHN Basic  50-40 F, DN 50</t>
  </si>
  <si>
    <t>Теплооснабжение, клапан BKR032F310, привод AKM115SF132, насос GHN Basic 40-190 F, DN 40</t>
  </si>
  <si>
    <t>Теплооснабжение, клапан BKR040F310, привод AKM115SF132, насос GHN Basic 40-190 F, DN 40</t>
  </si>
  <si>
    <t>Теплооснабжение, клапан BKR050F310, привод AKM115SF132, насос GHN Basic 40-190 F, DN 40</t>
  </si>
  <si>
    <t>Теплооснабжение, клапан BKR050F310, привод AKM115SF132, насос GHN Basic  50-120 F, DN 50</t>
  </si>
  <si>
    <t>Теплооснабжение, клапан BKR050F310, привод AKM115SF132, насос GHN Basic 50-190 F, DN 50</t>
  </si>
  <si>
    <t>Теплооснабжение, клапан BKR015F330, привод AKM105SF132, насос GHN 20/40-130 2 шт., DN 20</t>
  </si>
  <si>
    <t>Теплооснабжение, клапан BKR015F320, привод AKM105SF132, насос GHN 20/40-130 2 шт., DN 20</t>
  </si>
  <si>
    <t>Теплооснабжение, клапан BKR020F310, привод AKM105SF132, насос GHN 20/40-130 2 шт, DN 20</t>
  </si>
  <si>
    <t>Теплооснабжение, клапан BKR015F330, привод AKM105SF132, насос GHN 20/60-130 2 шт., DN 20</t>
  </si>
  <si>
    <t>Теплооснабжение, клапан BKR015F320, привод AKM105SF132, насос GHN 20/60-130 2 шт., DN 20</t>
  </si>
  <si>
    <t>Теплооснабжение, клапан BKR020F310, привод AKM105SF132, насос GHN 20/60-130 2 шт., DN 20</t>
  </si>
  <si>
    <t>Теплооснабжение, клапан BKR020F310, привод AKM105SF132, насос GHN 25/70-180 2 шт., DN 25</t>
  </si>
  <si>
    <t>Теплооснабжение, клапан BKR025F310, привод AKM115SF132, насос GHN 25/70-180 2 шт., DN 25</t>
  </si>
  <si>
    <t>Теплооснабжение, клапан BKR032F310, привод AKM115SF132, насос GHN 25/70-180 2 шт., DN 25</t>
  </si>
  <si>
    <t>Теплооснабжение, клапан BKR025F310, привод AKM105SF132, насос GHN 32/80-180 2 шт., DN 25</t>
  </si>
  <si>
    <t>Теплооснабжение, клапан BKR032F310, привод AKM115SF132, насос GHN 32/80-180 2 шт., DN 25</t>
  </si>
  <si>
    <t>Теплооснабжение, клапан BKR040F310, привод AKM115SF132, насос GHN 32/80-180 2 шт., DN 32</t>
  </si>
  <si>
    <t>Теплооснабжение, клапан BKR020F310, привод AKM115SF132, насос GHND 32/70-180, DN 32</t>
  </si>
  <si>
    <t>Теплооснабжение, клапан BKR032F310, привод AKM115SF132, насос GHND 32/80-180 2 шт., DN 32</t>
  </si>
  <si>
    <t>Теплооснабжение, клапан BKR040F310, привод AKM115SF132, насос GHND 32/80-180 2 шт., DN 32</t>
  </si>
  <si>
    <t>Теплооснабжение, клапан BKR032F310, привод AKM115SF132, насос GHN Basic 40-120 F 2 шт., DN 40</t>
  </si>
  <si>
    <t>Теплооснабжение, клапан BKR040F310, привод AKM115SF132, насос GHN Basic 40-120 F 2 шт., DN 40</t>
  </si>
  <si>
    <t>Теплооснабжение, клапан BKR050F310, привод AKM115SF132, насос GHN Basic  50-40 F 2 шт., DN 50</t>
  </si>
  <si>
    <t>Теплооснабжение, клапан BKR050F310, привод AKM115SF132, насос GHN Basic 40-70 F 2 шт., DN 40</t>
  </si>
  <si>
    <t>Теплооснабжение, клапан BKR032F310, привод AKM115SF132, насос GHN Basic 40-190 F 2 шт., DN 40</t>
  </si>
  <si>
    <t>Теплооснабжение, клапан BKR040F310, привод AKM115SF132, насос GHN Basic 40-190 F 2 шт., DN 40</t>
  </si>
  <si>
    <t>Теплооснабжение, клапан BKR050F310, привод AKM115SF132, насос GHN Basic 40-190 F 2 шт., DN 40</t>
  </si>
  <si>
    <t>Теплооснабжение, клапан BKR050F310, привод AKM115SF132, насос GHN Basic 50-120 F 2 шт., DN 50</t>
  </si>
  <si>
    <t>Теплооснабжение, клапан BKR040F310, привод AKM115SF132, насос GHN Basic 50-190 F 2 шт., DN 50</t>
  </si>
  <si>
    <t>Теплооснабжение, клапан BKR050F310, привод AKM115SF132, насос GHN Basic 50-190 F 2 шт., DN 50</t>
  </si>
  <si>
    <t>Теплооснабжение, клапан  BKR040F310, привод AKM115SF132, насос GHN Basic 50-190 F, DN 50</t>
  </si>
  <si>
    <t>310SE</t>
  </si>
  <si>
    <t>Комнатный датчик С02 ЕЕ 820</t>
  </si>
  <si>
    <t>Канальный  датчик С02 ЕЕ 850</t>
  </si>
  <si>
    <t>релейный выход (1 переключающий контакт), питание 230 В</t>
  </si>
  <si>
    <t>Комнатный датчик 1GA-50916/CO</t>
  </si>
  <si>
    <t>Регулятор скорости 5-ти ст.      230V 1,5A   R-E-1.5G</t>
  </si>
  <si>
    <t>105 / 180 / 98</t>
  </si>
  <si>
    <t>Ziehl-Abegg</t>
  </si>
  <si>
    <t>IP 54 Лампа сиг. работы; выход 230 B, 1 А (кроме модели RD14) для  электропривода или др.</t>
  </si>
  <si>
    <t>Регулятор скорости 5-ти ст.     230V 2A   R-E-2G</t>
  </si>
  <si>
    <t>166 / 230 / 118</t>
  </si>
  <si>
    <t>Регулятор скорости 5-ти ст.     230V 3,5A   R-E-3.5G</t>
  </si>
  <si>
    <t>Регулятор скорости 5-ти ст.     230V 6A   R-E-6G</t>
  </si>
  <si>
    <t>Регулятор скорости 5-ти ст.     230V 7,5A   R-E-7.5G</t>
  </si>
  <si>
    <t>240 / 284 / 131</t>
  </si>
  <si>
    <t>Регулятор скорости 5-ти ст.     230V 12A   R-E-12</t>
  </si>
  <si>
    <t>270 / 323 / 163</t>
  </si>
  <si>
    <t>IP 21 Лампа сиг. работы; выход 230 B, 1 А (кроме модели RD14) для  электропривода или др.</t>
  </si>
  <si>
    <t>Регулятор скорости 5-ти ст.     400V 2A   R-D-2G</t>
  </si>
  <si>
    <t>Регулятор скорости 5-ти ст.     400V 4A   R-D-4</t>
  </si>
  <si>
    <t>Регулятор скорости 5-ти ст.     400V 7A   R-D-7</t>
  </si>
  <si>
    <t>Регулятор скорости 5-ти ст.     400V 14A   RD14</t>
  </si>
  <si>
    <t>450 / 290 / 174</t>
  </si>
  <si>
    <t>IP 21 Лампа сиг. работы;</t>
  </si>
  <si>
    <t>Регулятор скорости 5-ти ст.  с защ. ЭД     230V 2A   R-ET2KTG</t>
  </si>
  <si>
    <t>IP 54 лампа сиг. работа, выход 230 B, 1 А для  электропривода или др. 
у однофазных  RET имеют 1 DI;</t>
  </si>
  <si>
    <t>Регулятор скорости 5-ти ст.  с защ. ЭД     230V 3,5A   R-ET3.5KTG</t>
  </si>
  <si>
    <t>Регулятор скорости 5-ти ст.  с защ. ЭД     230V 6A   R-ET6KTG</t>
  </si>
  <si>
    <t>Регулятор скорости 5-ти ст.  с защ. ЭД     230V 7,5A   R-ET7.5KTG</t>
  </si>
  <si>
    <t>240 / 284 / 132</t>
  </si>
  <si>
    <t>Регулятор скорости 5-ти ст.  с защ. ЭД     230V 12A   R-ET12KT</t>
  </si>
  <si>
    <t>IP 21 лампа сиг. работа, выход 230 B, 1 А для  электропривода или др. 
у однофазных  RET имеют 1 DI;</t>
  </si>
  <si>
    <t>Регулятор скорости 5-ти ст.  с защ. ЭД     400V 2A   R-DT2KTG</t>
  </si>
  <si>
    <t>IP 54 лампа сиг. работа, выход 230 B, 1 А для  электропривода или др. 
трехфазные модели RDT и RTRD имеют 2 DI</t>
  </si>
  <si>
    <t>Регулятор скорости 5-ти ст.  с защ. ЭД     400V 4A   R-DT4KT</t>
  </si>
  <si>
    <t>IP 21 лампа сиг. работа, выход 230 B, 1 А для  электропривода или др. 
трехфазные модели RDT и RTRD имеют 2 DI</t>
  </si>
  <si>
    <t>Регулятор скорости 5-ти ст.  с защ. ЭД     400V 7A   R-DT7KT</t>
  </si>
  <si>
    <t>Регулятор скорости 5-ти ст.  с защ. ЭД     400V 14A   RTRD14E</t>
  </si>
  <si>
    <r>
      <rPr>
        <b/>
        <sz val="9"/>
        <rFont val="Tahoma"/>
        <family val="2"/>
      </rPr>
      <t>Спектральные (дБ) и суммарные (дБА) уровни звуковой мощности</t>
    </r>
  </si>
  <si>
    <r>
      <rPr>
        <sz val="10"/>
        <rFont val="Trebuchet MS"/>
        <family val="2"/>
      </rPr>
      <t>63 Гц</t>
    </r>
  </si>
  <si>
    <r>
      <rPr>
        <sz val="10"/>
        <rFont val="Trebuchet MS"/>
        <family val="2"/>
      </rPr>
      <t>125 Гц</t>
    </r>
  </si>
  <si>
    <r>
      <rPr>
        <sz val="10"/>
        <rFont val="Trebuchet MS"/>
        <family val="2"/>
      </rPr>
      <t>250 Гц</t>
    </r>
  </si>
  <si>
    <r>
      <rPr>
        <sz val="10"/>
        <rFont val="Trebuchet MS"/>
        <family val="2"/>
      </rPr>
      <t>500 Гц</t>
    </r>
  </si>
  <si>
    <r>
      <rPr>
        <sz val="10"/>
        <rFont val="Trebuchet MS"/>
        <family val="2"/>
      </rPr>
      <t>1 кГц</t>
    </r>
  </si>
  <si>
    <r>
      <rPr>
        <sz val="10"/>
        <rFont val="Trebuchet MS"/>
        <family val="2"/>
      </rPr>
      <t>2 кГц</t>
    </r>
  </si>
  <si>
    <r>
      <rPr>
        <sz val="10"/>
        <rFont val="Trebuchet MS"/>
        <family val="2"/>
      </rPr>
      <t>4 кГц</t>
    </r>
  </si>
  <si>
    <r>
      <rPr>
        <sz val="10"/>
        <rFont val="Trebuchet MS"/>
        <family val="2"/>
      </rPr>
      <t>8 кГц</t>
    </r>
  </si>
  <si>
    <r>
      <rPr>
        <b/>
        <sz val="9"/>
        <rFont val="Tahoma"/>
        <family val="2"/>
      </rPr>
      <t>Приток. Вентилятор</t>
    </r>
  </si>
  <si>
    <r>
      <rPr>
        <sz val="10"/>
        <rFont val="Trebuchet MS"/>
        <family val="2"/>
      </rPr>
      <t>Полное</t>
    </r>
  </si>
  <si>
    <r>
      <rPr>
        <sz val="10"/>
        <rFont val="Trebuchet MS"/>
        <family val="2"/>
      </rPr>
      <t>дБ(А) всасывание</t>
    </r>
  </si>
  <si>
    <r>
      <rPr>
        <sz val="10"/>
        <rFont val="Trebuchet MS"/>
        <family val="2"/>
      </rPr>
      <t>дБ(А) нагнетание</t>
    </r>
  </si>
  <si>
    <r>
      <rPr>
        <sz val="10"/>
        <rFont val="Trebuchet MS"/>
        <family val="2"/>
      </rPr>
      <t>дБ(А) к окружению</t>
    </r>
  </si>
  <si>
    <t>7_12</t>
  </si>
  <si>
    <t>CB55FE3MTPLС01</t>
  </si>
  <si>
    <t>7_18</t>
  </si>
  <si>
    <t>7_25</t>
  </si>
  <si>
    <t>7_32</t>
  </si>
  <si>
    <t>7_40</t>
  </si>
  <si>
    <t>7_50</t>
  </si>
  <si>
    <t>7_63</t>
  </si>
  <si>
    <t>CB75FE3MTPLC01</t>
  </si>
  <si>
    <t>CB11FE3MTPLC01</t>
  </si>
  <si>
    <t>CB15FE3MTPLC01</t>
  </si>
  <si>
    <t>CB18FE3MTPLC01</t>
  </si>
  <si>
    <t>CB22FE3MTPLC01</t>
  </si>
  <si>
    <t>CB30FE3MTPLC01</t>
  </si>
  <si>
    <t>8_12</t>
  </si>
  <si>
    <t>8_18</t>
  </si>
  <si>
    <t>8_25</t>
  </si>
  <si>
    <t>8_32</t>
  </si>
  <si>
    <t>8_40</t>
  </si>
  <si>
    <t>8_50</t>
  </si>
  <si>
    <t>8_63</t>
  </si>
  <si>
    <t>CB75FE3MTPLC02</t>
  </si>
  <si>
    <t>CB11FE3MTPLC02</t>
  </si>
  <si>
    <t>CB15FE3MTPLC02</t>
  </si>
  <si>
    <t>CB18FE3MTPLC02</t>
  </si>
  <si>
    <t>CB22FE3MTPLC02</t>
  </si>
  <si>
    <t>CB30FE3MTPLC02</t>
  </si>
  <si>
    <t>CB55FE3MTPLС02</t>
  </si>
  <si>
    <t>1_100</t>
  </si>
  <si>
    <t>2_100</t>
  </si>
  <si>
    <t>CB550FE3MTPLC01</t>
  </si>
  <si>
    <t>CB550FE3MTPLC11</t>
  </si>
  <si>
    <t>CB45FE3MTPLC01</t>
  </si>
  <si>
    <t>CB45FE3MTPLC11</t>
  </si>
  <si>
    <t>CB45FE3MTPLC02</t>
  </si>
  <si>
    <t>CB45FE3MTPLC12</t>
  </si>
  <si>
    <t>CB550FE3MTPLC02</t>
  </si>
  <si>
    <t>CB550FE3MTPLC12</t>
  </si>
  <si>
    <t>2_125</t>
  </si>
  <si>
    <t>1_125</t>
  </si>
  <si>
    <t>Электропривод с конд. возвратом 0-10В SE MD40ER-24M, 40Нм</t>
  </si>
  <si>
    <t>Электропривод с конд. возвратом SE MD40ER-24T, 40 Нм</t>
  </si>
  <si>
    <t>Выключатель-разъединитель аварийного останова 140А</t>
  </si>
  <si>
    <t>VBF6GEN</t>
  </si>
  <si>
    <r>
      <rPr>
        <sz val="9"/>
        <rFont val="Trebuchet MS"/>
        <family val="2"/>
      </rPr>
      <t>Направление выхлопа Резерв двигателя</t>
    </r>
  </si>
  <si>
    <r>
      <rPr>
        <sz val="9"/>
        <rFont val="Trebuchet MS"/>
        <family val="2"/>
      </rPr>
      <t>Расход расчетный Напор свободный Количество полюсов Напор фактический</t>
    </r>
  </si>
  <si>
    <t>GHN Basic  65-190 F</t>
  </si>
  <si>
    <t>GHN Basic  65-120 F</t>
  </si>
  <si>
    <t>GHN Basic  65-70 F</t>
  </si>
  <si>
    <t>GHN Basic  65-40 F</t>
  </si>
  <si>
    <t>GHN Basic  80-70 F</t>
  </si>
  <si>
    <t xml:space="preserve">GHN Basic  100-120  F </t>
  </si>
  <si>
    <t xml:space="preserve">y = 0,0021x2 - 0,458x + 15,8 </t>
  </si>
  <si>
    <t>y = 0,0398x2 - 1,051x + 7,95</t>
  </si>
  <si>
    <r>
      <t>y = 0,0023x2</t>
    </r>
    <r>
      <rPr>
        <b/>
        <sz val="10.5"/>
        <rFont val="Times New Roman"/>
        <family val="1"/>
        <charset val="204"/>
      </rPr>
      <t xml:space="preserve"> - 0,3943x + 9,57</t>
    </r>
  </si>
  <si>
    <t>y = 0,0023x2 - 0,3943x + 9,57</t>
  </si>
  <si>
    <t>y = -0,0464x2 - 0,8322x + 7,0525</t>
  </si>
  <si>
    <t xml:space="preserve">GHN Basic  100-190  F </t>
  </si>
  <si>
    <t>GHN Basic  80-190 F</t>
  </si>
  <si>
    <t>GHN Basic  80-120 F</t>
  </si>
  <si>
    <t>ШАРОВЫЕ СМЕСИТЕЛЬНЫЕ КЛАПАНА Esbe</t>
  </si>
  <si>
    <t xml:space="preserve"> Esbe</t>
  </si>
  <si>
    <t>Электропривод 92P</t>
  </si>
  <si>
    <t>24В 50Гц 60/90/120сек. 15Нм (0-10В, 2-10В/0-20мА, 4-20мА)</t>
  </si>
  <si>
    <t>DN 50, Kvs 60</t>
  </si>
  <si>
    <t>DN 65, Kvs 90</t>
  </si>
  <si>
    <t>Клапан трехходовой смесительный F, 3F50</t>
  </si>
  <si>
    <t>Клапан трехходовой смесительный F, 3F65</t>
  </si>
  <si>
    <t>Клапан трехходовой смесительный F, 3F80</t>
  </si>
  <si>
    <t>Клапан трехходовой смесительный F, 3F100</t>
  </si>
  <si>
    <t>Клапан трехходовой смесительный F, 3F125</t>
  </si>
  <si>
    <t>Клапан трехходовой смесительный F, 3F150</t>
  </si>
  <si>
    <t>3F50</t>
  </si>
  <si>
    <t>3F65</t>
  </si>
  <si>
    <t>3F80</t>
  </si>
  <si>
    <t>3F100</t>
  </si>
  <si>
    <t>3F125</t>
  </si>
  <si>
    <t>3F150</t>
  </si>
  <si>
    <t>92P</t>
  </si>
  <si>
    <t>DN 80, Kvs 150</t>
  </si>
  <si>
    <t>DN 100, Kvs 225</t>
  </si>
  <si>
    <t>DN 125, Kvs 280</t>
  </si>
  <si>
    <t>DN 150, Kvs 400</t>
  </si>
  <si>
    <t>В разборе</t>
  </si>
  <si>
    <t>y = -0,00357x2-0,1022x+18,966</t>
  </si>
  <si>
    <t>y =0,0234375x2-0,71875x+6</t>
  </si>
  <si>
    <t>2_10</t>
  </si>
  <si>
    <t>3_10</t>
  </si>
  <si>
    <t>TM172PBG28R</t>
  </si>
  <si>
    <t>TM172PBG42R</t>
  </si>
  <si>
    <t>CB22FE2MTPLC01</t>
  </si>
  <si>
    <t>Наименование МП</t>
  </si>
  <si>
    <t>Ток (А)</t>
  </si>
  <si>
    <t>AC-3</t>
  </si>
  <si>
    <t>AC-1</t>
  </si>
  <si>
    <t>LC1E0610M5</t>
  </si>
  <si>
    <t>LC1E0910M5</t>
  </si>
  <si>
    <t>LC1E1210M5</t>
  </si>
  <si>
    <t>LC1E1810M5</t>
  </si>
  <si>
    <t>LC1E2510M5</t>
  </si>
  <si>
    <t>LC1E3210M5</t>
  </si>
  <si>
    <t>LC1E40M5</t>
  </si>
  <si>
    <t>LC1E50M5</t>
  </si>
  <si>
    <t>LC1E65M5</t>
  </si>
  <si>
    <t>LC1E80M5</t>
  </si>
  <si>
    <t>LC1E95M5</t>
  </si>
  <si>
    <t>LC1E120M5</t>
  </si>
  <si>
    <t>LC1E160M5</t>
  </si>
  <si>
    <t>LC1E200M5</t>
  </si>
  <si>
    <t>LC1E250M5</t>
  </si>
  <si>
    <t>LC1E300M5</t>
  </si>
  <si>
    <t>LC1E400M7</t>
  </si>
  <si>
    <t>LC1E500M7</t>
  </si>
  <si>
    <t>LC1E630M7</t>
  </si>
  <si>
    <t>инд</t>
  </si>
  <si>
    <t>реакт</t>
  </si>
  <si>
    <t>2_63</t>
  </si>
  <si>
    <t>CB45FE1AHUL2C01</t>
  </si>
  <si>
    <t>ИТОГО:</t>
  </si>
  <si>
    <t>в т.ч. НДС 18%</t>
  </si>
  <si>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</si>
  <si>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Потери давления по воздуху</t>
    </r>
  </si>
  <si>
    <r>
      <rPr>
        <sz val="9"/>
        <rFont val="Trebuchet MS"/>
        <family val="2"/>
      </rPr>
      <t>Параметры</t>
    </r>
  </si>
  <si>
    <r>
      <rPr>
        <sz val="9"/>
        <rFont val="Trebuchet MS"/>
        <family val="2"/>
      </rPr>
      <t>Сторона обслуживания</t>
    </r>
  </si>
  <si>
    <r>
      <rPr>
        <b/>
        <sz val="9"/>
        <rFont val="Tahoma"/>
        <family val="2"/>
      </rPr>
      <t>Примечание:</t>
    </r>
  </si>
  <si>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</si>
  <si>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</si>
  <si>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Площадь фронтального сечения</t>
    </r>
  </si>
  <si>
    <r>
      <rPr>
        <sz val="9"/>
        <rFont val="Trebuchet MS"/>
        <family val="2"/>
      </rPr>
      <t>Полезная производительность</t>
    </r>
  </si>
  <si>
    <r>
      <rPr>
        <sz val="9"/>
        <rFont val="Trebuchet MS"/>
        <family val="2"/>
      </rPr>
      <t>В скобках указаны максимальные значения каждого параметра для данного теплообменника</t>
    </r>
  </si>
  <si>
    <r>
      <rPr>
        <sz val="9"/>
        <rFont val="Trebuchet MS"/>
        <family val="2"/>
      </rPr>
      <t>Направление выхлопа</t>
    </r>
  </si>
  <si>
    <r>
      <rPr>
        <sz val="9"/>
        <rFont val="Trebuchet MS"/>
        <family val="2"/>
      </rPr>
      <t>По оси</t>
    </r>
  </si>
  <si>
    <r>
      <rPr>
        <sz val="9"/>
        <rFont val="Trebuchet MS"/>
        <family val="2"/>
      </rPr>
      <t>Двигатель</t>
    </r>
  </si>
  <si>
    <r>
      <rPr>
        <sz val="9"/>
        <rFont val="Trebuchet MS"/>
        <family val="2"/>
      </rPr>
      <t>Резерв двигателя</t>
    </r>
  </si>
  <si>
    <r>
      <rPr>
        <b/>
        <sz val="9"/>
        <rFont val="Tahoma"/>
        <family val="2"/>
      </rPr>
      <t>Вытяжка.  Вентилятор</t>
    </r>
  </si>
  <si>
    <r>
      <rPr>
        <sz val="9"/>
        <rFont val="Trebuchet MS"/>
        <family val="2"/>
      </rPr>
      <t>Левая</t>
    </r>
  </si>
  <si>
    <r>
      <rPr>
        <b/>
        <sz val="9"/>
        <rFont val="Tahoma"/>
        <family val="2"/>
      </rPr>
      <t>Вытяжная часть</t>
    </r>
  </si>
  <si>
    <t>Смесительный узел с горячим резервом СУ3-ТСР-80-10 присоединение Ду32</t>
  </si>
  <si>
    <t>Смесительный узел с горячим резервом СУ3-ТСР-80-16 присоединение Ду32</t>
  </si>
  <si>
    <t>3 скор Lp = 5,2 м3/ч.с уч dP на 3хкл. и ТО</t>
  </si>
  <si>
    <t>3 скор Lp = 3,9 м3/ч.с уч dP на 3хкл. и ТО</t>
  </si>
  <si>
    <t>Смесительный узел с горячим резервом СУ3-ТСР-80-6,3 присоединение Ду32</t>
  </si>
  <si>
    <t>3 скор Lp = 4,8 м3/ч.с уч dP на 3хкл. и ТО</t>
  </si>
  <si>
    <t>3 скор Lp = 4,6 м3/ч.с уч dP на 3хкл. и ТО</t>
  </si>
  <si>
    <t>3 скор Lp = 4,5 м3/ч.с уч dP на 3хкл. и ТО</t>
  </si>
  <si>
    <t>УР №1506123а-СПБ</t>
  </si>
  <si>
    <t>УР №1506121а-СПБ</t>
  </si>
  <si>
    <t>УР №1506119а-СПБ</t>
  </si>
  <si>
    <t>УР №1506117а-СПБ</t>
  </si>
  <si>
    <t>УР №1506115б-СПБ</t>
  </si>
  <si>
    <t>УР №1506113б-СПБ</t>
  </si>
  <si>
    <t>УР №1506111а-СПБ</t>
  </si>
  <si>
    <t>УР №1506105а-СПБ</t>
  </si>
  <si>
    <t>УР №1506107а-СПБ</t>
  </si>
  <si>
    <t>УР №1506109а-СПБ</t>
  </si>
  <si>
    <r>
      <rPr>
        <sz val="9"/>
        <rFont val="Trebuchet MS"/>
        <family val="2"/>
      </rPr>
      <t xml:space="preserve">Расход жидкости
</t>
    </r>
    <r>
      <rPr>
        <sz val="9"/>
        <rFont val="Trebuchet MS"/>
        <family val="2"/>
      </rPr>
      <t>Потеря напора теплоносителя Сторона обслуживания</t>
    </r>
  </si>
  <si>
    <r>
      <rPr>
        <sz val="9"/>
        <rFont val="Trebuchet MS"/>
        <family val="2"/>
      </rPr>
      <t>Падение давления по воздуху Запас по поверхности теплообмена</t>
    </r>
  </si>
  <si>
    <r>
      <rPr>
        <sz val="9"/>
        <rFont val="Trebuchet MS"/>
        <family val="2"/>
      </rPr>
      <t>Мощность двигателя Напор расчетный Расход фактический Напор статический</t>
    </r>
  </si>
  <si>
    <r>
      <rPr>
        <sz val="9"/>
        <rFont val="Trebuchet MS"/>
        <family val="2"/>
      </rPr>
      <t>Температура воздуха на выходе</t>
    </r>
  </si>
  <si>
    <r>
      <rPr>
        <b/>
        <sz val="10"/>
        <rFont val="Tahoma"/>
        <family val="2"/>
      </rPr>
      <t>№ предложения:</t>
    </r>
  </si>
  <si>
    <r>
      <rPr>
        <b/>
        <sz val="10"/>
        <rFont val="Tahoma"/>
        <family val="2"/>
      </rPr>
      <t>№ позиции:</t>
    </r>
  </si>
  <si>
    <r>
      <rPr>
        <b/>
        <sz val="8"/>
        <rFont val="Tahoma"/>
        <family val="2"/>
      </rPr>
      <t>Габаритные размеры установки, общий вес и комплектация предоставлены предварительные.</t>
    </r>
  </si>
  <si>
    <r>
      <rPr>
        <b/>
        <sz val="8"/>
        <rFont val="Tahoma"/>
        <family val="2"/>
      </rPr>
      <t>Завод-производитель оставляет за собой право оптимизировать параметры без потери качества продукции перед заказом.</t>
    </r>
  </si>
  <si>
    <r>
      <rPr>
        <b/>
        <sz val="10"/>
        <rFont val="Tahoma"/>
        <family val="2"/>
      </rPr>
      <t>Толщина панели, мм</t>
    </r>
  </si>
  <si>
    <r>
      <rPr>
        <b/>
        <sz val="10"/>
        <rFont val="Tahoma"/>
        <family val="2"/>
      </rPr>
      <t>Сторона обслуживания Опoрная рама</t>
    </r>
  </si>
  <si>
    <r>
      <rPr>
        <sz val="10"/>
        <rFont val="Trebuchet MS"/>
        <family val="2"/>
      </rPr>
      <t>Правая/левая Нерегулируемая</t>
    </r>
  </si>
  <si>
    <r>
      <rPr>
        <b/>
        <sz val="10"/>
        <rFont val="Tahoma"/>
        <family val="2"/>
      </rPr>
      <t>Расход, м3/ч</t>
    </r>
  </si>
  <si>
    <r>
      <rPr>
        <b/>
        <sz val="10"/>
        <rFont val="Tahoma"/>
        <family val="2"/>
      </rPr>
      <t>Tехнические  данные</t>
    </r>
  </si>
  <si>
    <t>ПВ1</t>
  </si>
  <si>
    <t>Both3Ph</t>
  </si>
  <si>
    <r>
      <rPr>
        <b/>
        <sz val="10"/>
        <rFont val="Tahoma"/>
        <family val="2"/>
      </rPr>
      <t>Типоразмер</t>
    </r>
  </si>
  <si>
    <r>
      <rPr>
        <b/>
        <sz val="10"/>
        <rFont val="Tahoma"/>
        <family val="2"/>
      </rPr>
      <t>Размещение  установки</t>
    </r>
  </si>
  <si>
    <r>
      <rPr>
        <sz val="10"/>
        <rFont val="Trebuchet MS"/>
        <family val="2"/>
      </rPr>
      <t>Внутреннее</t>
    </r>
  </si>
  <si>
    <r>
      <rPr>
        <b/>
        <sz val="10"/>
        <rFont val="Tahoma"/>
        <family val="2"/>
      </rPr>
      <t>Исполнение</t>
    </r>
  </si>
  <si>
    <r>
      <rPr>
        <sz val="10"/>
        <rFont val="Trebuchet MS"/>
        <family val="2"/>
      </rPr>
      <t>Стандартное</t>
    </r>
  </si>
  <si>
    <r>
      <rPr>
        <b/>
        <sz val="10"/>
        <rFont val="Tahoma"/>
        <family val="2"/>
      </rPr>
      <t>Панели внутр./наруж.</t>
    </r>
  </si>
  <si>
    <r>
      <rPr>
        <b/>
        <sz val="10"/>
        <rFont val="Tahoma"/>
        <family val="2"/>
      </rPr>
      <t>Приточный  воздух</t>
    </r>
  </si>
  <si>
    <r>
      <rPr>
        <b/>
        <sz val="10"/>
        <rFont val="Tahoma"/>
        <family val="2"/>
      </rPr>
      <t>Вытяжной воздух</t>
    </r>
  </si>
  <si>
    <r>
      <rPr>
        <b/>
        <sz val="10"/>
        <rFont val="Tahoma"/>
        <family val="2"/>
      </rPr>
      <t>Располагаемый напор, Пa</t>
    </r>
  </si>
  <si>
    <r>
      <rPr>
        <b/>
        <sz val="10"/>
        <rFont val="Tahoma"/>
        <family val="2"/>
      </rPr>
      <t>Полное давление, Па</t>
    </r>
  </si>
  <si>
    <r>
      <rPr>
        <b/>
        <sz val="10"/>
        <rFont val="Tahoma"/>
        <family val="2"/>
      </rPr>
      <t>Скорость воздуха, м/с</t>
    </r>
  </si>
  <si>
    <r>
      <rPr>
        <b/>
        <sz val="10"/>
        <rFont val="Tahoma"/>
        <family val="2"/>
      </rPr>
      <t>График вентилятора притока</t>
    </r>
  </si>
  <si>
    <r>
      <rPr>
        <b/>
        <sz val="10"/>
        <rFont val="Tahoma"/>
        <family val="2"/>
      </rPr>
      <t>График вентилятора вытяжки</t>
    </r>
  </si>
  <si>
    <r>
      <rPr>
        <sz val="9"/>
        <rFont val="Trebuchet MS"/>
        <family val="2"/>
      </rPr>
      <t>Напор динамический Номинальный ток двигателя</t>
    </r>
  </si>
  <si>
    <r>
      <rPr>
        <sz val="9"/>
        <rFont val="Trebuchet MS"/>
        <family val="2"/>
      </rPr>
      <t>Обороты фактические Параметры электропитания</t>
    </r>
  </si>
  <si>
    <r>
      <rPr>
        <sz val="9"/>
        <rFont val="Trebuchet MS"/>
        <family val="2"/>
      </rPr>
      <t xml:space="preserve">Рабочая частота Вес
</t>
    </r>
    <r>
      <rPr>
        <sz val="9"/>
        <rFont val="Trebuchet MS"/>
        <family val="2"/>
      </rPr>
      <t>Мощность требуемая Сторона обслуживания</t>
    </r>
  </si>
  <si>
    <r>
      <rPr>
        <sz val="9"/>
        <rFont val="Trebuchet MS"/>
        <family val="2"/>
      </rPr>
      <t xml:space="preserve">Тип КПД
</t>
    </r>
    <r>
      <rPr>
        <sz val="9"/>
        <rFont val="Trebuchet MS"/>
        <family val="2"/>
      </rPr>
      <t>Частотное регулирование</t>
    </r>
  </si>
  <si>
    <r>
      <rPr>
        <sz val="9"/>
        <rFont val="Trebuchet MS"/>
        <family val="2"/>
      </rPr>
      <t>Эффективность температурная</t>
    </r>
  </si>
  <si>
    <r>
      <rPr>
        <b/>
        <sz val="10"/>
        <rFont val="Tahoma"/>
        <family val="2"/>
      </rPr>
      <t>Сторона обслуживания</t>
    </r>
  </si>
  <si>
    <r>
      <rPr>
        <sz val="10"/>
        <rFont val="Trebuchet MS"/>
        <family val="2"/>
      </rPr>
      <t>Правая/левая</t>
    </r>
  </si>
  <si>
    <r>
      <rPr>
        <b/>
        <sz val="10"/>
        <rFont val="Tahoma"/>
        <family val="2"/>
      </rPr>
      <t>Опoрная рама</t>
    </r>
  </si>
  <si>
    <r>
      <rPr>
        <sz val="10"/>
        <rFont val="Trebuchet MS"/>
        <family val="2"/>
      </rPr>
      <t>Нерегулируемая</t>
    </r>
  </si>
  <si>
    <r>
      <rPr>
        <sz val="9"/>
        <rFont val="Trebuchet MS"/>
        <family val="2"/>
      </rPr>
      <t xml:space="preserve">гофрированный
</t>
    </r>
    <r>
      <rPr>
        <sz val="9"/>
        <rFont val="Trebuchet MS"/>
        <family val="2"/>
      </rPr>
      <t>G4</t>
    </r>
  </si>
  <si>
    <r>
      <rPr>
        <sz val="9"/>
        <rFont val="Trebuchet MS"/>
        <family val="2"/>
      </rPr>
      <t>Расход расчетный</t>
    </r>
  </si>
  <si>
    <r>
      <rPr>
        <sz val="9"/>
        <rFont val="Trebuchet MS"/>
        <family val="2"/>
      </rPr>
      <t>Мощность двигателя</t>
    </r>
  </si>
  <si>
    <r>
      <rPr>
        <sz val="9"/>
        <rFont val="Trebuchet MS"/>
        <family val="2"/>
      </rPr>
      <t>Напор свободный Количество полюсов Напор фактический</t>
    </r>
  </si>
  <si>
    <r>
      <rPr>
        <sz val="9"/>
        <rFont val="Trebuchet MS"/>
        <family val="2"/>
      </rPr>
      <t>Напор расчетный Расход фактический Напор статический</t>
    </r>
  </si>
  <si>
    <r>
      <rPr>
        <sz val="9"/>
        <rFont val="Trebuchet MS"/>
        <family val="2"/>
      </rPr>
      <t xml:space="preserve">Рабочая частота Вес
</t>
    </r>
    <r>
      <rPr>
        <sz val="9"/>
        <rFont val="Trebuchet MS"/>
        <family val="2"/>
      </rPr>
      <t>Мощность требуемая</t>
    </r>
  </si>
  <si>
    <r>
      <rPr>
        <sz val="9"/>
        <rFont val="Trebuchet MS"/>
        <family val="2"/>
      </rPr>
      <t>Влажность воздуха на входе Влагосодержание воздуха на входе</t>
    </r>
  </si>
  <si>
    <r>
      <rPr>
        <sz val="9"/>
        <rFont val="Trebuchet MS"/>
        <family val="2"/>
      </rPr>
      <t>Влажность воздуха на выходе Влагосодержание воздуха на выходе</t>
    </r>
  </si>
  <si>
    <r>
      <rPr>
        <sz val="9"/>
        <rFont val="Trebuchet MS"/>
        <family val="2"/>
      </rPr>
      <t>Вес                                                              0 кг</t>
    </r>
  </si>
  <si>
    <r>
      <rPr>
        <sz val="10"/>
        <rFont val="Trebuchet MS"/>
        <family val="2"/>
      </rPr>
      <t>VT17-010484-01</t>
    </r>
  </si>
  <si>
    <r>
      <rPr>
        <sz val="10"/>
        <rFont val="Trebuchet MS"/>
        <family val="2"/>
      </rPr>
      <t>ПВ1</t>
    </r>
  </si>
  <si>
    <r>
      <rPr>
        <b/>
        <sz val="10"/>
        <rFont val="Tahoma"/>
        <family val="2"/>
      </rPr>
      <t xml:space="preserve">Заказчик:
</t>
    </r>
    <r>
      <rPr>
        <b/>
        <sz val="10"/>
        <rFont val="Tahoma"/>
        <family val="2"/>
      </rPr>
      <t>Объект:</t>
    </r>
  </si>
  <si>
    <r>
      <rPr>
        <sz val="10"/>
        <rFont val="Trebuchet MS"/>
        <family val="2"/>
      </rPr>
      <t>Группа компаний "АЯК АБК Электросталь</t>
    </r>
  </si>
  <si>
    <r>
      <rPr>
        <b/>
        <sz val="10"/>
        <rFont val="Tahoma"/>
        <family val="2"/>
      </rPr>
      <t xml:space="preserve">Подготовил:
</t>
    </r>
    <r>
      <rPr>
        <b/>
        <sz val="10"/>
        <rFont val="Tahoma"/>
        <family val="2"/>
      </rPr>
      <t>Дата подбора:</t>
    </r>
  </si>
  <si>
    <r>
      <rPr>
        <sz val="10"/>
        <rFont val="Trebuchet MS"/>
        <family val="2"/>
      </rPr>
      <t>Чукалин Василий 27.11.2017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</si>
  <si>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3730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627</t>
    </r>
  </si>
  <si>
    <r>
      <rPr>
        <sz val="10"/>
        <rFont val="Trebuchet MS"/>
        <family val="2"/>
      </rPr>
      <t>ZENCHA GENERAL B20 0707 RL</t>
    </r>
  </si>
  <si>
    <r>
      <rPr>
        <sz val="10"/>
        <rFont val="Trebuchet MS"/>
        <family val="2"/>
      </rPr>
      <t>Zn/Zn</t>
    </r>
  </si>
  <si>
    <r>
      <rPr>
        <b/>
        <sz val="9"/>
        <rFont val="Tahoma"/>
        <family val="2"/>
      </rPr>
      <t>Приточная часть</t>
    </r>
  </si>
  <si>
    <r>
      <rPr>
        <b/>
        <sz val="9"/>
        <rFont val="Tahoma"/>
        <family val="2"/>
      </rPr>
      <t>1. Гибкая вставка</t>
    </r>
  </si>
  <si>
    <r>
      <rPr>
        <sz val="9"/>
        <rFont val="Trebuchet MS"/>
        <family val="2"/>
      </rPr>
      <t>Вес                                                              7 кг</t>
    </r>
  </si>
  <si>
    <r>
      <rPr>
        <b/>
        <sz val="9"/>
        <rFont val="Tahoma"/>
        <family val="2"/>
      </rPr>
      <t>2. Воздушный клапан</t>
    </r>
  </si>
  <si>
    <r>
      <rPr>
        <sz val="9"/>
        <rFont val="Trebuchet MS"/>
        <family val="2"/>
      </rPr>
      <t>Потери давления по воздуху                         0.7 Па                    Вес                                                       19 кг</t>
    </r>
  </si>
  <si>
    <r>
      <rPr>
        <b/>
        <sz val="9"/>
        <rFont val="Tahoma"/>
        <family val="2"/>
      </rPr>
      <t>3. Фильтр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</si>
  <si>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127.1 Па</t>
    </r>
  </si>
  <si>
    <r>
      <rPr>
        <sz val="9"/>
        <rFont val="Trebuchet MS"/>
        <family val="2"/>
      </rPr>
      <t>гофрированный</t>
    </r>
  </si>
  <si>
    <r>
      <rPr>
        <sz val="9"/>
        <rFont val="Trebuchet MS"/>
        <family val="2"/>
      </rPr>
      <t>G4                          Вес                                                        39 кг</t>
    </r>
  </si>
  <si>
    <r>
      <rPr>
        <b/>
        <sz val="9"/>
        <rFont val="Tahoma"/>
        <family val="2"/>
      </rPr>
      <t>4. Фильтр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</si>
  <si>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132.7 Па</t>
    </r>
  </si>
  <si>
    <r>
      <rPr>
        <sz val="9"/>
        <rFont val="Trebuchet MS"/>
        <family val="2"/>
      </rPr>
      <t>Параметры                                                   карманный F7         Вес                                                       66 кг</t>
    </r>
  </si>
  <si>
    <r>
      <rPr>
        <b/>
        <sz val="9"/>
        <rFont val="Tahoma"/>
        <family val="2"/>
      </rPr>
      <t>5. Роторный рекуператор</t>
    </r>
  </si>
  <si>
    <r>
      <rPr>
        <sz val="9"/>
        <rFont val="Trebuchet MS"/>
        <family val="2"/>
      </rPr>
      <t xml:space="preserve">Температура воздуха на входе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 12.67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90  %                Влажность воздуха на выходе                 38  % Влагосодержание воздуха на входе              0.35 г/кг               Влагосодержание воздуха на выходе      3.48 г/кг Эффективность температурная                    81.35  %            Потери давления по воздуху                  75.22 Па</t>
    </r>
  </si>
  <si>
    <r>
      <rPr>
        <sz val="9"/>
        <rFont val="Trebuchet MS"/>
        <family val="2"/>
      </rPr>
      <t>Эффективность влажностная                      68.61  %            Скорость воздуха в сечении</t>
    </r>
  </si>
  <si>
    <r>
      <rPr>
        <sz val="9"/>
        <rFont val="Trebuchet MS"/>
        <family val="2"/>
      </rPr>
      <t>1.58 м/с</t>
    </r>
  </si>
  <si>
    <r>
      <rPr>
        <sz val="9"/>
        <rFont val="Trebuchet MS"/>
        <family val="2"/>
      </rPr>
      <t>Передаваемая мощность                               35.42 кВт               Вес                                                       71 кг</t>
    </r>
  </si>
  <si>
    <r>
      <rPr>
        <b/>
        <sz val="9"/>
        <rFont val="Tahoma"/>
        <family val="2"/>
      </rPr>
      <t>6.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</si>
  <si>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18(36.2)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</si>
  <si>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входе                                                        60  %</t>
    </r>
  </si>
  <si>
    <r>
      <rPr>
        <sz val="9"/>
        <rFont val="Trebuchet MS"/>
        <family val="2"/>
      </rPr>
      <t>выходе                                               25(9)  %</t>
    </r>
  </si>
  <si>
    <r>
      <rPr>
        <sz val="9"/>
        <rFont val="Trebuchet MS"/>
        <family val="2"/>
      </rPr>
      <t>Количество рядов трубок                             2                          Скорость воздуха в сечении</t>
    </r>
  </si>
  <si>
    <r>
      <rPr>
        <sz val="9"/>
        <rFont val="Trebuchet MS"/>
        <family val="2"/>
      </rPr>
      <t xml:space="preserve">Температура теплоносителя на входе            90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70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Площадь фронтального сечения                  0.11 м</t>
    </r>
    <r>
      <rPr>
        <sz val="6"/>
        <rFont val="Comic Sans MS"/>
        <family val="4"/>
      </rPr>
      <t xml:space="preserve">2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9.56(21.6) кВт Расход жидкости                                       0.42(0.95)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31.5(29.35) Па Потеря напора теплоносителя                     0.54(2.35) кПа        Запас по поверхности теплообмена        139.19  % Сторона обслуживания                                Правая</t>
    </r>
  </si>
  <si>
    <r>
      <rPr>
        <b/>
        <sz val="9"/>
        <rFont val="Tahoma"/>
        <family val="2"/>
      </rPr>
      <t>7. Фреоновый охладитель</t>
    </r>
  </si>
  <si>
    <r>
      <rPr>
        <sz val="9"/>
        <rFont val="Trebuchet MS"/>
        <family val="2"/>
      </rPr>
      <t>Тип</t>
    </r>
    <r>
      <rPr>
        <sz val="9"/>
        <rFont val="Bookman Old Style"/>
        <family val="1"/>
      </rPr>
      <t xml:space="preserve"> хладогента                                            R410A                    Температура воздуха на входе                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</si>
  <si>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Температура воздуха на выходе                  18(17.99)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</si>
  <si>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73 %</t>
    </r>
  </si>
  <si>
    <r>
      <rPr>
        <sz val="9"/>
        <rFont val="Trebuchet MS"/>
        <family val="2"/>
      </rPr>
      <t>выходе                                                   92(92)  %           Количество рядов трубок</t>
    </r>
  </si>
  <si>
    <r>
      <rPr>
        <sz val="9"/>
        <rFont val="Trebuchet MS"/>
        <family val="2"/>
      </rPr>
      <t xml:space="preserve">Число контуров
</t>
    </r>
    <r>
      <rPr>
        <sz val="9"/>
        <rFont val="Trebuchet MS"/>
        <family val="2"/>
      </rPr>
      <t>Площадь фронтального сечения</t>
    </r>
  </si>
  <si>
    <r>
      <rPr>
        <sz val="9"/>
        <rFont val="Trebuchet MS"/>
        <family val="2"/>
      </rPr>
      <t xml:space="preserve">7
</t>
    </r>
    <r>
      <rPr>
        <sz val="9"/>
        <rFont val="Trebuchet MS"/>
        <family val="2"/>
      </rPr>
      <t>0.18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</si>
  <si>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Скорость воздуха в сечении
</t>
    </r>
    <r>
      <rPr>
        <sz val="9"/>
        <rFont val="Trebuchet MS"/>
        <family val="2"/>
      </rPr>
      <t xml:space="preserve">теплообменника
</t>
    </r>
    <r>
      <rPr>
        <sz val="9"/>
        <rFont val="Trebuchet MS"/>
        <family val="2"/>
      </rPr>
      <t>Полезная производительность</t>
    </r>
  </si>
  <si>
    <r>
      <rPr>
        <sz val="9"/>
        <rFont val="Trebuchet MS"/>
        <family val="2"/>
      </rPr>
      <t xml:space="preserve">2.24(2.24) м/с
</t>
    </r>
    <r>
      <rPr>
        <sz val="9"/>
        <rFont val="Trebuchet MS"/>
        <family val="2"/>
      </rPr>
      <t>17.42(17.43) кВт</t>
    </r>
  </si>
  <si>
    <r>
      <rPr>
        <sz val="9"/>
        <rFont val="Trebuchet MS"/>
        <family val="2"/>
      </rPr>
      <t>Расход жидкости</t>
    </r>
  </si>
  <si>
    <r>
      <rPr>
        <sz val="9"/>
        <rFont val="Trebuchet MS"/>
        <family val="2"/>
      </rPr>
      <t>11.23(11.26)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</si>
  <si>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</t>
    </r>
  </si>
  <si>
    <r>
      <rPr>
        <sz val="9"/>
        <rFont val="Trebuchet MS"/>
        <family val="2"/>
      </rPr>
      <t>62.44(62.43)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</si>
  <si>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35.6 Па</t>
    </r>
  </si>
  <si>
    <r>
      <rPr>
        <sz val="9"/>
        <rFont val="Trebuchet MS"/>
        <family val="2"/>
      </rPr>
      <t>Число фреоновых секций</t>
    </r>
  </si>
  <si>
    <r>
      <rPr>
        <sz val="9"/>
        <rFont val="Trebuchet MS"/>
        <family val="2"/>
      </rPr>
      <t xml:space="preserve">Запас по поверхности теплообмена           0.5 %
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кипения фреона   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</si>
  <si>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Конденсат
</t>
    </r>
    <r>
      <rPr>
        <sz val="9"/>
        <rFont val="Trebuchet MS"/>
        <family val="2"/>
      </rPr>
      <t>Температура конденсации фреона</t>
    </r>
  </si>
  <si>
    <r>
      <rPr>
        <sz val="9"/>
        <rFont val="Trebuchet MS"/>
        <family val="2"/>
      </rPr>
      <t xml:space="preserve">14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</si>
  <si>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b/>
        <sz val="9"/>
        <rFont val="Tahoma"/>
        <family val="2"/>
      </rPr>
      <t>8. Вентилятор</t>
    </r>
  </si>
  <si>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</si>
  <si>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RH28C 5АИ71В2</t>
    </r>
  </si>
  <si>
    <r>
      <rPr>
        <sz val="9"/>
        <rFont val="Trebuchet MS"/>
        <family val="2"/>
      </rPr>
      <t>По оси Нет</t>
    </r>
  </si>
  <si>
    <r>
      <rPr>
        <sz val="9"/>
        <rFont val="Trebuchet MS"/>
        <family val="2"/>
      </rPr>
      <t>2170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907 Па</t>
    </r>
  </si>
  <si>
    <r>
      <rPr>
        <sz val="9"/>
        <rFont val="Trebuchet MS"/>
        <family val="2"/>
      </rPr>
      <t>1.1 кВт 864 Па 2170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864 Па</t>
    </r>
  </si>
  <si>
    <r>
      <rPr>
        <sz val="9"/>
        <rFont val="Trebuchet MS"/>
        <family val="2"/>
      </rPr>
      <t xml:space="preserve">43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</si>
  <si>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3199 об/мин 3/400/50</t>
    </r>
  </si>
  <si>
    <r>
      <rPr>
        <sz val="9"/>
        <rFont val="Trebuchet MS"/>
        <family val="2"/>
      </rPr>
      <t xml:space="preserve">57 Гц
</t>
    </r>
    <r>
      <rPr>
        <sz val="9"/>
        <rFont val="Trebuchet MS"/>
        <family val="2"/>
      </rPr>
      <t xml:space="preserve">92 кг
</t>
    </r>
    <r>
      <rPr>
        <sz val="9"/>
        <rFont val="Trebuchet MS"/>
        <family val="2"/>
      </rPr>
      <t>0.77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</si>
  <si>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71.93 % Обязательно</t>
    </r>
  </si>
  <si>
    <r>
      <rPr>
        <b/>
        <sz val="9"/>
        <rFont val="Tahoma"/>
        <family val="2"/>
      </rPr>
      <t xml:space="preserve">9. Гибкая вставка
</t>
    </r>
    <r>
      <rPr>
        <sz val="9"/>
        <rFont val="Trebuchet MS"/>
        <family val="2"/>
      </rPr>
      <t>Вес</t>
    </r>
  </si>
  <si>
    <r>
      <rPr>
        <sz val="9"/>
        <rFont val="Trebuchet MS"/>
        <family val="2"/>
      </rPr>
      <t>7 кг</t>
    </r>
  </si>
  <si>
    <r>
      <rPr>
        <b/>
        <sz val="9"/>
        <rFont val="Tahoma"/>
        <family val="2"/>
      </rPr>
      <t xml:space="preserve">10. Гибкая вставка
</t>
    </r>
    <r>
      <rPr>
        <sz val="9"/>
        <rFont val="Trebuchet MS"/>
        <family val="2"/>
      </rPr>
      <t>Вес</t>
    </r>
  </si>
  <si>
    <r>
      <rPr>
        <b/>
        <sz val="9"/>
        <rFont val="Tahoma"/>
        <family val="2"/>
      </rPr>
      <t xml:space="preserve">11. Фильтр
</t>
    </r>
    <r>
      <rPr>
        <sz val="9"/>
        <rFont val="Trebuchet MS"/>
        <family val="2"/>
      </rPr>
      <t>Фильтр</t>
    </r>
  </si>
  <si>
    <r>
      <rPr>
        <sz val="9"/>
        <rFont val="Trebuchet MS"/>
        <family val="2"/>
      </rPr>
      <t>127.1 Па</t>
    </r>
  </si>
  <si>
    <r>
      <rPr>
        <sz val="9"/>
        <rFont val="Trebuchet MS"/>
        <family val="2"/>
      </rPr>
      <t>39 кг</t>
    </r>
  </si>
  <si>
    <r>
      <rPr>
        <b/>
        <sz val="9"/>
        <rFont val="Tahoma"/>
        <family val="2"/>
      </rPr>
      <t xml:space="preserve">12. Вентилятор
</t>
    </r>
    <r>
      <rPr>
        <sz val="9"/>
        <rFont val="Trebuchet MS"/>
        <family val="2"/>
      </rPr>
      <t>Рабочее колесо</t>
    </r>
  </si>
  <si>
    <r>
      <rPr>
        <sz val="9"/>
        <rFont val="Trebuchet MS"/>
        <family val="2"/>
      </rPr>
      <t>RH28C</t>
    </r>
  </si>
  <si>
    <r>
      <rPr>
        <sz val="9"/>
        <rFont val="Trebuchet MS"/>
        <family val="2"/>
      </rPr>
      <t>5АИ63В2</t>
    </r>
  </si>
  <si>
    <r>
      <rPr>
        <sz val="9"/>
        <rFont val="Trebuchet MS"/>
        <family val="2"/>
      </rPr>
      <t>Нет</t>
    </r>
  </si>
  <si>
    <r>
      <rPr>
        <sz val="9"/>
        <rFont val="Trebuchet MS"/>
        <family val="2"/>
      </rPr>
      <t>2170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</si>
  <si>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0.55 кВт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</si>
  <si>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649 Па</t>
    </r>
  </si>
  <si>
    <r>
      <rPr>
        <sz val="9"/>
        <rFont val="Trebuchet MS"/>
        <family val="2"/>
      </rPr>
      <t xml:space="preserve">606 Па
</t>
    </r>
    <r>
      <rPr>
        <sz val="9"/>
        <rFont val="Trebuchet MS"/>
        <family val="2"/>
      </rPr>
      <t>2170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606 Па</t>
    </r>
  </si>
  <si>
    <r>
      <rPr>
        <sz val="9"/>
        <rFont val="Trebuchet MS"/>
        <family val="2"/>
      </rPr>
      <t xml:space="preserve">43 Па
</t>
    </r>
    <r>
      <rPr>
        <sz val="9"/>
        <rFont val="Trebuchet MS"/>
        <family val="2"/>
      </rPr>
      <t>1.4 A</t>
    </r>
  </si>
  <si>
    <r>
      <rPr>
        <sz val="9"/>
        <rFont val="Trebuchet MS"/>
        <family val="2"/>
      </rPr>
      <t>2853 об/мин 3/400/50</t>
    </r>
  </si>
  <si>
    <r>
      <rPr>
        <sz val="9"/>
        <rFont val="Trebuchet MS"/>
        <family val="2"/>
      </rPr>
      <t xml:space="preserve">51 Гц
</t>
    </r>
    <r>
      <rPr>
        <sz val="9"/>
        <rFont val="Trebuchet MS"/>
        <family val="2"/>
      </rPr>
      <t xml:space="preserve">90 кг
</t>
    </r>
    <r>
      <rPr>
        <sz val="9"/>
        <rFont val="Trebuchet MS"/>
        <family val="2"/>
      </rPr>
      <t>0.54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</si>
  <si>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71.84 % Обязательно</t>
    </r>
  </si>
  <si>
    <r>
      <rPr>
        <b/>
        <sz val="9"/>
        <rFont val="Tahoma"/>
        <family val="2"/>
      </rPr>
      <t xml:space="preserve">5. Роторный рекуператор
</t>
    </r>
    <r>
      <rPr>
        <sz val="9"/>
        <rFont val="Trebuchet MS"/>
        <family val="2"/>
      </rPr>
      <t>Температура воздуха на входе</t>
    </r>
  </si>
  <si>
    <r>
      <rPr>
        <sz val="9"/>
        <rFont val="Trebuchet MS"/>
        <family val="2"/>
      </rPr>
      <t>22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</si>
  <si>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-18.67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</si>
  <si>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30 %
</t>
    </r>
    <r>
      <rPr>
        <sz val="9"/>
        <rFont val="Trebuchet MS"/>
        <family val="2"/>
      </rPr>
      <t>4.94 г/кг</t>
    </r>
  </si>
  <si>
    <r>
      <rPr>
        <sz val="9"/>
        <rFont val="Trebuchet MS"/>
        <family val="2"/>
      </rPr>
      <t xml:space="preserve">99 %
</t>
    </r>
    <r>
      <rPr>
        <sz val="9"/>
        <rFont val="Trebuchet MS"/>
        <family val="2"/>
      </rPr>
      <t>0.87 г/кг</t>
    </r>
  </si>
  <si>
    <r>
      <rPr>
        <sz val="9"/>
        <rFont val="Trebuchet MS"/>
        <family val="2"/>
      </rPr>
      <t>81.35 %</t>
    </r>
  </si>
  <si>
    <r>
      <rPr>
        <sz val="9"/>
        <rFont val="Trebuchet MS"/>
        <family val="2"/>
      </rPr>
      <t>78.98 Па</t>
    </r>
  </si>
  <si>
    <r>
      <rPr>
        <sz val="9"/>
        <rFont val="Trebuchet MS"/>
        <family val="2"/>
      </rPr>
      <t>Эффективность влажностная                      90.07  %           Скорость воздуха в сечении</t>
    </r>
  </si>
  <si>
    <r>
      <rPr>
        <b/>
        <sz val="9"/>
        <rFont val="Tahoma"/>
        <family val="2"/>
      </rPr>
      <t>13. Пустая секция</t>
    </r>
  </si>
  <si>
    <r>
      <rPr>
        <sz val="9"/>
        <rFont val="Trebuchet MS"/>
        <family val="2"/>
      </rPr>
      <t>Длина секции                                               580 мм                   Вес                                                       28 кг</t>
    </r>
  </si>
  <si>
    <r>
      <rPr>
        <b/>
        <sz val="9"/>
        <rFont val="Tahoma"/>
        <family val="2"/>
      </rPr>
      <t>14. Воздушный клапан</t>
    </r>
  </si>
  <si>
    <r>
      <rPr>
        <sz val="9"/>
        <rFont val="Trebuchet MS"/>
        <family val="2"/>
      </rPr>
      <t>Потери давления по воздуху                         1.6 Па                    Вес                                                      13 кг</t>
    </r>
  </si>
  <si>
    <r>
      <rPr>
        <b/>
        <sz val="9"/>
        <rFont val="Tahoma"/>
        <family val="2"/>
      </rPr>
      <t>15. Гибкая вставка</t>
    </r>
  </si>
  <si>
    <r>
      <rPr>
        <sz val="9"/>
        <rFont val="Trebuchet MS"/>
        <family val="2"/>
      </rPr>
      <t>Вес                                                              6 кг</t>
    </r>
  </si>
  <si>
    <r>
      <rPr>
        <sz val="10"/>
        <rFont val="Trebuchet MS"/>
        <family val="2"/>
      </rPr>
      <t>ПВ2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</si>
  <si>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3850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647</t>
    </r>
  </si>
  <si>
    <r>
      <rPr>
        <sz val="9"/>
        <rFont val="Trebuchet MS"/>
        <family val="2"/>
      </rPr>
      <t>Потери давления по воздуху                         1.2 Па                    Вес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</si>
  <si>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145.1 Па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</si>
  <si>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154.4 Па</t>
    </r>
  </si>
  <si>
    <r>
      <rPr>
        <sz val="9"/>
        <rFont val="Trebuchet MS"/>
        <family val="2"/>
      </rPr>
      <t xml:space="preserve">Температура воздуха на входе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11.76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90  %                Влажность воздуха на выходе                 40  % Влагосодержание воздуха на входе              0.35 г/кг               Влагосодержание воздуха на выходе      3.48 г/кг Эффективность температурная                    79.51  %            Потери давления по воздуху                  98.58 Па</t>
    </r>
  </si>
  <si>
    <r>
      <rPr>
        <sz val="9"/>
        <rFont val="Trebuchet MS"/>
        <family val="2"/>
      </rPr>
      <t>2.03 м/с</t>
    </r>
  </si>
  <si>
    <r>
      <rPr>
        <sz val="9"/>
        <rFont val="Trebuchet MS"/>
        <family val="2"/>
      </rPr>
      <t>Передаваемая мощность                               44.84 кВт               Вес                                                       71 кг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</si>
  <si>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18(33.05)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</si>
  <si>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25(10)  %</t>
    </r>
  </si>
  <si>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входе            90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                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теплоносителя на выходе    70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</si>
  <si>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Площадь фронтального сечения                  0.11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12.34(25.32) кВт Расход жидкости                                       0.54(1.12)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49.63(46.78) Па Потеря напора теплоносителя                     0.85(3.14) кПа        Запас по поверхности теплообмена        114.99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</si>
  <si>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18(14.15)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</si>
  <si>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92(98)  %           Количество рядов трубок</t>
    </r>
  </si>
  <si>
    <r>
      <rPr>
        <sz val="9"/>
        <rFont val="Trebuchet MS"/>
        <family val="2"/>
      </rPr>
      <t>Скорость воздуха в сечении</t>
    </r>
  </si>
  <si>
    <r>
      <rPr>
        <sz val="9"/>
        <rFont val="Trebuchet MS"/>
        <family val="2"/>
      </rPr>
      <t>теплообменника                                   2.89(2.91) м/с</t>
    </r>
  </si>
  <si>
    <r>
      <rPr>
        <sz val="9"/>
        <rFont val="Trebuchet MS"/>
        <family val="2"/>
      </rPr>
      <t>Площадь фронтального сечения                  0.32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22.47(31.54) кВт</t>
    </r>
  </si>
  <si>
    <r>
      <rPr>
        <sz val="9"/>
        <rFont val="Trebuchet MS"/>
        <family val="2"/>
      </rPr>
      <t>Расход жидкости                                        14.48(20.38)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</si>
  <si>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196.58(200.11) Па</t>
    </r>
  </si>
  <si>
    <r>
      <rPr>
        <sz val="9"/>
        <rFont val="Trebuchet MS"/>
        <family val="2"/>
      </rPr>
      <t>каплеуловителе</t>
    </r>
  </si>
  <si>
    <r>
      <rPr>
        <sz val="9"/>
        <rFont val="Trebuchet MS"/>
        <family val="2"/>
      </rPr>
      <t>Запас</t>
    </r>
    <r>
      <rPr>
        <sz val="9"/>
        <rFont val="Tahoma"/>
        <family val="2"/>
      </rPr>
      <t xml:space="preserve"> по поверхности теплообмена</t>
    </r>
    <r>
      <rPr>
        <sz val="9"/>
        <rFont val="Trebuchet MS"/>
        <family val="2"/>
      </rPr>
      <t xml:space="preserve"> </t>
    </r>
    <r>
      <rPr>
        <sz val="9"/>
        <rFont val="Tahoma"/>
        <family val="2"/>
      </rPr>
      <t>Температура кипения фреона</t>
    </r>
    <r>
      <rPr>
        <sz val="9"/>
        <rFont val="Trebuchet MS"/>
        <family val="2"/>
      </rPr>
      <t xml:space="preserve"> </t>
    </r>
    <r>
      <rPr>
        <sz val="9"/>
        <rFont val="Tahoma"/>
        <family val="2"/>
      </rPr>
      <t>Сторона обслуживания</t>
    </r>
    <r>
      <rPr>
        <sz val="9"/>
        <rFont val="Trebuchet MS"/>
        <family val="2"/>
      </rPr>
      <t xml:space="preserve"> </t>
    </r>
    <r>
      <rPr>
        <b/>
        <sz val="9"/>
        <rFont val="Tahoma"/>
        <family val="2"/>
      </rPr>
      <t>Примечание:</t>
    </r>
  </si>
  <si>
    <r>
      <rPr>
        <sz val="9"/>
        <rFont val="Trebuchet MS"/>
        <family val="2"/>
      </rPr>
      <t>59.28 Па</t>
    </r>
  </si>
  <si>
    <r>
      <rPr>
        <sz val="9"/>
        <rFont val="Trebuchet MS"/>
        <family val="2"/>
      </rPr>
      <t xml:space="preserve">55.8 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</si>
  <si>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18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</si>
  <si>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b/>
        <sz val="9"/>
        <rFont val="Tahoma"/>
        <family val="2"/>
      </rPr>
      <t>8.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</si>
  <si>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RH31C 5АИ80А2</t>
    </r>
  </si>
  <si>
    <r>
      <rPr>
        <sz val="9"/>
        <rFont val="Trebuchet MS"/>
        <family val="2"/>
      </rPr>
      <t>2800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1152 Па</t>
    </r>
  </si>
  <si>
    <r>
      <rPr>
        <sz val="9"/>
        <rFont val="Trebuchet MS"/>
        <family val="2"/>
      </rPr>
      <t>1.5 кВт 1104 Па 2800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1104 Па</t>
    </r>
  </si>
  <si>
    <r>
      <rPr>
        <sz val="9"/>
        <rFont val="Trebuchet MS"/>
        <family val="2"/>
      </rPr>
      <t xml:space="preserve">48 Па
</t>
    </r>
    <r>
      <rPr>
        <sz val="9"/>
        <rFont val="Trebuchet MS"/>
        <family val="2"/>
      </rPr>
      <t>3.4 A</t>
    </r>
  </si>
  <si>
    <r>
      <rPr>
        <sz val="9"/>
        <rFont val="Trebuchet MS"/>
        <family val="2"/>
      </rPr>
      <t>3110 об/мин 3/400/50</t>
    </r>
  </si>
  <si>
    <r>
      <rPr>
        <sz val="9"/>
        <rFont val="Trebuchet MS"/>
        <family val="2"/>
      </rPr>
      <t xml:space="preserve">55 Гц
</t>
    </r>
    <r>
      <rPr>
        <sz val="9"/>
        <rFont val="Trebuchet MS"/>
        <family val="2"/>
      </rPr>
      <t xml:space="preserve">101 кг
</t>
    </r>
    <r>
      <rPr>
        <sz val="9"/>
        <rFont val="Trebuchet MS"/>
        <family val="2"/>
      </rPr>
      <t>1.28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</si>
  <si>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71.06 % Обязательно</t>
    </r>
  </si>
  <si>
    <r>
      <rPr>
        <sz val="9"/>
        <rFont val="Trebuchet MS"/>
        <family val="2"/>
      </rPr>
      <t>145.1 Па</t>
    </r>
  </si>
  <si>
    <r>
      <rPr>
        <sz val="9"/>
        <rFont val="Trebuchet MS"/>
        <family val="2"/>
      </rPr>
      <t>5АИ71В2</t>
    </r>
  </si>
  <si>
    <r>
      <rPr>
        <sz val="9"/>
        <rFont val="Trebuchet MS"/>
        <family val="2"/>
      </rPr>
      <t>2800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</si>
  <si>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1.1 кВт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</si>
  <si>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721 Па</t>
    </r>
  </si>
  <si>
    <r>
      <rPr>
        <sz val="9"/>
        <rFont val="Trebuchet MS"/>
        <family val="2"/>
      </rPr>
      <t xml:space="preserve">649 Па
</t>
    </r>
    <r>
      <rPr>
        <sz val="9"/>
        <rFont val="Trebuchet MS"/>
        <family val="2"/>
      </rPr>
      <t>2800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649 Па</t>
    </r>
  </si>
  <si>
    <r>
      <rPr>
        <sz val="9"/>
        <rFont val="Trebuchet MS"/>
        <family val="2"/>
      </rPr>
      <t xml:space="preserve">72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</si>
  <si>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3272 об/мин 3/400/50</t>
    </r>
  </si>
  <si>
    <r>
      <rPr>
        <sz val="9"/>
        <rFont val="Trebuchet MS"/>
        <family val="2"/>
      </rPr>
      <t xml:space="preserve">58 Гц
</t>
    </r>
    <r>
      <rPr>
        <sz val="9"/>
        <rFont val="Trebuchet MS"/>
        <family val="2"/>
      </rPr>
      <t xml:space="preserve">92 кг
</t>
    </r>
    <r>
      <rPr>
        <sz val="9"/>
        <rFont val="Trebuchet MS"/>
        <family val="2"/>
      </rPr>
      <t>0.82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</si>
  <si>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69.55 % Обязательно</t>
    </r>
  </si>
  <si>
    <r>
      <rPr>
        <sz val="9"/>
        <rFont val="Trebuchet MS"/>
        <family val="2"/>
      </rPr>
      <t>-17.76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</si>
  <si>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99 %
</t>
    </r>
    <r>
      <rPr>
        <sz val="9"/>
        <rFont val="Trebuchet MS"/>
        <family val="2"/>
      </rPr>
      <t>0.94 г/кг</t>
    </r>
  </si>
  <si>
    <r>
      <rPr>
        <sz val="9"/>
        <rFont val="Trebuchet MS"/>
        <family val="2"/>
      </rPr>
      <t>79.51 %</t>
    </r>
  </si>
  <si>
    <r>
      <rPr>
        <sz val="9"/>
        <rFont val="Trebuchet MS"/>
        <family val="2"/>
      </rPr>
      <t>103.51 Па</t>
    </r>
  </si>
  <si>
    <r>
      <rPr>
        <sz val="9"/>
        <rFont val="Trebuchet MS"/>
        <family val="2"/>
      </rPr>
      <t>Эффективность влажностная                       88.66  %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</si>
  <si>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 2.7 Па                    Вес                                                       13 кг</t>
    </r>
  </si>
  <si>
    <r>
      <rPr>
        <sz val="10"/>
        <rFont val="Trebuchet MS"/>
        <family val="2"/>
      </rPr>
      <t>ПВ3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</si>
  <si>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148.3 Па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</si>
  <si>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158.4 Па</t>
    </r>
  </si>
  <si>
    <r>
      <rPr>
        <sz val="9"/>
        <rFont val="Trebuchet MS"/>
        <family val="2"/>
      </rPr>
      <t xml:space="preserve">Температура воздуха на входе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11.57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90  %                Влажность воздуха на выходе                 41  % Влагосодержание воздуха на входе              0.35 г/кг               Влагосодержание воздуха на выходе      3.48 г/кг Эффективность температурная                    79.13  %            Потери давления по воздуху                  102.29 Па</t>
    </r>
  </si>
  <si>
    <r>
      <rPr>
        <sz val="9"/>
        <rFont val="Trebuchet MS"/>
        <family val="2"/>
      </rPr>
      <t>2.11 м/с</t>
    </r>
  </si>
  <si>
    <r>
      <rPr>
        <sz val="9"/>
        <rFont val="Trebuchet MS"/>
        <family val="2"/>
      </rPr>
      <t>Передаваемая мощность                               46.26 кВт               Вес                                                       71 кг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</si>
  <si>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18(32.65)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</si>
  <si>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25(11)  %</t>
    </r>
  </si>
  <si>
    <r>
      <rPr>
        <sz val="9"/>
        <rFont val="Trebuchet MS"/>
        <family val="2"/>
      </rPr>
      <t>Площадь фронтального сечения                  0.11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12.78(25.88) кВт Расход жидкости                                       0.56(1.14)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52.84(49.88) Па Потеря напора теплоносителя                     0.91(3.27) кПа        Запас по поверхности теплообмена        111.81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</si>
  <si>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18(14.32)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</si>
  <si>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теплообменника                                   2.99(3.02) м/с</t>
    </r>
  </si>
  <si>
    <r>
      <rPr>
        <sz val="9"/>
        <rFont val="Trebuchet MS"/>
        <family val="2"/>
      </rPr>
      <t>Площадь фронтального сечения                  0.32 м</t>
    </r>
    <r>
      <rPr>
        <sz val="6"/>
        <rFont val="Comic Sans MS"/>
        <family val="4"/>
      </rPr>
      <t xml:space="preserve">2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23.27(32.24) кВт</t>
    </r>
  </si>
  <si>
    <r>
      <rPr>
        <sz val="9"/>
        <rFont val="Trebuchet MS"/>
        <family val="2"/>
      </rPr>
      <t>Расход жидкости                                        14.99(20.84)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</si>
  <si>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Падение давления по воздуху              208.95(212.54)</t>
    </r>
  </si>
  <si>
    <r>
      <rPr>
        <sz val="9"/>
        <rFont val="Trebuchet MS"/>
        <family val="2"/>
      </rPr>
      <t>63.59 Па</t>
    </r>
  </si>
  <si>
    <r>
      <rPr>
        <sz val="9"/>
        <rFont val="Trebuchet MS"/>
        <family val="2"/>
      </rPr>
      <t xml:space="preserve">53.5  %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Правая</t>
    </r>
  </si>
  <si>
    <r>
      <rPr>
        <sz val="9"/>
        <rFont val="Trebuchet MS"/>
        <family val="2"/>
      </rPr>
      <t xml:space="preserve">19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</si>
  <si>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2900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1185 Па</t>
    </r>
  </si>
  <si>
    <r>
      <rPr>
        <sz val="9"/>
        <rFont val="Trebuchet MS"/>
        <family val="2"/>
      </rPr>
      <t>1.5 кВт 1134 Па 2900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1134 Па</t>
    </r>
  </si>
  <si>
    <r>
      <rPr>
        <sz val="9"/>
        <rFont val="Trebuchet MS"/>
        <family val="2"/>
      </rPr>
      <t xml:space="preserve">51 Па
</t>
    </r>
    <r>
      <rPr>
        <sz val="9"/>
        <rFont val="Trebuchet MS"/>
        <family val="2"/>
      </rPr>
      <t>3.4 A</t>
    </r>
  </si>
  <si>
    <r>
      <rPr>
        <sz val="9"/>
        <rFont val="Trebuchet MS"/>
        <family val="2"/>
      </rPr>
      <t>3171 об/мин 3/400/50</t>
    </r>
  </si>
  <si>
    <r>
      <rPr>
        <sz val="9"/>
        <rFont val="Trebuchet MS"/>
        <family val="2"/>
      </rPr>
      <t xml:space="preserve">56 Гц
</t>
    </r>
    <r>
      <rPr>
        <sz val="9"/>
        <rFont val="Trebuchet MS"/>
        <family val="2"/>
      </rPr>
      <t xml:space="preserve">101 кг
</t>
    </r>
    <r>
      <rPr>
        <sz val="9"/>
        <rFont val="Trebuchet MS"/>
        <family val="2"/>
      </rPr>
      <t>1.35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</si>
  <si>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71.28 % Обязательно</t>
    </r>
  </si>
  <si>
    <r>
      <rPr>
        <sz val="9"/>
        <rFont val="Trebuchet MS"/>
        <family val="2"/>
      </rPr>
      <t>148.3 Па</t>
    </r>
  </si>
  <si>
    <r>
      <rPr>
        <sz val="9"/>
        <rFont val="Trebuchet MS"/>
        <family val="2"/>
      </rPr>
      <t>2900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</si>
  <si>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733 Па</t>
    </r>
  </si>
  <si>
    <r>
      <rPr>
        <sz val="9"/>
        <rFont val="Trebuchet MS"/>
        <family val="2"/>
      </rPr>
      <t xml:space="preserve">656 Па
</t>
    </r>
    <r>
      <rPr>
        <sz val="9"/>
        <rFont val="Trebuchet MS"/>
        <family val="2"/>
      </rPr>
      <t>2900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656 Па</t>
    </r>
  </si>
  <si>
    <r>
      <rPr>
        <sz val="9"/>
        <rFont val="Trebuchet MS"/>
        <family val="2"/>
      </rPr>
      <t xml:space="preserve">77 Па
</t>
    </r>
    <r>
      <rPr>
        <sz val="9"/>
        <rFont val="Trebuchet MS"/>
        <family val="2"/>
      </rPr>
      <t>2.5 A</t>
    </r>
  </si>
  <si>
    <r>
      <rPr>
        <sz val="9"/>
        <rFont val="Trebuchet MS"/>
        <family val="2"/>
      </rPr>
      <t>3343 об/мин 3/400/50</t>
    </r>
  </si>
  <si>
    <r>
      <rPr>
        <sz val="9"/>
        <rFont val="Trebuchet MS"/>
        <family val="2"/>
      </rPr>
      <t xml:space="preserve">59 Гц
</t>
    </r>
    <r>
      <rPr>
        <sz val="9"/>
        <rFont val="Trebuchet MS"/>
        <family val="2"/>
      </rPr>
      <t xml:space="preserve">92 кг
</t>
    </r>
    <r>
      <rPr>
        <sz val="9"/>
        <rFont val="Trebuchet MS"/>
        <family val="2"/>
      </rPr>
      <t>0.88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</si>
  <si>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69.03 % Обязательно</t>
    </r>
  </si>
  <si>
    <r>
      <rPr>
        <sz val="9"/>
        <rFont val="Trebuchet MS"/>
        <family val="2"/>
      </rPr>
      <t>-17.57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</si>
  <si>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99 %
</t>
    </r>
    <r>
      <rPr>
        <sz val="9"/>
        <rFont val="Trebuchet MS"/>
        <family val="2"/>
      </rPr>
      <t>0.96 г/кг</t>
    </r>
  </si>
  <si>
    <r>
      <rPr>
        <sz val="9"/>
        <rFont val="Trebuchet MS"/>
        <family val="2"/>
      </rPr>
      <t>79.13 %</t>
    </r>
  </si>
  <si>
    <r>
      <rPr>
        <sz val="9"/>
        <rFont val="Trebuchet MS"/>
        <family val="2"/>
      </rPr>
      <t>107.41 Па</t>
    </r>
  </si>
  <si>
    <r>
      <rPr>
        <sz val="9"/>
        <rFont val="Trebuchet MS"/>
        <family val="2"/>
      </rPr>
      <t>Эффективность влажностная                       88.36  %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</si>
  <si>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 2.9 Па                    Вес                                                       13 кг</t>
    </r>
  </si>
  <si>
    <r>
      <rPr>
        <sz val="10"/>
        <rFont val="Trebuchet MS"/>
        <family val="2"/>
      </rPr>
      <t>ПВ4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</si>
  <si>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3730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625</t>
    </r>
  </si>
  <si>
    <r>
      <rPr>
        <sz val="9"/>
        <rFont val="Trebuchet MS"/>
        <family val="2"/>
      </rPr>
      <t>Потери давления по воздуху                         0.6 Па                    Вес 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</si>
  <si>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123 Па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</si>
  <si>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127.8 Па</t>
    </r>
  </si>
  <si>
    <r>
      <rPr>
        <sz val="9"/>
        <rFont val="Trebuchet MS"/>
        <family val="2"/>
      </rPr>
      <t xml:space="preserve">Температура воздуха на входе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 12.82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90  %                Влажность воздуха на выходе                 38  % Влагосодержание воздуха на входе              0.35 г/кг               Влагосодержание воздуха на выходе      3.48 г/кг Эффективность температурная                    81.64  %            Потери давления по воздуху                  68.91 Па</t>
    </r>
  </si>
  <si>
    <r>
      <rPr>
        <sz val="9"/>
        <rFont val="Trebuchet MS"/>
        <family val="2"/>
      </rPr>
      <t>1.45 м/с</t>
    </r>
  </si>
  <si>
    <r>
      <rPr>
        <sz val="9"/>
        <rFont val="Trebuchet MS"/>
        <family val="2"/>
      </rPr>
      <t>Передаваемая мощность                               32.75 кВт               Вес                                                       71 кг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</si>
  <si>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18(37.24)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</si>
  <si>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25(8)  %</t>
    </r>
  </si>
  <si>
    <r>
      <rPr>
        <sz val="9"/>
        <rFont val="Trebuchet MS"/>
        <family val="2"/>
      </rPr>
      <t xml:space="preserve">Температура теплоносителя на входе            90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теплоносителя на выходе    70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  </t>
    </r>
    <r>
      <rPr>
        <sz val="9"/>
        <rFont val="Trebuchet MS"/>
        <family val="2"/>
      </rPr>
      <t>Площадь фронтального сечения                  0.11 м</t>
    </r>
    <r>
      <rPr>
        <sz val="6"/>
        <rFont val="Comic Sans MS"/>
        <family val="4"/>
      </rPr>
      <t xml:space="preserve">2           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8.82(20.51) кВт Расход жидкости                                       0.39(0.91)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27.24(25.28) Па Потеря напора теплоносителя                     0.47(2.14) кПа        Запас по поверхности теплообмена        147.29  % Сторона обслуживания                                Правая</t>
    </r>
  </si>
  <si>
    <r>
      <rPr>
        <sz val="9"/>
        <rFont val="Trebuchet MS"/>
        <family val="2"/>
      </rPr>
      <t xml:space="preserve">Температура воздуха на выходе                  18(17.66)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</si>
  <si>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92(93)  %           Количество рядов трубок</t>
    </r>
  </si>
  <si>
    <r>
      <rPr>
        <sz val="9"/>
        <rFont val="Trebuchet MS"/>
        <family val="2"/>
      </rPr>
      <t xml:space="preserve">2.06(2.07) м/с
</t>
    </r>
    <r>
      <rPr>
        <sz val="9"/>
        <rFont val="Trebuchet MS"/>
        <family val="2"/>
      </rPr>
      <t>16.06(16.61) кВт</t>
    </r>
  </si>
  <si>
    <r>
      <rPr>
        <sz val="9"/>
        <rFont val="Trebuchet MS"/>
        <family val="2"/>
      </rPr>
      <t>10.35(10.73)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</si>
  <si>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53.88(53.96)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</si>
  <si>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30.24 Па</t>
    </r>
  </si>
  <si>
    <r>
      <rPr>
        <sz val="9"/>
        <rFont val="Trebuchet MS"/>
        <family val="2"/>
      </rPr>
      <t xml:space="preserve">Запас по поверхности теплообмена           4.2 %
</t>
    </r>
    <r>
      <rPr>
        <sz val="9"/>
        <rFont val="Trebuchet MS"/>
        <family val="2"/>
      </rPr>
      <t>Температура</t>
    </r>
    <r>
      <rPr>
        <sz val="9"/>
        <rFont val="Bookman Old Style"/>
        <family val="1"/>
      </rPr>
      <t xml:space="preserve"> кипения фреона   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</si>
  <si>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13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</si>
  <si>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RH28C 5АИ71А2</t>
    </r>
  </si>
  <si>
    <r>
      <rPr>
        <sz val="9"/>
        <rFont val="Trebuchet MS"/>
        <family val="2"/>
      </rPr>
      <t>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868 Па</t>
    </r>
  </si>
  <si>
    <r>
      <rPr>
        <sz val="9"/>
        <rFont val="Trebuchet MS"/>
        <family val="2"/>
      </rPr>
      <t>0.75 кВт 831 Па 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831 Па</t>
    </r>
  </si>
  <si>
    <r>
      <rPr>
        <sz val="9"/>
        <rFont val="Trebuchet MS"/>
        <family val="2"/>
      </rPr>
      <t xml:space="preserve">37 Па
</t>
    </r>
    <r>
      <rPr>
        <sz val="9"/>
        <rFont val="Trebuchet MS"/>
        <family val="2"/>
      </rPr>
      <t>1.77 A</t>
    </r>
  </si>
  <si>
    <r>
      <rPr>
        <sz val="9"/>
        <rFont val="Trebuchet MS"/>
        <family val="2"/>
      </rPr>
      <t>3080 об/мин 3/400/50</t>
    </r>
  </si>
  <si>
    <r>
      <rPr>
        <sz val="9"/>
        <rFont val="Trebuchet MS"/>
        <family val="2"/>
      </rPr>
      <t xml:space="preserve">54 Гц
</t>
    </r>
    <r>
      <rPr>
        <sz val="9"/>
        <rFont val="Trebuchet MS"/>
        <family val="2"/>
      </rPr>
      <t xml:space="preserve">90 кг
</t>
    </r>
    <r>
      <rPr>
        <sz val="9"/>
        <rFont val="Trebuchet MS"/>
        <family val="2"/>
      </rPr>
      <t>0.69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</si>
  <si>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71.63 % Обязательно</t>
    </r>
  </si>
  <si>
    <r>
      <rPr>
        <sz val="9"/>
        <rFont val="Trebuchet MS"/>
        <family val="2"/>
      </rPr>
      <t>123 Па</t>
    </r>
  </si>
  <si>
    <r>
      <rPr>
        <sz val="9"/>
        <rFont val="Trebuchet MS"/>
        <family val="2"/>
      </rPr>
      <t>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</si>
  <si>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 xml:space="preserve">400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632 Па</t>
    </r>
  </si>
  <si>
    <r>
      <rPr>
        <sz val="9"/>
        <rFont val="Trebuchet MS"/>
        <family val="2"/>
      </rPr>
      <t xml:space="preserve">595 Па
</t>
    </r>
    <r>
      <rPr>
        <sz val="9"/>
        <rFont val="Trebuchet MS"/>
        <family val="2"/>
      </rPr>
      <t>2000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595 Па</t>
    </r>
  </si>
  <si>
    <r>
      <rPr>
        <sz val="9"/>
        <rFont val="Trebuchet MS"/>
        <family val="2"/>
      </rPr>
      <t xml:space="preserve">37 Па
</t>
    </r>
    <r>
      <rPr>
        <sz val="9"/>
        <rFont val="Trebuchet MS"/>
        <family val="2"/>
      </rPr>
      <t>1.4 A</t>
    </r>
  </si>
  <si>
    <r>
      <rPr>
        <sz val="9"/>
        <rFont val="Trebuchet MS"/>
        <family val="2"/>
      </rPr>
      <t>2750 об/мин 3/400/50</t>
    </r>
  </si>
  <si>
    <r>
      <rPr>
        <sz val="9"/>
        <rFont val="Trebuchet MS"/>
        <family val="2"/>
      </rPr>
      <t xml:space="preserve">49 Гц
</t>
    </r>
    <r>
      <rPr>
        <sz val="9"/>
        <rFont val="Trebuchet MS"/>
        <family val="2"/>
      </rPr>
      <t xml:space="preserve">90 кг
</t>
    </r>
    <r>
      <rPr>
        <sz val="9"/>
        <rFont val="Trebuchet MS"/>
        <family val="2"/>
      </rPr>
      <t>0.49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</si>
  <si>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72.02 % Обязательно</t>
    </r>
  </si>
  <si>
    <r>
      <rPr>
        <sz val="9"/>
        <rFont val="Trebuchet MS"/>
        <family val="2"/>
      </rPr>
      <t>-18.82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</si>
  <si>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99 %
</t>
    </r>
    <r>
      <rPr>
        <sz val="9"/>
        <rFont val="Trebuchet MS"/>
        <family val="2"/>
      </rPr>
      <t>0.86 г/кг</t>
    </r>
  </si>
  <si>
    <r>
      <rPr>
        <sz val="9"/>
        <rFont val="Trebuchet MS"/>
        <family val="2"/>
      </rPr>
      <t>81.64 %</t>
    </r>
  </si>
  <si>
    <r>
      <rPr>
        <sz val="9"/>
        <rFont val="Trebuchet MS"/>
        <family val="2"/>
      </rPr>
      <t>72.36 Па</t>
    </r>
  </si>
  <si>
    <r>
      <rPr>
        <sz val="9"/>
        <rFont val="Trebuchet MS"/>
        <family val="2"/>
      </rPr>
      <t>Эффективность влажностная                       90.28  %           Скорость воздуха в сечении</t>
    </r>
  </si>
  <si>
    <r>
      <rPr>
        <sz val="9"/>
        <rFont val="Trebuchet MS"/>
        <family val="2"/>
      </rPr>
      <t>Потери давления по воздуху                         1.4 Па                    Вес                                                      13 кг</t>
    </r>
  </si>
  <si>
    <r>
      <rPr>
        <sz val="10"/>
        <rFont val="Trebuchet MS"/>
        <family val="2"/>
      </rPr>
      <t>ПВ5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</si>
  <si>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740 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740  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3970  </t>
    </r>
    <r>
      <rPr>
        <sz val="10"/>
        <rFont val="Trebuchet MS"/>
        <family val="2"/>
      </rPr>
      <t xml:space="preserve">mm 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668</t>
    </r>
  </si>
  <si>
    <r>
      <rPr>
        <sz val="9"/>
        <rFont val="Trebuchet MS"/>
        <family val="2"/>
      </rPr>
      <t>Потери давления по воздуху                         1.7 Па                    Вес                                                      19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</si>
  <si>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168.4 Па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</si>
  <si>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182.6 Па</t>
    </r>
  </si>
  <si>
    <r>
      <rPr>
        <sz val="9"/>
        <rFont val="Trebuchet MS"/>
        <family val="2"/>
      </rPr>
      <t xml:space="preserve">Температура воздуха на входе                     -28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</t>
    </r>
    <r>
      <rPr>
        <sz val="9"/>
        <rFont val="Trebuchet MS"/>
        <family val="2"/>
      </rPr>
      <t xml:space="preserve">Температура воздуха на выходе              10.62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 </t>
    </r>
    <r>
      <rPr>
        <sz val="9"/>
        <rFont val="Trebuchet MS"/>
        <family val="2"/>
      </rPr>
      <t>Влажность воздуха на входе                         90  %                Влажность воздуха на выходе                 41  % Влагосодержание воздуха на входе              0.35 г/кг               Влагосодержание воздуха на выходе      3.28 г/кг Эффективность температурная                    77.24  %            Потери давления по воздуху                  122.69 Па</t>
    </r>
  </si>
  <si>
    <r>
      <rPr>
        <sz val="9"/>
        <rFont val="Trebuchet MS"/>
        <family val="2"/>
      </rPr>
      <t>Эффективность влажностная                       64.34  %           Скорость воздуха в сечении</t>
    </r>
  </si>
  <si>
    <r>
      <rPr>
        <sz val="9"/>
        <rFont val="Trebuchet MS"/>
        <family val="2"/>
      </rPr>
      <t>2.5 м/с</t>
    </r>
  </si>
  <si>
    <r>
      <rPr>
        <sz val="9"/>
        <rFont val="Trebuchet MS"/>
        <family val="2"/>
      </rPr>
      <t>Передаваемая мощность                               53.35 кВт               Вес                                                       71 кг</t>
    </r>
  </si>
  <si>
    <r>
      <rPr>
        <sz val="9"/>
        <rFont val="Trebuchet MS"/>
        <family val="2"/>
      </rPr>
      <t xml:space="preserve">Температура воздуха на входе                      5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18(30.65)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</si>
  <si>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выходе                                               25(12)  %</t>
    </r>
  </si>
  <si>
    <r>
      <rPr>
        <sz val="9"/>
        <rFont val="Trebuchet MS"/>
        <family val="2"/>
      </rPr>
      <t>Площадь фронтального сечения                0.11 м</t>
    </r>
    <r>
      <rPr>
        <sz val="6"/>
        <rFont val="Comic Sans MS"/>
        <family val="4"/>
      </rPr>
      <t xml:space="preserve">2               </t>
    </r>
    <r>
      <rPr>
        <sz val="6"/>
        <rFont val="Trebuchet MS"/>
        <family val="2"/>
      </rPr>
      <t xml:space="preserve"> </t>
    </r>
    <r>
      <rPr>
        <sz val="9"/>
        <rFont val="Trebuchet MS"/>
        <family val="2"/>
      </rPr>
      <t>Полезная производительность               15.21(28.76) кВт Расход жидкости                               0.67(1.27)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      Падение давления по воздуху                72.04(68.52) Па Потеря напора теплоносителя                     1.25(3.96) кПа        Запас по поверхности теплообмена        96  %</t>
    </r>
  </si>
  <si>
    <r>
      <rPr>
        <sz val="9"/>
        <rFont val="Trebuchet MS"/>
        <family val="2"/>
      </rPr>
      <t xml:space="preserve">Температура воздуха на выходе                  18(15.17)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</t>
    </r>
    <r>
      <rPr>
        <sz val="9"/>
        <rFont val="Trebuchet MS"/>
        <family val="2"/>
      </rPr>
      <t>Относительная влажность воздуха на</t>
    </r>
  </si>
  <si>
    <r>
      <rPr>
        <sz val="9"/>
        <rFont val="Trebuchet MS"/>
        <family val="2"/>
      </rPr>
      <t>выходе                                                   92(97)  %           Количество рядов трубок</t>
    </r>
  </si>
  <si>
    <r>
      <rPr>
        <sz val="9"/>
        <rFont val="Trebuchet MS"/>
        <family val="2"/>
      </rPr>
      <t xml:space="preserve">8
</t>
    </r>
    <r>
      <rPr>
        <sz val="9"/>
        <rFont val="Trebuchet MS"/>
        <family val="2"/>
      </rPr>
      <t>0.32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</si>
  <si>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 xml:space="preserve">3.56(3.58) м/с
</t>
    </r>
    <r>
      <rPr>
        <sz val="9"/>
        <rFont val="Trebuchet MS"/>
        <family val="2"/>
      </rPr>
      <t>27.69(35.85) кВт</t>
    </r>
  </si>
  <si>
    <r>
      <rPr>
        <sz val="9"/>
        <rFont val="Trebuchet MS"/>
        <family val="2"/>
      </rPr>
      <t>17.83(23.17)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</si>
  <si>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282.62(286.3) Па</t>
    </r>
  </si>
  <si>
    <r>
      <rPr>
        <sz val="9"/>
        <rFont val="Trebuchet MS"/>
        <family val="2"/>
      </rPr>
      <t xml:space="preserve">Потери давления по воздуху на
</t>
    </r>
    <r>
      <rPr>
        <sz val="9"/>
        <rFont val="Trebuchet MS"/>
        <family val="2"/>
      </rPr>
      <t>каплеуловителе                                           90 Па</t>
    </r>
  </si>
  <si>
    <r>
      <rPr>
        <sz val="9"/>
        <rFont val="Trebuchet MS"/>
        <family val="2"/>
      </rPr>
      <t>Запас</t>
    </r>
    <r>
      <rPr>
        <sz val="9"/>
        <rFont val="Bookman Old Style"/>
        <family val="1"/>
      </rPr>
      <t xml:space="preserve"> по поверхности теплообмена           41.87 %</t>
    </r>
    <r>
      <rPr>
        <sz val="9"/>
        <rFont val="Trebuchet MS"/>
        <family val="2"/>
      </rPr>
      <t xml:space="preserve"> </t>
    </r>
    <r>
      <rPr>
        <sz val="9"/>
        <rFont val="Bookman Old Style"/>
        <family val="1"/>
      </rPr>
      <t xml:space="preserve">Температура кипения фреона                   6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 xml:space="preserve">C
</t>
    </r>
    <r>
      <rPr>
        <sz val="9"/>
        <rFont val="Trebuchet MS"/>
        <family val="2"/>
      </rPr>
      <t>Сторона обслуживания                                Правая</t>
    </r>
  </si>
  <si>
    <r>
      <rPr>
        <sz val="9"/>
        <rFont val="Trebuchet MS"/>
        <family val="2"/>
      </rPr>
      <t xml:space="preserve">22 кг/ч
</t>
    </r>
    <r>
      <rPr>
        <sz val="9"/>
        <rFont val="Trebuchet MS"/>
        <family val="2"/>
      </rPr>
      <t>50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</si>
  <si>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>RH35C 5АИ80В2</t>
    </r>
  </si>
  <si>
    <r>
      <rPr>
        <sz val="9"/>
        <rFont val="Trebuchet MS"/>
        <family val="2"/>
      </rPr>
      <t>3450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1463 Па</t>
    </r>
  </si>
  <si>
    <r>
      <rPr>
        <sz val="9"/>
        <rFont val="Trebuchet MS"/>
        <family val="2"/>
      </rPr>
      <t>2.2 кВт 1418 Па 3450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 1418 Па</t>
    </r>
  </si>
  <si>
    <r>
      <rPr>
        <sz val="9"/>
        <rFont val="Trebuchet MS"/>
        <family val="2"/>
      </rPr>
      <t xml:space="preserve">45 Па
</t>
    </r>
    <r>
      <rPr>
        <sz val="9"/>
        <rFont val="Trebuchet MS"/>
        <family val="2"/>
      </rPr>
      <t>4.8 A</t>
    </r>
  </si>
  <si>
    <r>
      <rPr>
        <sz val="9"/>
        <rFont val="Trebuchet MS"/>
        <family val="2"/>
      </rPr>
      <t>3040 об/мин 3/400/50</t>
    </r>
  </si>
  <si>
    <r>
      <rPr>
        <sz val="9"/>
        <rFont val="Trebuchet MS"/>
        <family val="2"/>
      </rPr>
      <t xml:space="preserve">54 Гц
</t>
    </r>
    <r>
      <rPr>
        <sz val="9"/>
        <rFont val="Trebuchet MS"/>
        <family val="2"/>
      </rPr>
      <t xml:space="preserve">112 кг
</t>
    </r>
    <r>
      <rPr>
        <sz val="9"/>
        <rFont val="Trebuchet MS"/>
        <family val="2"/>
      </rPr>
      <t>2.16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</si>
  <si>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68.65 % Обязательно</t>
    </r>
  </si>
  <si>
    <r>
      <rPr>
        <sz val="9"/>
        <rFont val="Trebuchet MS"/>
        <family val="2"/>
      </rPr>
      <t>178.7 Па</t>
    </r>
  </si>
  <si>
    <r>
      <rPr>
        <sz val="9"/>
        <rFont val="Trebuchet MS"/>
        <family val="2"/>
      </rPr>
      <t>5АИ80В2</t>
    </r>
  </si>
  <si>
    <r>
      <rPr>
        <sz val="9"/>
        <rFont val="Trebuchet MS"/>
        <family val="2"/>
      </rPr>
      <t>3700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>/ч</t>
    </r>
  </si>
  <si>
    <r>
      <rPr>
        <sz val="9"/>
        <rFont val="Trebuchet MS"/>
        <family val="2"/>
      </rPr>
      <t>2.2 кВт</t>
    </r>
  </si>
  <si>
    <r>
      <rPr>
        <sz val="9"/>
        <rFont val="Trebuchet MS"/>
        <family val="2"/>
      </rPr>
      <t xml:space="preserve">500 Па
</t>
    </r>
    <r>
      <rPr>
        <sz val="9"/>
        <rFont val="Trebuchet MS"/>
        <family val="2"/>
      </rPr>
      <t xml:space="preserve">2
</t>
    </r>
    <r>
      <rPr>
        <sz val="9"/>
        <rFont val="Trebuchet MS"/>
        <family val="2"/>
      </rPr>
      <t>942 Па</t>
    </r>
  </si>
  <si>
    <r>
      <rPr>
        <sz val="9"/>
        <rFont val="Trebuchet MS"/>
        <family val="2"/>
      </rPr>
      <t xml:space="preserve">817 Па
</t>
    </r>
    <r>
      <rPr>
        <sz val="9"/>
        <rFont val="Trebuchet MS"/>
        <family val="2"/>
      </rPr>
      <t>3700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817 Па</t>
    </r>
  </si>
  <si>
    <r>
      <rPr>
        <sz val="9"/>
        <rFont val="Trebuchet MS"/>
        <family val="2"/>
      </rPr>
      <t xml:space="preserve">125 Па
</t>
    </r>
    <r>
      <rPr>
        <sz val="9"/>
        <rFont val="Trebuchet MS"/>
        <family val="2"/>
      </rPr>
      <t>4.8 A</t>
    </r>
  </si>
  <si>
    <r>
      <rPr>
        <sz val="9"/>
        <rFont val="Trebuchet MS"/>
        <family val="2"/>
      </rPr>
      <t>4036 об/мин 3/400/50</t>
    </r>
  </si>
  <si>
    <r>
      <rPr>
        <sz val="9"/>
        <rFont val="Trebuchet MS"/>
        <family val="2"/>
      </rPr>
      <t xml:space="preserve">71 Гц
</t>
    </r>
    <r>
      <rPr>
        <sz val="9"/>
        <rFont val="Trebuchet MS"/>
        <family val="2"/>
      </rPr>
      <t xml:space="preserve">100 кг
</t>
    </r>
    <r>
      <rPr>
        <sz val="9"/>
        <rFont val="Trebuchet MS"/>
        <family val="2"/>
      </rPr>
      <t>1.54 кВт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</si>
  <si>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65.84 % Обязательно</t>
    </r>
  </si>
  <si>
    <r>
      <rPr>
        <sz val="9"/>
        <rFont val="Trebuchet MS"/>
        <family val="2"/>
      </rPr>
      <t>-14.01</t>
    </r>
    <r>
      <rPr>
        <sz val="9"/>
        <rFont val="Bookman Old Style"/>
        <family val="1"/>
      </rPr>
      <t xml:space="preserve">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</si>
  <si>
    <r>
      <rPr>
        <sz val="9"/>
        <rFont val="Trebuchet MS"/>
        <family val="2"/>
      </rPr>
      <t xml:space="preserve">99 %
</t>
    </r>
    <r>
      <rPr>
        <sz val="9"/>
        <rFont val="Trebuchet MS"/>
        <family val="2"/>
      </rPr>
      <t>1.28 г/кг</t>
    </r>
  </si>
  <si>
    <r>
      <rPr>
        <sz val="9"/>
        <rFont val="Trebuchet MS"/>
        <family val="2"/>
      </rPr>
      <t>72.02 %</t>
    </r>
  </si>
  <si>
    <r>
      <rPr>
        <sz val="9"/>
        <rFont val="Trebuchet MS"/>
        <family val="2"/>
      </rPr>
      <t>138.56 Па</t>
    </r>
  </si>
  <si>
    <r>
      <rPr>
        <sz val="9"/>
        <rFont val="Trebuchet MS"/>
        <family val="2"/>
      </rPr>
      <t>Эффективность влажностная                      81.62  %            Скорость воздуха в сечении</t>
    </r>
  </si>
  <si>
    <r>
      <rPr>
        <sz val="9"/>
        <rFont val="Trebuchet MS"/>
        <family val="2"/>
      </rPr>
      <t>2.69 м/с</t>
    </r>
  </si>
  <si>
    <r>
      <rPr>
        <sz val="9"/>
        <rFont val="Trebuchet MS"/>
        <family val="2"/>
      </rPr>
      <t>Потери давления по воздуху                         4.7 Па                    Вес                                                       13 кг</t>
    </r>
  </si>
  <si>
    <r>
      <rPr>
        <sz val="10"/>
        <rFont val="Trebuchet MS"/>
        <family val="2"/>
      </rPr>
      <t>П25-П28</t>
    </r>
  </si>
  <si>
    <r>
      <rPr>
        <sz val="10"/>
        <rFont val="Trebuchet MS"/>
        <family val="2"/>
      </rPr>
      <t>Габар.:</t>
    </r>
    <r>
      <rPr>
        <sz val="10"/>
        <rFont val="Tahoma"/>
        <family val="2"/>
      </rPr>
      <t xml:space="preserve"> выс. </t>
    </r>
    <r>
      <rPr>
        <b/>
        <sz val="10"/>
        <rFont val="Tahoma"/>
        <family val="2"/>
      </rPr>
      <t xml:space="preserve">1690         </t>
    </r>
    <r>
      <rPr>
        <sz val="10"/>
        <rFont val="Trebuchet MS"/>
        <family val="2"/>
      </rPr>
      <t>шир.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1690                  </t>
    </r>
    <r>
      <rPr>
        <sz val="10"/>
        <rFont val="Trebuchet MS"/>
        <family val="2"/>
      </rPr>
      <t>длина</t>
    </r>
    <r>
      <rPr>
        <sz val="10"/>
        <rFont val="Tahoma"/>
        <family val="2"/>
      </rPr>
      <t xml:space="preserve"> </t>
    </r>
    <r>
      <rPr>
        <b/>
        <sz val="10"/>
        <rFont val="Tahoma"/>
        <family val="2"/>
      </rPr>
      <t xml:space="preserve">2740  </t>
    </r>
    <r>
      <rPr>
        <sz val="10"/>
        <rFont val="Trebuchet MS"/>
        <family val="2"/>
      </rPr>
      <t xml:space="preserve">mm        </t>
    </r>
    <r>
      <rPr>
        <sz val="10"/>
        <rFont val="Tahoma"/>
        <family val="2"/>
      </rPr>
      <t xml:space="preserve"> Масса, кг: </t>
    </r>
    <r>
      <rPr>
        <b/>
        <sz val="10"/>
        <rFont val="Tahoma"/>
        <family val="2"/>
      </rPr>
      <t>929</t>
    </r>
  </si>
  <si>
    <r>
      <rPr>
        <sz val="10"/>
        <rFont val="Trebuchet MS"/>
        <family val="2"/>
      </rPr>
      <t>ZENCHA GENERAL B20 1717 R</t>
    </r>
  </si>
  <si>
    <r>
      <rPr>
        <sz val="10"/>
        <rFont val="Trebuchet MS"/>
        <family val="2"/>
      </rPr>
      <t>Правая</t>
    </r>
  </si>
  <si>
    <r>
      <rPr>
        <sz val="10"/>
        <rFont val="Trebuchet MS"/>
        <family val="2"/>
      </rPr>
      <t>-</t>
    </r>
  </si>
  <si>
    <r>
      <rPr>
        <sz val="9"/>
        <rFont val="Trebuchet MS"/>
        <family val="2"/>
      </rPr>
      <t>Вес                                                              15 кг</t>
    </r>
  </si>
  <si>
    <r>
      <rPr>
        <sz val="9"/>
        <rFont val="Trebuchet MS"/>
        <family val="2"/>
      </rPr>
      <t>Потери давления по воздуху                         2.7 Па                    Вес                                                       50 кг</t>
    </r>
  </si>
  <si>
    <r>
      <rPr>
        <sz val="9"/>
        <rFont val="Trebuchet MS"/>
        <family val="2"/>
      </rPr>
      <t>Фильтр                                                                                     Потери давления по воздуху                   202.1 Па</t>
    </r>
  </si>
  <si>
    <r>
      <rPr>
        <sz val="9"/>
        <rFont val="Trebuchet MS"/>
        <family val="2"/>
      </rPr>
      <t>Параметры                                                  карманный G4         Вес                                                       165 кг</t>
    </r>
  </si>
  <si>
    <r>
      <rPr>
        <b/>
        <sz val="9"/>
        <rFont val="Tahoma"/>
        <family val="2"/>
      </rPr>
      <t>4. Водяной нагреватель</t>
    </r>
  </si>
  <si>
    <r>
      <rPr>
        <sz val="9"/>
        <rFont val="Trebuchet MS"/>
        <family val="2"/>
      </rPr>
      <t xml:space="preserve">Температура воздуха на входе                      2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         </t>
    </r>
    <r>
      <rPr>
        <sz val="9"/>
        <rFont val="Trebuchet MS"/>
        <family val="2"/>
      </rPr>
      <t xml:space="preserve">Тип теплоносителя                                 Вода Температура воздуха на выходе                    15(27.9) </t>
    </r>
    <r>
      <rPr>
        <i/>
        <sz val="6"/>
        <rFont val="Arial"/>
        <family val="2"/>
      </rPr>
      <t>◦</t>
    </r>
    <r>
      <rPr>
        <i/>
        <sz val="9"/>
        <rFont val="Bookman Old Style"/>
        <family val="1"/>
      </rPr>
      <t>C</t>
    </r>
    <r>
      <rPr>
        <i/>
        <sz val="9"/>
        <rFont val="Trebuchet MS"/>
        <family val="2"/>
      </rPr>
      <t xml:space="preserve">             </t>
    </r>
    <r>
      <rPr>
        <sz val="9"/>
        <rFont val="Trebuchet MS"/>
        <family val="2"/>
      </rPr>
      <t>Содержание гликоля                              0  %</t>
    </r>
  </si>
  <si>
    <r>
      <rPr>
        <sz val="9"/>
        <rFont val="Trebuchet MS"/>
        <family val="2"/>
      </rPr>
      <t>133.61(254.71)</t>
    </r>
  </si>
  <si>
    <r>
      <rPr>
        <sz val="9"/>
        <rFont val="Trebuchet MS"/>
        <family val="2"/>
      </rPr>
      <t>кВт 78.18(73.9) Па</t>
    </r>
  </si>
  <si>
    <r>
      <rPr>
        <sz val="9"/>
        <rFont val="Trebuchet MS"/>
        <family val="2"/>
      </rPr>
      <t>90.28 %</t>
    </r>
  </si>
  <si>
    <r>
      <rPr>
        <sz val="9"/>
        <rFont val="Trebuchet MS"/>
        <family val="2"/>
      </rPr>
      <t>0.96</t>
    </r>
    <r>
      <rPr>
        <sz val="9"/>
        <rFont val="Comic Sans MS"/>
        <family val="4"/>
      </rPr>
      <t xml:space="preserve"> м</t>
    </r>
    <r>
      <rPr>
        <sz val="6"/>
        <rFont val="Comic Sans MS"/>
        <family val="4"/>
      </rPr>
      <t>2</t>
    </r>
  </si>
  <si>
    <r>
      <rPr>
        <sz val="9"/>
        <rFont val="Trebuchet MS"/>
        <family val="2"/>
      </rPr>
      <t>5.89(11.24)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1.51(5.01) кПа
</t>
    </r>
    <r>
      <rPr>
        <sz val="9"/>
        <rFont val="Trebuchet MS"/>
        <family val="2"/>
      </rPr>
      <t>Правая</t>
    </r>
  </si>
  <si>
    <r>
      <rPr>
        <b/>
        <sz val="9"/>
        <rFont val="Tahoma"/>
        <family val="2"/>
      </rPr>
      <t>5.</t>
    </r>
    <r>
      <rPr>
        <b/>
        <sz val="9"/>
        <rFont val="Trebuchet MS"/>
        <family val="2"/>
      </rPr>
      <t xml:space="preserve"> Вентилятор</t>
    </r>
    <r>
      <rPr>
        <b/>
        <sz val="9"/>
        <rFont val="Tahoma"/>
        <family val="2"/>
      </rPr>
      <t xml:space="preserve"> </t>
    </r>
    <r>
      <rPr>
        <sz val="9"/>
        <rFont val="Trebuchet MS"/>
        <family val="2"/>
      </rPr>
      <t>Рабочее колесо Двигатель</t>
    </r>
  </si>
  <si>
    <r>
      <rPr>
        <sz val="9"/>
        <rFont val="Trebuchet MS"/>
        <family val="2"/>
      </rPr>
      <t>RH80C 5АИ160S4</t>
    </r>
  </si>
  <si>
    <r>
      <rPr>
        <sz val="9"/>
        <rFont val="Trebuchet MS"/>
        <family val="2"/>
      </rPr>
      <t>30000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 xml:space="preserve">800 Па
</t>
    </r>
    <r>
      <rPr>
        <sz val="9"/>
        <rFont val="Trebuchet MS"/>
        <family val="2"/>
      </rPr>
      <t xml:space="preserve">4
</t>
    </r>
    <r>
      <rPr>
        <sz val="9"/>
        <rFont val="Trebuchet MS"/>
        <family val="2"/>
      </rPr>
      <t>1204 Па</t>
    </r>
  </si>
  <si>
    <r>
      <rPr>
        <sz val="9"/>
        <rFont val="Trebuchet MS"/>
        <family val="2"/>
      </rPr>
      <t xml:space="preserve">15 кВт
</t>
    </r>
    <r>
      <rPr>
        <sz val="9"/>
        <rFont val="Trebuchet MS"/>
        <family val="2"/>
      </rPr>
      <t xml:space="preserve">1080 Па
</t>
    </r>
    <r>
      <rPr>
        <sz val="9"/>
        <rFont val="Trebuchet MS"/>
        <family val="2"/>
      </rPr>
      <t>30000 м</t>
    </r>
    <r>
      <rPr>
        <sz val="6"/>
        <rFont val="Comic Sans MS"/>
        <family val="4"/>
      </rPr>
      <t>3</t>
    </r>
    <r>
      <rPr>
        <sz val="9"/>
        <rFont val="Trebuchet MS"/>
        <family val="2"/>
      </rPr>
      <t xml:space="preserve">/ч
</t>
    </r>
    <r>
      <rPr>
        <sz val="9"/>
        <rFont val="Trebuchet MS"/>
        <family val="2"/>
      </rPr>
      <t>1080 Па</t>
    </r>
  </si>
  <si>
    <r>
      <rPr>
        <sz val="9"/>
        <rFont val="Trebuchet MS"/>
        <family val="2"/>
      </rPr>
      <t xml:space="preserve">124 Па
</t>
    </r>
    <r>
      <rPr>
        <sz val="9"/>
        <rFont val="Trebuchet MS"/>
        <family val="2"/>
      </rPr>
      <t>30.1 A</t>
    </r>
  </si>
  <si>
    <r>
      <rPr>
        <sz val="9"/>
        <rFont val="Trebuchet MS"/>
        <family val="2"/>
      </rPr>
      <t>1476 об/мин 3/400/50</t>
    </r>
  </si>
  <si>
    <r>
      <rPr>
        <sz val="9"/>
        <rFont val="Trebuchet MS"/>
        <family val="2"/>
      </rPr>
      <t xml:space="preserve">51 Гц
</t>
    </r>
    <r>
      <rPr>
        <sz val="9"/>
        <rFont val="Trebuchet MS"/>
        <family val="2"/>
      </rPr>
      <t xml:space="preserve">540 кг
</t>
    </r>
    <r>
      <rPr>
        <sz val="9"/>
        <rFont val="Trebuchet MS"/>
        <family val="2"/>
      </rPr>
      <t>13.82 кВт Правая</t>
    </r>
  </si>
  <si>
    <r>
      <rPr>
        <sz val="9"/>
        <rFont val="Trebuchet MS"/>
        <family val="2"/>
      </rPr>
      <t xml:space="preserve">Стандартный
</t>
    </r>
    <r>
      <rPr>
        <sz val="9"/>
        <rFont val="Trebuchet MS"/>
        <family val="2"/>
      </rPr>
      <t>72.69 % Обязательно</t>
    </r>
  </si>
  <si>
    <r>
      <rPr>
        <b/>
        <sz val="9"/>
        <rFont val="Tahoma"/>
        <family val="2"/>
      </rPr>
      <t>6. Гибкая вставка</t>
    </r>
  </si>
  <si>
    <t>Rotor</t>
  </si>
  <si>
    <t>VT17-010484-01</t>
  </si>
  <si>
    <t>ПВ2</t>
  </si>
  <si>
    <t>ПВ3</t>
  </si>
  <si>
    <t>ПВ4</t>
  </si>
  <si>
    <t>ПВ5</t>
  </si>
  <si>
    <t>П25-П28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</si>
</sst>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###0;###0"/>
    <numFmt numFmtId="165" formatCode="#,##0_р_."/>
    <numFmt numFmtId="166" formatCode="_-* #,##0.00\ [$₽-419]_-;\-* #,##0.00\ [$₽-419]_-;_-* &quot;-&quot;??\ [$₽-419]_-;_-@_-"/>
    <numFmt numFmtId="167" formatCode="#,##0\ _₽"/>
    <numFmt numFmtId="168" formatCode="[$-F800]dddd\,\ mmmm\ dd\,\ yyyy"/>
    <numFmt numFmtId="169" formatCode="#,##0.00\ _₽"/>
    <numFmt numFmtId="170" formatCode="0.0"/>
    <numFmt numFmtId="171" formatCode="#,##0.00_р_."/>
    <numFmt numFmtId="172" formatCode="_-* #,##0\ [$₽-419]_-;\-* #,##0\ [$₽-419]_-;_-* &quot;-&quot;??\ [$₽-419]_-;_-@_-"/>
    <numFmt numFmtId="173" formatCode="_-* #,##0\ &quot;₽&quot;_-;\-* #,##0\ &quot;₽&quot;_-;_-* &quot;-&quot;??\ &quot;₽&quot;_-;_-@_-"/>
    <numFmt numFmtId="174" formatCode="#,##0;#,##0"/>
    <numFmt numFmtId="175" formatCode="###0000;###0000"/>
  </numFmts>
  <fonts count="73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0070C0"/>
      <name val="Calibri"/>
      <family val="2"/>
      <charset val="204"/>
      <scheme val="minor"/>
    </font>
    <font>
      <sz val="11"/>
      <color rgb="FF7030A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Trebuchet MS"/>
      <family val="2"/>
    </font>
    <font>
      <sz val="10"/>
      <color rgb="FF000000"/>
      <name val="Trebuchet MS"/>
      <family val="2"/>
    </font>
    <font>
      <b/>
      <sz val="9"/>
      <name val="Tahoma"/>
      <family val="2"/>
    </font>
    <font>
      <sz val="9"/>
      <name val="Trebuchet MS"/>
      <family val="2"/>
    </font>
    <font>
      <i/>
      <sz val="6"/>
      <name val="Arial"/>
      <family val="2"/>
    </font>
    <font>
      <sz val="11"/>
      <name val="Arial"/>
      <family val="2"/>
      <charset val="204"/>
    </font>
    <font>
      <vertAlign val="superscript"/>
      <sz val="10"/>
      <name val="Times New Roman"/>
      <family val="1"/>
      <charset val="204"/>
    </font>
    <font>
      <b/>
      <sz val="10.5"/>
      <name val="Times New Roman"/>
      <family val="1"/>
      <charset val="204"/>
    </font>
    <font>
      <b/>
      <vertAlign val="superscript"/>
      <sz val="10.5"/>
      <name val="Times New Roman"/>
      <family val="1"/>
      <charset val="204"/>
    </font>
    <font>
      <b/>
      <sz val="10"/>
      <name val="Times New Roman"/>
      <family val="1"/>
      <charset val="204"/>
    </font>
    <font>
      <b/>
      <vertAlign val="superscript"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1"/>
      <color rgb="FFFFFFFF"/>
      <name val="Arial"/>
      <family val="2"/>
      <charset val="204"/>
    </font>
    <font>
      <sz val="9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24"/>
      <color rgb="FF00B050"/>
      <name val="Arial"/>
      <family val="2"/>
      <charset val="204"/>
    </font>
    <font>
      <u/>
      <sz val="11"/>
      <color theme="1"/>
      <name val="Arial"/>
      <family val="2"/>
      <charset val="204"/>
    </font>
    <font>
      <sz val="11"/>
      <color rgb="FFC00000"/>
      <name val="Calibri"/>
      <family val="2"/>
      <charset val="204"/>
      <scheme val="minor"/>
    </font>
    <font>
      <sz val="11"/>
      <color theme="8" tint="-0.249977111117893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7" tint="-0.249977111117893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theme="7" tint="-0.249977111117893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6"/>
      <name val="Comic Sans MS"/>
      <family val="4"/>
    </font>
    <font>
      <sz val="10"/>
      <color rgb="FF000000"/>
      <name val="Times New Roman"/>
      <family val="1"/>
      <charset val="204"/>
    </font>
    <font>
      <b/>
      <sz val="9"/>
      <name val="Trebuchet MS"/>
      <family val="2"/>
    </font>
    <font>
      <sz val="9"/>
      <name val="Bookman Old Style"/>
      <family val="1"/>
    </font>
    <font>
      <i/>
      <sz val="9"/>
      <name val="Bookman Old Style"/>
      <family val="1"/>
    </font>
    <font>
      <i/>
      <sz val="9"/>
      <name val="Trebuchet MS"/>
      <family val="2"/>
    </font>
    <font>
      <sz val="9"/>
      <name val="Comic Sans MS"/>
      <family val="4"/>
    </font>
    <font>
      <sz val="6"/>
      <name val="Trebuchet MS"/>
      <family val="2"/>
    </font>
    <font>
      <sz val="10"/>
      <color rgb="FF000000"/>
      <name val="Times New Roman"/>
      <charset val="204"/>
    </font>
    <font>
      <b/>
      <sz val="10"/>
      <name val="Tahoma"/>
    </font>
    <font>
      <sz val="10"/>
      <name val="Trebuchet MS"/>
    </font>
    <font>
      <b/>
      <sz val="8"/>
      <name val="Tahoma"/>
    </font>
    <font>
      <b/>
      <sz val="9"/>
      <name val="Tahoma"/>
    </font>
    <font>
      <sz val="9"/>
      <name val="Trebuchet MS"/>
    </font>
    <font>
      <b/>
      <sz val="10"/>
      <name val="Tahoma"/>
      <family val="2"/>
    </font>
    <font>
      <b/>
      <sz val="8"/>
      <name val="Tahoma"/>
      <family val="2"/>
    </font>
    <font>
      <sz val="10"/>
      <name val="Tahoma"/>
      <family val="2"/>
    </font>
    <font>
      <sz val="9"/>
      <color rgb="FF000000"/>
      <name val="Trebuchet MS"/>
      <family val="2"/>
    </font>
    <font>
      <sz val="9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AEAAAA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7">
    <xf numFmtId="0" fontId="0" fillId="0" borderId="0"/>
    <xf numFmtId="0" fontId="17" fillId="0" borderId="0" applyNumberFormat="0" applyFill="0" applyBorder="0" applyProtection="0">
      <alignment vertical="top" wrapText="1"/>
    </xf>
    <xf numFmtId="0" fontId="22" fillId="0" borderId="0"/>
    <xf numFmtId="9" fontId="22" fillId="0" borderId="0" applyFont="0" applyFill="0" applyBorder="0" applyAlignment="0" applyProtection="0"/>
    <xf numFmtId="0" fontId="27" fillId="0" borderId="0"/>
    <xf numFmtId="0" fontId="29" fillId="0" borderId="0"/>
    <xf numFmtId="0" fontId="36" fillId="0" borderId="0"/>
    <xf numFmtId="0" fontId="38" fillId="0" borderId="0"/>
    <xf numFmtId="0" fontId="41" fillId="0" borderId="0"/>
    <xf numFmtId="44" fontId="22" fillId="0" borderId="0" applyFont="0" applyFill="0" applyBorder="0" applyAlignment="0" applyProtection="0"/>
    <xf numFmtId="0" fontId="42" fillId="0" borderId="0"/>
    <xf numFmtId="0" fontId="43" fillId="0" borderId="0" applyNumberFormat="0" applyFill="0" applyBorder="0" applyAlignment="0" applyProtection="0"/>
    <xf numFmtId="0" fontId="44" fillId="0" borderId="0"/>
    <xf numFmtId="0" fontId="45" fillId="0" borderId="0"/>
    <xf numFmtId="44" fontId="30" fillId="0" borderId="0" applyFont="0" applyFill="0" applyBorder="0" applyAlignment="0" applyProtection="0"/>
    <xf numFmtId="0" fontId="46" fillId="0" borderId="0"/>
    <xf numFmtId="0" fontId="47" fillId="0" borderId="0"/>
    <xf numFmtId="0" fontId="48" fillId="0" borderId="0"/>
    <xf numFmtId="0" fontId="49" fillId="0" borderId="0"/>
    <xf numFmtId="0" fontId="50" fillId="0" borderId="0"/>
    <xf numFmtId="0" fontId="51" fillId="0" borderId="0"/>
    <xf numFmtId="0" fontId="52" fillId="0" borderId="0"/>
    <xf numFmtId="0" fontId="53" fillId="0" borderId="0"/>
    <xf numFmtId="43" fontId="30" fillId="0" borderId="0" applyFont="0" applyFill="0" applyBorder="0" applyAlignment="0" applyProtection="0"/>
    <xf numFmtId="43" fontId="22" fillId="0" borderId="0" applyFont="0" applyFill="0" applyBorder="0" applyAlignment="0" applyProtection="0"/>
    <xf numFmtId="0" fontId="55" fillId="0" borderId="0"/>
    <xf numFmtId="0" fontId="62" fillId="0" borderId="0"/>
  </cellStyleXfs>
  <cellXfs count="523">
    <xf numFmtId="0" fontId="0" fillId="0" borderId="0" xfId="0"/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 wrapText="1"/>
    </xf>
    <xf numFmtId="0" fontId="0" fillId="0" borderId="1" xfId="0" applyBorder="1" applyAlignment="1">
      <alignment horizontal="center" vertical="center"/>
    </xf>
    <xf numFmtId="165" fontId="11" fillId="0" borderId="0" xfId="0" applyNumberFormat="1" applyFont="1" applyFill="1" applyBorder="1" applyAlignment="1">
      <alignment horizontal="center" vertical="top"/>
    </xf>
    <xf numFmtId="0" fontId="0" fillId="2" borderId="0" xfId="0" applyFill="1" applyAlignment="1">
      <alignment vertical="top" wrapText="1"/>
    </xf>
    <xf numFmtId="0" fontId="13" fillId="0" borderId="0" xfId="0" applyFont="1" applyAlignment="1">
      <alignment vertical="top" wrapText="1"/>
    </xf>
    <xf numFmtId="0" fontId="15" fillId="0" borderId="0" xfId="0" applyFont="1" applyAlignment="1">
      <alignment vertical="top" wrapText="1"/>
    </xf>
    <xf numFmtId="166" fontId="0" fillId="0" borderId="0" xfId="0" applyNumberFormat="1" applyAlignment="1">
      <alignment vertical="top" wrapText="1"/>
    </xf>
    <xf numFmtId="0" fontId="0" fillId="0" borderId="0" xfId="0" applyNumberFormat="1" applyAlignment="1">
      <alignment horizontal="center" vertical="top" wrapText="1"/>
    </xf>
    <xf numFmtId="0" fontId="0" fillId="0" borderId="0" xfId="0" applyFill="1" applyAlignment="1">
      <alignment vertical="top" wrapText="1"/>
    </xf>
    <xf numFmtId="2" fontId="0" fillId="0" borderId="0" xfId="0" applyNumberFormat="1" applyFill="1"/>
    <xf numFmtId="0" fontId="17" fillId="0" borderId="0" xfId="1">
      <alignment vertical="top" wrapText="1"/>
    </xf>
    <xf numFmtId="49" fontId="18" fillId="0" borderId="1" xfId="1" applyNumberFormat="1" applyFont="1" applyFill="1" applyBorder="1" applyAlignment="1" applyProtection="1">
      <alignment horizontal="left" vertical="top"/>
      <protection locked="0"/>
    </xf>
    <xf numFmtId="167" fontId="18" fillId="0" borderId="1" xfId="1" applyNumberFormat="1" applyFont="1" applyFill="1" applyBorder="1" applyAlignment="1">
      <alignment horizontal="right" vertical="center"/>
    </xf>
    <xf numFmtId="0" fontId="18" fillId="0" borderId="0" xfId="1" applyFont="1" applyFill="1" applyBorder="1" applyAlignment="1">
      <alignment vertical="center" wrapText="1"/>
    </xf>
    <xf numFmtId="0" fontId="0" fillId="0" borderId="0" xfId="0" applyFont="1" applyAlignment="1">
      <alignment wrapText="1"/>
    </xf>
    <xf numFmtId="0" fontId="0" fillId="0" borderId="0" xfId="0" applyFont="1" applyAlignment="1">
      <alignment horizontal="center" wrapText="1"/>
    </xf>
    <xf numFmtId="22" fontId="0" fillId="0" borderId="0" xfId="0" applyNumberFormat="1"/>
    <xf numFmtId="0" fontId="5" fillId="0" borderId="0" xfId="0" applyFont="1" applyFill="1"/>
    <xf numFmtId="14" fontId="0" fillId="0" borderId="0" xfId="0" applyNumberFormat="1" applyFont="1" applyAlignment="1">
      <alignment wrapText="1"/>
    </xf>
    <xf numFmtId="168" fontId="18" fillId="0" borderId="0" xfId="0" applyNumberFormat="1" applyFont="1" applyAlignment="1">
      <alignment horizontal="left" vertical="center" wrapText="1"/>
    </xf>
    <xf numFmtId="14" fontId="18" fillId="0" borderId="0" xfId="0" applyNumberFormat="1" applyFont="1" applyAlignment="1">
      <alignment horizontal="left" vertical="center" wrapText="1"/>
    </xf>
    <xf numFmtId="14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right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  <xf numFmtId="169" fontId="18" fillId="0" borderId="0" xfId="0" applyNumberFormat="1" applyFont="1" applyBorder="1" applyAlignment="1">
      <alignment horizontal="right" vertical="center"/>
    </xf>
    <xf numFmtId="0" fontId="20" fillId="3" borderId="2" xfId="0" applyFont="1" applyFill="1" applyBorder="1" applyAlignment="1">
      <alignment horizontal="center" vertical="center" wrapText="1"/>
    </xf>
    <xf numFmtId="0" fontId="20" fillId="3" borderId="3" xfId="0" applyFont="1" applyFill="1" applyBorder="1" applyAlignment="1">
      <alignment horizontal="center" vertical="center" wrapText="1"/>
    </xf>
    <xf numFmtId="0" fontId="20" fillId="3" borderId="4" xfId="0" applyFont="1" applyFill="1" applyBorder="1" applyAlignment="1">
      <alignment horizontal="center" vertical="center" wrapText="1"/>
    </xf>
    <xf numFmtId="0" fontId="20" fillId="3" borderId="5" xfId="0" applyFont="1" applyFill="1" applyBorder="1" applyAlignment="1">
      <alignment horizontal="center" vertical="center" wrapText="1"/>
    </xf>
    <xf numFmtId="0" fontId="0" fillId="0" borderId="0" xfId="0" applyFont="1" applyFill="1" applyAlignment="1"/>
    <xf numFmtId="0" fontId="0" fillId="0" borderId="0" xfId="0" applyFill="1"/>
    <xf numFmtId="14" fontId="18" fillId="0" borderId="0" xfId="0" applyNumberFormat="1" applyFont="1" applyAlignment="1">
      <alignment horizontal="right" vertical="center" wrapText="1"/>
    </xf>
    <xf numFmtId="14" fontId="19" fillId="0" borderId="0" xfId="0" applyNumberFormat="1" applyFont="1" applyAlignment="1">
      <alignment horizontal="center" vertical="center" wrapText="1"/>
    </xf>
    <xf numFmtId="0" fontId="18" fillId="0" borderId="0" xfId="2" applyFont="1" applyAlignment="1">
      <alignment horizontal="center" vertical="center"/>
    </xf>
    <xf numFmtId="0" fontId="19" fillId="3" borderId="7" xfId="2" applyFont="1" applyFill="1" applyBorder="1" applyAlignment="1">
      <alignment horizontal="center" vertical="center"/>
    </xf>
    <xf numFmtId="49" fontId="19" fillId="3" borderId="7" xfId="2" applyNumberFormat="1" applyFont="1" applyFill="1" applyBorder="1" applyAlignment="1">
      <alignment horizontal="center" vertical="center"/>
    </xf>
    <xf numFmtId="0" fontId="18" fillId="3" borderId="9" xfId="2" applyFont="1" applyFill="1" applyBorder="1" applyAlignment="1">
      <alignment horizontal="center" vertical="center"/>
    </xf>
    <xf numFmtId="49" fontId="18" fillId="3" borderId="9" xfId="2" applyNumberFormat="1" applyFont="1" applyFill="1" applyBorder="1" applyAlignment="1">
      <alignment horizontal="center" vertical="center"/>
    </xf>
    <xf numFmtId="0" fontId="19" fillId="5" borderId="11" xfId="2" applyFont="1" applyFill="1" applyBorder="1" applyAlignment="1">
      <alignment horizontal="center" vertical="center"/>
    </xf>
    <xf numFmtId="49" fontId="19" fillId="5" borderId="11" xfId="2" applyNumberFormat="1" applyFont="1" applyFill="1" applyBorder="1" applyAlignment="1">
      <alignment horizontal="center" vertical="center"/>
    </xf>
    <xf numFmtId="0" fontId="19" fillId="5" borderId="12" xfId="2" applyFont="1" applyFill="1" applyBorder="1" applyAlignment="1">
      <alignment horizontal="center" vertical="center"/>
    </xf>
    <xf numFmtId="0" fontId="19" fillId="0" borderId="0" xfId="2" applyFont="1" applyAlignment="1">
      <alignment horizontal="center" vertical="center"/>
    </xf>
    <xf numFmtId="49" fontId="18" fillId="0" borderId="0" xfId="2" applyNumberFormat="1" applyFont="1" applyBorder="1" applyAlignment="1">
      <alignment horizontal="left" vertical="top"/>
    </xf>
    <xf numFmtId="49" fontId="18" fillId="0" borderId="0" xfId="2" applyNumberFormat="1" applyFont="1" applyFill="1" applyBorder="1" applyAlignment="1"/>
    <xf numFmtId="165" fontId="18" fillId="0" borderId="0" xfId="2" applyNumberFormat="1" applyFont="1" applyBorder="1" applyAlignment="1">
      <alignment horizontal="right" vertical="top"/>
    </xf>
    <xf numFmtId="49" fontId="18" fillId="0" borderId="1" xfId="2" applyNumberFormat="1" applyFont="1" applyBorder="1" applyAlignment="1">
      <alignment horizontal="center" vertical="center" wrapText="1"/>
    </xf>
    <xf numFmtId="0" fontId="18" fillId="0" borderId="1" xfId="2" applyFont="1" applyBorder="1" applyAlignment="1">
      <alignment horizontal="center" vertical="center" wrapText="1"/>
    </xf>
    <xf numFmtId="0" fontId="18" fillId="0" borderId="1" xfId="2" applyFont="1" applyBorder="1" applyAlignment="1">
      <alignment horizontal="center" vertical="center"/>
    </xf>
    <xf numFmtId="0" fontId="18" fillId="0" borderId="1" xfId="2" applyFont="1" applyBorder="1" applyAlignment="1">
      <alignment horizontal="left" vertical="center"/>
    </xf>
    <xf numFmtId="49" fontId="18" fillId="0" borderId="1" xfId="2" applyNumberFormat="1" applyFont="1" applyBorder="1" applyAlignment="1">
      <alignment horizontal="left" vertical="center"/>
    </xf>
    <xf numFmtId="49" fontId="18" fillId="0" borderId="1" xfId="2" applyNumberFormat="1" applyFont="1" applyBorder="1" applyAlignment="1">
      <alignment horizontal="center" vertical="center"/>
    </xf>
    <xf numFmtId="167" fontId="18" fillId="0" borderId="1" xfId="2" applyNumberFormat="1" applyFont="1" applyBorder="1" applyAlignment="1">
      <alignment horizontal="center" vertical="center"/>
    </xf>
    <xf numFmtId="49" fontId="18" fillId="0" borderId="0" xfId="2" applyNumberFormat="1" applyFont="1" applyAlignment="1">
      <alignment horizontal="right" vertical="top" wrapText="1"/>
    </xf>
    <xf numFmtId="0" fontId="18" fillId="0" borderId="0" xfId="2" applyFont="1" applyAlignment="1">
      <alignment horizontal="center" vertical="top" wrapText="1"/>
    </xf>
    <xf numFmtId="0" fontId="18" fillId="0" borderId="0" xfId="2" applyFont="1" applyAlignment="1">
      <alignment horizontal="center" vertical="top"/>
    </xf>
    <xf numFmtId="0" fontId="18" fillId="0" borderId="0" xfId="2" applyFont="1" applyAlignment="1">
      <alignment vertical="top"/>
    </xf>
    <xf numFmtId="49" fontId="18" fillId="0" borderId="1" xfId="2" applyNumberFormat="1" applyFont="1" applyFill="1" applyBorder="1" applyAlignment="1">
      <alignment horizontal="center" vertical="center"/>
    </xf>
    <xf numFmtId="165" fontId="18" fillId="0" borderId="1" xfId="2" applyNumberFormat="1" applyFont="1" applyBorder="1" applyAlignment="1">
      <alignment horizontal="center" vertical="center"/>
    </xf>
    <xf numFmtId="49" fontId="18" fillId="0" borderId="1" xfId="2" applyNumberFormat="1" applyFont="1" applyFill="1" applyBorder="1" applyAlignment="1">
      <alignment horizontal="left" vertical="center"/>
    </xf>
    <xf numFmtId="167" fontId="18" fillId="0" borderId="0" xfId="2" applyNumberFormat="1" applyFont="1" applyAlignment="1">
      <alignment horizontal="right" vertical="top"/>
    </xf>
    <xf numFmtId="0" fontId="19" fillId="5" borderId="1" xfId="2" applyFont="1" applyFill="1" applyBorder="1" applyAlignment="1">
      <alignment horizontal="center" vertical="center"/>
    </xf>
    <xf numFmtId="49" fontId="19" fillId="5" borderId="1" xfId="2" applyNumberFormat="1" applyFont="1" applyFill="1" applyBorder="1" applyAlignment="1">
      <alignment horizontal="center" vertical="center"/>
    </xf>
    <xf numFmtId="0" fontId="19" fillId="4" borderId="1" xfId="2" applyFont="1" applyFill="1" applyBorder="1" applyAlignment="1">
      <alignment horizontal="center" vertical="center"/>
    </xf>
    <xf numFmtId="0" fontId="18" fillId="4" borderId="1" xfId="2" applyFont="1" applyFill="1" applyBorder="1" applyAlignment="1">
      <alignment horizontal="left" vertical="center"/>
    </xf>
    <xf numFmtId="49" fontId="19" fillId="4" borderId="1" xfId="2" applyNumberFormat="1" applyFont="1" applyFill="1" applyBorder="1" applyAlignment="1">
      <alignment horizontal="center" vertical="center"/>
    </xf>
    <xf numFmtId="0" fontId="19" fillId="4" borderId="0" xfId="2" applyFont="1" applyFill="1" applyAlignment="1">
      <alignment horizontal="center" vertical="center"/>
    </xf>
    <xf numFmtId="49" fontId="18" fillId="0" borderId="0" xfId="2" applyNumberFormat="1" applyFont="1" applyAlignment="1">
      <alignment horizontal="left"/>
    </xf>
    <xf numFmtId="49" fontId="18" fillId="0" borderId="0" xfId="2" applyNumberFormat="1" applyFont="1" applyBorder="1" applyAlignment="1"/>
    <xf numFmtId="170" fontId="18" fillId="0" borderId="0" xfId="2" applyNumberFormat="1" applyFont="1" applyAlignment="1">
      <alignment horizontal="center" vertical="top" wrapText="1"/>
    </xf>
    <xf numFmtId="0" fontId="18" fillId="0" borderId="0" xfId="2" applyFont="1" applyAlignment="1">
      <alignment horizontal="left"/>
    </xf>
    <xf numFmtId="165" fontId="18" fillId="0" borderId="0" xfId="2" applyNumberFormat="1" applyFont="1" applyAlignment="1">
      <alignment horizontal="right" vertical="top"/>
    </xf>
    <xf numFmtId="0" fontId="18" fillId="0" borderId="0" xfId="2" applyFont="1" applyBorder="1" applyAlignment="1"/>
    <xf numFmtId="0" fontId="18" fillId="4" borderId="1" xfId="2" applyFont="1" applyFill="1" applyBorder="1" applyAlignment="1">
      <alignment horizontal="center" vertical="center"/>
    </xf>
    <xf numFmtId="49" fontId="18" fillId="4" borderId="1" xfId="2" applyNumberFormat="1" applyFont="1" applyFill="1" applyBorder="1" applyAlignment="1">
      <alignment horizontal="center" vertical="center"/>
    </xf>
    <xf numFmtId="0" fontId="18" fillId="4" borderId="0" xfId="2" applyFont="1" applyFill="1" applyAlignment="1">
      <alignment horizontal="center" vertical="center"/>
    </xf>
    <xf numFmtId="167" fontId="18" fillId="0" borderId="0" xfId="2" applyNumberFormat="1" applyFont="1" applyBorder="1" applyAlignment="1">
      <alignment horizontal="right" vertical="top"/>
    </xf>
    <xf numFmtId="170" fontId="18" fillId="0" borderId="1" xfId="2" applyNumberFormat="1" applyFont="1" applyBorder="1" applyAlignment="1">
      <alignment horizontal="center" vertical="center" wrapText="1"/>
    </xf>
    <xf numFmtId="170" fontId="18" fillId="0" borderId="1" xfId="2" applyNumberFormat="1" applyFont="1" applyBorder="1" applyAlignment="1">
      <alignment horizontal="center" vertical="center"/>
    </xf>
    <xf numFmtId="49" fontId="18" fillId="0" borderId="0" xfId="2" applyNumberFormat="1" applyFont="1" applyBorder="1" applyAlignment="1">
      <alignment vertical="top"/>
    </xf>
    <xf numFmtId="0" fontId="19" fillId="5" borderId="1" xfId="2" applyFont="1" applyFill="1" applyBorder="1" applyAlignment="1">
      <alignment horizontal="left" vertical="center"/>
    </xf>
    <xf numFmtId="0" fontId="19" fillId="5" borderId="1" xfId="2" applyFont="1" applyFill="1" applyBorder="1" applyAlignment="1">
      <alignment horizontal="center"/>
    </xf>
    <xf numFmtId="0" fontId="19" fillId="5" borderId="1" xfId="2" applyFont="1" applyFill="1" applyBorder="1" applyAlignment="1"/>
    <xf numFmtId="0" fontId="18" fillId="0" borderId="0" xfId="2" applyFont="1" applyBorder="1" applyAlignment="1">
      <alignment horizontal="left" vertical="top"/>
    </xf>
    <xf numFmtId="170" fontId="18" fillId="0" borderId="0" xfId="2" applyNumberFormat="1" applyFont="1" applyAlignment="1">
      <alignment horizontal="center"/>
    </xf>
    <xf numFmtId="49" fontId="18" fillId="0" borderId="0" xfId="2" applyNumberFormat="1" applyFont="1" applyAlignment="1">
      <alignment horizontal="right" vertical="top"/>
    </xf>
    <xf numFmtId="1" fontId="18" fillId="0" borderId="0" xfId="2" applyNumberFormat="1" applyFont="1" applyBorder="1" applyAlignment="1">
      <alignment horizontal="center"/>
    </xf>
    <xf numFmtId="49" fontId="18" fillId="0" borderId="0" xfId="2" applyNumberFormat="1" applyFont="1" applyFill="1" applyBorder="1" applyAlignment="1">
      <alignment horizontal="center" vertical="center"/>
    </xf>
    <xf numFmtId="170" fontId="18" fillId="0" borderId="0" xfId="2" applyNumberFormat="1" applyFont="1" applyBorder="1" applyAlignment="1">
      <alignment horizontal="center" vertical="center"/>
    </xf>
    <xf numFmtId="0" fontId="18" fillId="0" borderId="0" xfId="2" applyFont="1" applyBorder="1" applyAlignment="1">
      <alignment horizontal="center" vertical="top"/>
    </xf>
    <xf numFmtId="0" fontId="18" fillId="0" borderId="0" xfId="2" applyFont="1" applyBorder="1" applyAlignment="1">
      <alignment vertical="top" wrapText="1"/>
    </xf>
    <xf numFmtId="49" fontId="18" fillId="0" borderId="0" xfId="2" applyNumberFormat="1" applyFont="1" applyBorder="1" applyAlignment="1">
      <alignment horizontal="center" vertical="center"/>
    </xf>
    <xf numFmtId="167" fontId="18" fillId="0" borderId="6" xfId="2" applyNumberFormat="1" applyFont="1" applyBorder="1" applyAlignment="1">
      <alignment horizontal="right" vertical="top"/>
    </xf>
    <xf numFmtId="165" fontId="18" fillId="0" borderId="0" xfId="2" applyNumberFormat="1" applyFont="1" applyBorder="1" applyAlignment="1">
      <alignment horizontal="right"/>
    </xf>
    <xf numFmtId="49" fontId="18" fillId="0" borderId="0" xfId="2" applyNumberFormat="1" applyFont="1" applyBorder="1" applyAlignment="1">
      <alignment horizontal="left"/>
    </xf>
    <xf numFmtId="165" fontId="18" fillId="0" borderId="1" xfId="2" applyNumberFormat="1" applyFont="1" applyFill="1" applyBorder="1" applyAlignment="1">
      <alignment horizontal="center" vertical="center"/>
    </xf>
    <xf numFmtId="49" fontId="18" fillId="0" borderId="0" xfId="2" applyNumberFormat="1" applyFont="1" applyAlignment="1">
      <alignment horizontal="center" vertical="center" wrapText="1"/>
    </xf>
    <xf numFmtId="170" fontId="18" fillId="0" borderId="0" xfId="2" applyNumberFormat="1" applyFont="1" applyAlignment="1">
      <alignment horizontal="center" vertical="center" wrapText="1"/>
    </xf>
    <xf numFmtId="0" fontId="18" fillId="0" borderId="0" xfId="2" applyFont="1" applyBorder="1" applyAlignment="1">
      <alignment horizontal="center" vertical="center"/>
    </xf>
    <xf numFmtId="0" fontId="18" fillId="0" borderId="0" xfId="2" applyFont="1" applyAlignment="1">
      <alignment horizontal="left" vertical="center"/>
    </xf>
    <xf numFmtId="49" fontId="18" fillId="0" borderId="0" xfId="2" applyNumberFormat="1" applyFont="1" applyBorder="1" applyAlignment="1">
      <alignment horizontal="center" vertical="center" wrapText="1"/>
    </xf>
    <xf numFmtId="170" fontId="18" fillId="0" borderId="0" xfId="2" applyNumberFormat="1" applyFont="1" applyBorder="1" applyAlignment="1">
      <alignment horizontal="center" vertical="center" wrapText="1"/>
    </xf>
    <xf numFmtId="49" fontId="18" fillId="0" borderId="0" xfId="2" applyNumberFormat="1" applyFont="1"/>
    <xf numFmtId="165" fontId="18" fillId="0" borderId="0" xfId="2" applyNumberFormat="1" applyFont="1" applyFill="1" applyBorder="1" applyAlignment="1">
      <alignment horizontal="right"/>
    </xf>
    <xf numFmtId="49" fontId="18" fillId="0" borderId="0" xfId="2" applyNumberFormat="1" applyFont="1" applyAlignment="1">
      <alignment vertical="top"/>
    </xf>
    <xf numFmtId="165" fontId="18" fillId="0" borderId="0" xfId="2" applyNumberFormat="1" applyFont="1" applyFill="1" applyBorder="1" applyAlignment="1">
      <alignment horizontal="right" vertical="top"/>
    </xf>
    <xf numFmtId="0" fontId="18" fillId="0" borderId="0" xfId="2" applyFont="1" applyFill="1" applyBorder="1" applyAlignment="1"/>
    <xf numFmtId="0" fontId="18" fillId="0" borderId="0" xfId="2" applyFont="1" applyAlignment="1">
      <alignment vertical="top" wrapText="1"/>
    </xf>
    <xf numFmtId="49" fontId="18" fillId="0" borderId="0" xfId="2" applyNumberFormat="1" applyFont="1" applyFill="1" applyBorder="1" applyAlignment="1" applyProtection="1">
      <alignment horizontal="left" vertical="top"/>
      <protection locked="0"/>
    </xf>
    <xf numFmtId="49" fontId="18" fillId="0" borderId="0" xfId="2" applyNumberFormat="1" applyFont="1" applyBorder="1" applyAlignment="1">
      <alignment horizontal="right" vertical="center" wrapText="1"/>
    </xf>
    <xf numFmtId="0" fontId="18" fillId="0" borderId="0" xfId="2" applyFont="1" applyBorder="1" applyAlignment="1">
      <alignment vertical="top"/>
    </xf>
    <xf numFmtId="49" fontId="18" fillId="0" borderId="0" xfId="2" applyNumberFormat="1" applyFont="1" applyFill="1" applyBorder="1" applyAlignment="1">
      <alignment vertical="top"/>
    </xf>
    <xf numFmtId="49" fontId="18" fillId="0" borderId="0" xfId="2" applyNumberFormat="1" applyFont="1" applyAlignment="1">
      <alignment horizontal="center" vertical="top"/>
    </xf>
    <xf numFmtId="9" fontId="24" fillId="0" borderId="0" xfId="3" applyFont="1" applyFill="1" applyBorder="1" applyAlignment="1"/>
    <xf numFmtId="49" fontId="18" fillId="0" borderId="0" xfId="2" applyNumberFormat="1" applyFont="1" applyBorder="1" applyAlignment="1">
      <alignment horizontal="left" vertical="center"/>
    </xf>
    <xf numFmtId="49" fontId="18" fillId="0" borderId="0" xfId="2" applyNumberFormat="1" applyFont="1" applyBorder="1" applyAlignment="1">
      <alignment horizontal="right" vertical="center"/>
    </xf>
    <xf numFmtId="0" fontId="18" fillId="0" borderId="0" xfId="2" applyFont="1" applyAlignment="1">
      <alignment horizontal="right"/>
    </xf>
    <xf numFmtId="0" fontId="18" fillId="0" borderId="0" xfId="2" applyFont="1"/>
    <xf numFmtId="0" fontId="18" fillId="0" borderId="0" xfId="2" applyFont="1" applyAlignment="1"/>
    <xf numFmtId="49" fontId="18" fillId="0" borderId="0" xfId="2" applyNumberFormat="1" applyFont="1" applyAlignment="1">
      <alignment horizontal="center" vertical="center"/>
    </xf>
    <xf numFmtId="0" fontId="0" fillId="0" borderId="16" xfId="0" applyBorder="1" applyAlignment="1"/>
    <xf numFmtId="0" fontId="0" fillId="0" borderId="17" xfId="0" applyBorder="1" applyAlignment="1"/>
    <xf numFmtId="0" fontId="0" fillId="0" borderId="18" xfId="0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1" fillId="0" borderId="21" xfId="0" applyFont="1" applyBorder="1" applyAlignment="1">
      <alignment horizontal="center"/>
    </xf>
    <xf numFmtId="0" fontId="21" fillId="0" borderId="9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1" fillId="0" borderId="22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0" fillId="0" borderId="29" xfId="0" applyFill="1" applyBorder="1"/>
    <xf numFmtId="0" fontId="28" fillId="0" borderId="30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0" fillId="0" borderId="0" xfId="0" applyAlignment="1"/>
    <xf numFmtId="4" fontId="0" fillId="0" borderId="0" xfId="0" applyNumberFormat="1"/>
    <xf numFmtId="0" fontId="28" fillId="7" borderId="3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 vertical="center"/>
    </xf>
    <xf numFmtId="0" fontId="0" fillId="0" borderId="1" xfId="0" applyBorder="1"/>
    <xf numFmtId="0" fontId="0" fillId="0" borderId="8" xfId="0" applyBorder="1"/>
    <xf numFmtId="0" fontId="0" fillId="0" borderId="35" xfId="0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2" fillId="0" borderId="0" xfId="2"/>
    <xf numFmtId="0" fontId="22" fillId="0" borderId="0" xfId="2" applyAlignment="1">
      <alignment horizontal="center"/>
    </xf>
    <xf numFmtId="0" fontId="31" fillId="0" borderId="0" xfId="2" applyFont="1" applyBorder="1" applyAlignment="1">
      <alignment horizontal="center"/>
    </xf>
    <xf numFmtId="0" fontId="22" fillId="0" borderId="0" xfId="2" applyFont="1" applyAlignment="1">
      <alignment horizontal="center"/>
    </xf>
    <xf numFmtId="0" fontId="32" fillId="0" borderId="0" xfId="2" applyFont="1" applyAlignment="1">
      <alignment horizontal="center"/>
    </xf>
    <xf numFmtId="0" fontId="31" fillId="0" borderId="0" xfId="2" applyFont="1" applyBorder="1" applyAlignment="1"/>
    <xf numFmtId="167" fontId="30" fillId="0" borderId="0" xfId="2" applyNumberFormat="1" applyFont="1" applyBorder="1" applyAlignment="1">
      <alignment horizontal="center" vertical="top"/>
    </xf>
    <xf numFmtId="49" fontId="30" fillId="0" borderId="0" xfId="2" applyNumberFormat="1" applyFont="1" applyBorder="1" applyAlignment="1">
      <alignment horizontal="center" vertical="top" wrapText="1"/>
    </xf>
    <xf numFmtId="170" fontId="30" fillId="0" borderId="0" xfId="2" applyNumberFormat="1" applyFont="1" applyBorder="1" applyAlignment="1">
      <alignment horizontal="center" vertical="top" wrapText="1"/>
    </xf>
    <xf numFmtId="0" fontId="30" fillId="0" borderId="0" xfId="2" applyFont="1" applyBorder="1" applyAlignment="1">
      <alignment vertical="top"/>
    </xf>
    <xf numFmtId="0" fontId="31" fillId="0" borderId="0" xfId="2" applyFont="1" applyBorder="1" applyAlignment="1">
      <alignment horizontal="center" vertical="top"/>
    </xf>
    <xf numFmtId="0" fontId="30" fillId="0" borderId="0" xfId="2" applyFont="1" applyBorder="1" applyAlignment="1">
      <alignment horizontal="center" vertical="top" wrapText="1"/>
    </xf>
    <xf numFmtId="0" fontId="30" fillId="0" borderId="0" xfId="2" applyFont="1" applyBorder="1" applyAlignment="1">
      <alignment horizontal="center" vertical="top"/>
    </xf>
    <xf numFmtId="170" fontId="30" fillId="0" borderId="0" xfId="2" applyNumberFormat="1" applyFont="1" applyBorder="1" applyAlignment="1">
      <alignment horizontal="center"/>
    </xf>
    <xf numFmtId="0" fontId="31" fillId="0" borderId="0" xfId="2" applyFont="1" applyBorder="1" applyAlignment="1">
      <alignment vertical="top"/>
    </xf>
    <xf numFmtId="0" fontId="22" fillId="0" borderId="0" xfId="2" applyFont="1" applyFill="1" applyAlignment="1">
      <alignment horizontal="center"/>
    </xf>
    <xf numFmtId="0" fontId="33" fillId="0" borderId="0" xfId="2" applyFont="1" applyAlignment="1">
      <alignment horizontal="center"/>
    </xf>
    <xf numFmtId="0" fontId="33" fillId="0" borderId="0" xfId="2" applyFont="1" applyFill="1" applyAlignment="1">
      <alignment horizontal="center"/>
    </xf>
    <xf numFmtId="1" fontId="30" fillId="0" borderId="0" xfId="2" applyNumberFormat="1" applyFont="1" applyBorder="1" applyAlignment="1">
      <alignment horizontal="center"/>
    </xf>
    <xf numFmtId="0" fontId="22" fillId="0" borderId="0" xfId="2" applyAlignment="1">
      <alignment horizontal="left" vertical="top"/>
    </xf>
    <xf numFmtId="0" fontId="22" fillId="0" borderId="0" xfId="2" applyAlignment="1"/>
    <xf numFmtId="14" fontId="22" fillId="0" borderId="0" xfId="2" applyNumberFormat="1"/>
    <xf numFmtId="0" fontId="34" fillId="3" borderId="1" xfId="2" applyFont="1" applyFill="1" applyBorder="1" applyAlignment="1">
      <alignment horizontal="center"/>
    </xf>
    <xf numFmtId="0" fontId="34" fillId="3" borderId="1" xfId="2" applyFont="1" applyFill="1" applyBorder="1" applyAlignment="1">
      <alignment horizontal="center" vertical="center" wrapText="1"/>
    </xf>
    <xf numFmtId="0" fontId="34" fillId="3" borderId="1" xfId="2" applyFont="1" applyFill="1" applyBorder="1"/>
    <xf numFmtId="0" fontId="22" fillId="0" borderId="0" xfId="2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18" fillId="4" borderId="1" xfId="0" applyFont="1" applyFill="1" applyBorder="1" applyAlignment="1">
      <alignment horizontal="center" vertical="center" wrapText="1"/>
    </xf>
    <xf numFmtId="0" fontId="18" fillId="4" borderId="1" xfId="0" applyFont="1" applyFill="1" applyBorder="1" applyAlignment="1">
      <alignment horizontal="left" vertical="center" wrapText="1"/>
    </xf>
    <xf numFmtId="169" fontId="18" fillId="4" borderId="1" xfId="0" applyNumberFormat="1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left"/>
    </xf>
    <xf numFmtId="0" fontId="18" fillId="5" borderId="1" xfId="0" applyFont="1" applyFill="1" applyBorder="1" applyAlignment="1">
      <alignment horizontal="center" vertical="top"/>
    </xf>
    <xf numFmtId="49" fontId="18" fillId="5" borderId="1" xfId="0" applyNumberFormat="1" applyFont="1" applyFill="1" applyBorder="1" applyAlignment="1">
      <alignment horizontal="left" vertical="top"/>
    </xf>
    <xf numFmtId="49" fontId="18" fillId="5" borderId="1" xfId="0" applyNumberFormat="1" applyFont="1" applyFill="1" applyBorder="1" applyAlignment="1"/>
    <xf numFmtId="167" fontId="18" fillId="5" borderId="1" xfId="0" applyNumberFormat="1" applyFont="1" applyFill="1" applyBorder="1" applyAlignment="1">
      <alignment horizontal="right" vertical="top"/>
    </xf>
    <xf numFmtId="0" fontId="18" fillId="5" borderId="1" xfId="0" applyFont="1" applyFill="1" applyBorder="1" applyAlignment="1">
      <alignment horizontal="center" vertical="center" wrapText="1"/>
    </xf>
    <xf numFmtId="169" fontId="18" fillId="5" borderId="1" xfId="0" applyNumberFormat="1" applyFont="1" applyFill="1" applyBorder="1" applyAlignment="1">
      <alignment horizontal="right" vertical="center"/>
    </xf>
    <xf numFmtId="0" fontId="0" fillId="4" borderId="0" xfId="0" applyFill="1"/>
    <xf numFmtId="171" fontId="18" fillId="0" borderId="29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8" fillId="0" borderId="0" xfId="0" applyFont="1" applyAlignment="1">
      <alignment horizontal="left" vertical="top"/>
    </xf>
    <xf numFmtId="0" fontId="0" fillId="0" borderId="0" xfId="0" applyFont="1" applyAlignment="1">
      <alignment horizontal="left" vertical="center"/>
    </xf>
    <xf numFmtId="0" fontId="0" fillId="0" borderId="0" xfId="0" applyFont="1" applyAlignment="1"/>
    <xf numFmtId="0" fontId="0" fillId="0" borderId="0" xfId="0" applyFont="1" applyAlignment="1">
      <alignment horizontal="center"/>
    </xf>
    <xf numFmtId="0" fontId="18" fillId="0" borderId="0" xfId="0" applyFont="1" applyAlignment="1">
      <alignment horizontal="left"/>
    </xf>
    <xf numFmtId="0" fontId="18" fillId="0" borderId="0" xfId="0" applyFont="1" applyAlignment="1"/>
    <xf numFmtId="0" fontId="37" fillId="10" borderId="0" xfId="0" applyFont="1" applyFill="1" applyAlignment="1">
      <alignment horizontal="center"/>
    </xf>
    <xf numFmtId="4" fontId="18" fillId="4" borderId="1" xfId="0" applyNumberFormat="1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39" fillId="0" borderId="30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38" xfId="0" applyBorder="1"/>
    <xf numFmtId="0" fontId="0" fillId="0" borderId="37" xfId="0" applyFont="1" applyFill="1" applyBorder="1" applyAlignment="1">
      <alignment horizontal="center"/>
    </xf>
    <xf numFmtId="0" fontId="0" fillId="0" borderId="37" xfId="0" applyFill="1" applyBorder="1"/>
    <xf numFmtId="0" fontId="0" fillId="0" borderId="38" xfId="0" applyFont="1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21" fillId="0" borderId="35" xfId="0" applyFont="1" applyBorder="1"/>
    <xf numFmtId="0" fontId="21" fillId="0" borderId="8" xfId="0" applyFont="1" applyBorder="1"/>
    <xf numFmtId="0" fontId="21" fillId="0" borderId="10" xfId="0" applyFont="1" applyBorder="1"/>
    <xf numFmtId="0" fontId="0" fillId="0" borderId="38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43" fillId="0" borderId="0" xfId="11"/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10" xfId="0" applyBorder="1"/>
    <xf numFmtId="0" fontId="5" fillId="6" borderId="13" xfId="0" applyFont="1" applyFill="1" applyBorder="1" applyAlignment="1">
      <alignment horizontal="center"/>
    </xf>
    <xf numFmtId="0" fontId="0" fillId="9" borderId="15" xfId="0" applyFill="1" applyBorder="1"/>
    <xf numFmtId="0" fontId="5" fillId="6" borderId="30" xfId="0" applyFont="1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167" fontId="18" fillId="0" borderId="1" xfId="1" applyNumberFormat="1" applyFont="1" applyFill="1" applyBorder="1" applyAlignment="1">
      <alignment horizontal="center" vertical="center"/>
    </xf>
    <xf numFmtId="49" fontId="18" fillId="0" borderId="1" xfId="2" applyNumberFormat="1" applyFont="1" applyBorder="1" applyAlignment="1">
      <alignment horizontal="left" vertical="top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72" fontId="0" fillId="0" borderId="0" xfId="0" applyNumberFormat="1" applyAlignment="1">
      <alignment vertical="top" wrapText="1"/>
    </xf>
    <xf numFmtId="172" fontId="0" fillId="0" borderId="0" xfId="0" applyNumberFormat="1"/>
    <xf numFmtId="14" fontId="19" fillId="0" borderId="0" xfId="0" applyNumberFormat="1" applyFont="1" applyAlignment="1">
      <alignment horizontal="right" vertical="center" wrapText="1"/>
    </xf>
    <xf numFmtId="0" fontId="0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/>
    <xf numFmtId="0" fontId="0" fillId="0" borderId="0" xfId="0" applyFill="1" applyBorder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/>
    </xf>
    <xf numFmtId="172" fontId="0" fillId="0" borderId="0" xfId="0" applyNumberFormat="1" applyAlignment="1">
      <alignment vertical="top"/>
    </xf>
    <xf numFmtId="173" fontId="20" fillId="3" borderId="4" xfId="14" applyNumberFormat="1" applyFont="1" applyFill="1" applyBorder="1" applyAlignment="1">
      <alignment horizontal="center" vertical="center" wrapText="1"/>
    </xf>
    <xf numFmtId="0" fontId="0" fillId="3" borderId="31" xfId="0" applyFill="1" applyBorder="1"/>
    <xf numFmtId="0" fontId="0" fillId="3" borderId="34" xfId="0" applyFill="1" applyBorder="1"/>
    <xf numFmtId="0" fontId="0" fillId="0" borderId="1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6" fillId="0" borderId="0" xfId="4" applyFont="1" applyFill="1" applyBorder="1" applyAlignment="1">
      <alignment horizontal="center" vertical="top"/>
    </xf>
    <xf numFmtId="49" fontId="25" fillId="0" borderId="13" xfId="0" applyNumberFormat="1" applyFont="1" applyBorder="1" applyAlignment="1">
      <alignment horizontal="center"/>
    </xf>
    <xf numFmtId="49" fontId="0" fillId="0" borderId="16" xfId="0" applyNumberFormat="1" applyBorder="1"/>
    <xf numFmtId="49" fontId="0" fillId="0" borderId="40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0" borderId="0" xfId="0" applyNumberFormat="1"/>
    <xf numFmtId="0" fontId="23" fillId="0" borderId="0" xfId="2" applyFont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8" fillId="3" borderId="8" xfId="2" applyFont="1" applyFill="1" applyBorder="1" applyAlignment="1">
      <alignment horizontal="center" vertical="center"/>
    </xf>
    <xf numFmtId="0" fontId="18" fillId="0" borderId="0" xfId="0" applyFont="1" applyBorder="1"/>
    <xf numFmtId="2" fontId="0" fillId="0" borderId="43" xfId="0" applyNumberFormat="1" applyFill="1" applyBorder="1" applyAlignment="1">
      <alignment horizontal="center" vertical="center" wrapText="1"/>
    </xf>
    <xf numFmtId="0" fontId="0" fillId="0" borderId="43" xfId="0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43" xfId="0" applyBorder="1" applyAlignment="1">
      <alignment horizontal="center"/>
    </xf>
    <xf numFmtId="49" fontId="0" fillId="0" borderId="11" xfId="0" applyNumberFormat="1" applyBorder="1" applyAlignment="1">
      <alignment horizontal="center" vertical="center"/>
    </xf>
    <xf numFmtId="0" fontId="6" fillId="0" borderId="1" xfId="4" applyFont="1" applyFill="1" applyBorder="1" applyAlignment="1">
      <alignment horizontal="center" vertical="top"/>
    </xf>
    <xf numFmtId="49" fontId="0" fillId="0" borderId="1" xfId="0" applyNumberFormat="1" applyBorder="1" applyAlignment="1">
      <alignment horizontal="center" vertical="center"/>
    </xf>
    <xf numFmtId="0" fontId="18" fillId="3" borderId="43" xfId="2" applyFont="1" applyFill="1" applyBorder="1" applyAlignment="1">
      <alignment horizontal="center" vertical="center"/>
    </xf>
    <xf numFmtId="49" fontId="18" fillId="3" borderId="43" xfId="2" applyNumberFormat="1" applyFont="1" applyFill="1" applyBorder="1" applyAlignment="1">
      <alignment horizontal="center" vertical="center"/>
    </xf>
    <xf numFmtId="0" fontId="19" fillId="5" borderId="0" xfId="2" applyFont="1" applyFill="1" applyBorder="1" applyAlignment="1">
      <alignment horizontal="center" vertical="center"/>
    </xf>
    <xf numFmtId="49" fontId="19" fillId="5" borderId="0" xfId="2" applyNumberFormat="1" applyFont="1" applyFill="1" applyBorder="1" applyAlignment="1">
      <alignment horizontal="center" vertical="center"/>
    </xf>
    <xf numFmtId="0" fontId="18" fillId="0" borderId="0" xfId="2" applyFont="1" applyBorder="1" applyAlignment="1">
      <alignment horizontal="center" vertical="center" wrapText="1"/>
    </xf>
    <xf numFmtId="0" fontId="18" fillId="0" borderId="0" xfId="2" applyFont="1" applyBorder="1" applyAlignment="1">
      <alignment horizontal="left" vertical="center"/>
    </xf>
    <xf numFmtId="49" fontId="18" fillId="0" borderId="0" xfId="2" applyNumberFormat="1" applyFont="1" applyBorder="1" applyAlignment="1">
      <alignment horizontal="center" vertical="top" wrapText="1"/>
    </xf>
    <xf numFmtId="0" fontId="18" fillId="0" borderId="0" xfId="2" applyFont="1" applyBorder="1" applyAlignment="1">
      <alignment horizontal="center" vertical="top" wrapText="1"/>
    </xf>
    <xf numFmtId="167" fontId="18" fillId="0" borderId="0" xfId="2" applyNumberFormat="1" applyFont="1" applyBorder="1" applyAlignment="1">
      <alignment horizontal="center" vertical="center"/>
    </xf>
    <xf numFmtId="49" fontId="18" fillId="0" borderId="0" xfId="2" applyNumberFormat="1" applyFont="1" applyFill="1" applyBorder="1" applyAlignment="1">
      <alignment horizontal="left" vertical="center"/>
    </xf>
    <xf numFmtId="167" fontId="19" fillId="5" borderId="0" xfId="2" applyNumberFormat="1" applyFont="1" applyFill="1" applyBorder="1" applyAlignment="1">
      <alignment horizontal="center" vertical="center"/>
    </xf>
    <xf numFmtId="0" fontId="19" fillId="4" borderId="0" xfId="2" applyFont="1" applyFill="1" applyBorder="1" applyAlignment="1">
      <alignment horizontal="center" vertical="center"/>
    </xf>
    <xf numFmtId="0" fontId="18" fillId="4" borderId="0" xfId="2" applyFont="1" applyFill="1" applyBorder="1" applyAlignment="1">
      <alignment horizontal="left" vertical="center"/>
    </xf>
    <xf numFmtId="167" fontId="19" fillId="4" borderId="0" xfId="2" applyNumberFormat="1" applyFont="1" applyFill="1" applyBorder="1" applyAlignment="1">
      <alignment horizontal="center" vertical="center"/>
    </xf>
    <xf numFmtId="49" fontId="19" fillId="4" borderId="0" xfId="2" applyNumberFormat="1" applyFont="1" applyFill="1" applyBorder="1" applyAlignment="1">
      <alignment horizontal="center" vertical="center"/>
    </xf>
    <xf numFmtId="170" fontId="18" fillId="0" borderId="0" xfId="2" applyNumberFormat="1" applyFont="1" applyBorder="1" applyAlignment="1">
      <alignment horizontal="center" vertical="top" wrapText="1"/>
    </xf>
    <xf numFmtId="0" fontId="18" fillId="0" borderId="0" xfId="2" applyFont="1" applyBorder="1" applyAlignment="1">
      <alignment horizontal="left"/>
    </xf>
    <xf numFmtId="167" fontId="18" fillId="4" borderId="0" xfId="2" applyNumberFormat="1" applyFont="1" applyFill="1" applyBorder="1" applyAlignment="1">
      <alignment horizontal="center" vertical="center"/>
    </xf>
    <xf numFmtId="49" fontId="18" fillId="4" borderId="0" xfId="2" applyNumberFormat="1" applyFont="1" applyFill="1" applyBorder="1" applyAlignment="1">
      <alignment horizontal="center" vertical="center"/>
    </xf>
    <xf numFmtId="0" fontId="18" fillId="4" borderId="0" xfId="2" applyFont="1" applyFill="1" applyBorder="1" applyAlignment="1">
      <alignment horizontal="center" vertical="center"/>
    </xf>
    <xf numFmtId="49" fontId="18" fillId="0" borderId="0" xfId="2" applyNumberFormat="1" applyFont="1" applyBorder="1" applyAlignment="1">
      <alignment horizontal="center" vertical="top"/>
    </xf>
    <xf numFmtId="170" fontId="18" fillId="0" borderId="0" xfId="2" applyNumberFormat="1" applyFont="1" applyBorder="1" applyAlignment="1">
      <alignment horizontal="center"/>
    </xf>
    <xf numFmtId="0" fontId="19" fillId="5" borderId="0" xfId="2" applyFont="1" applyFill="1" applyBorder="1" applyAlignment="1">
      <alignment horizontal="left" vertical="center"/>
    </xf>
    <xf numFmtId="0" fontId="19" fillId="5" borderId="0" xfId="2" applyFont="1" applyFill="1" applyBorder="1" applyAlignment="1">
      <alignment horizontal="center"/>
    </xf>
    <xf numFmtId="0" fontId="19" fillId="5" borderId="0" xfId="2" applyFont="1" applyFill="1" applyBorder="1" applyAlignment="1"/>
    <xf numFmtId="167" fontId="18" fillId="0" borderId="0" xfId="2" applyNumberFormat="1" applyFont="1" applyBorder="1" applyAlignment="1">
      <alignment horizontal="right"/>
    </xf>
    <xf numFmtId="167" fontId="18" fillId="0" borderId="0" xfId="2" applyNumberFormat="1" applyFont="1" applyFill="1" applyBorder="1" applyAlignment="1">
      <alignment horizontal="center" vertical="center"/>
    </xf>
    <xf numFmtId="49" fontId="18" fillId="0" borderId="0" xfId="2" applyNumberFormat="1" applyFont="1" applyBorder="1"/>
    <xf numFmtId="167" fontId="18" fillId="0" borderId="0" xfId="2" applyNumberFormat="1" applyFont="1" applyFill="1" applyBorder="1" applyAlignment="1">
      <alignment horizontal="right"/>
    </xf>
    <xf numFmtId="167" fontId="18" fillId="0" borderId="0" xfId="2" applyNumberFormat="1" applyFont="1" applyFill="1" applyBorder="1" applyAlignment="1">
      <alignment horizontal="right" vertical="top"/>
    </xf>
    <xf numFmtId="0" fontId="18" fillId="0" borderId="0" xfId="2" applyFont="1" applyBorder="1" applyAlignment="1">
      <alignment horizontal="right"/>
    </xf>
    <xf numFmtId="0" fontId="18" fillId="0" borderId="0" xfId="2" applyFont="1" applyBorder="1"/>
    <xf numFmtId="0" fontId="18" fillId="0" borderId="1" xfId="0" applyFont="1" applyBorder="1"/>
    <xf numFmtId="173" fontId="18" fillId="0" borderId="1" xfId="14" applyNumberFormat="1" applyFont="1" applyBorder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22" fillId="0" borderId="0" xfId="2"/>
    <xf numFmtId="0" fontId="18" fillId="0" borderId="0" xfId="2" applyFont="1" applyAlignment="1">
      <alignment horizontal="center" vertical="center"/>
    </xf>
    <xf numFmtId="49" fontId="18" fillId="0" borderId="0" xfId="2" applyNumberFormat="1" applyFont="1" applyAlignment="1">
      <alignment horizontal="center" vertical="center"/>
    </xf>
    <xf numFmtId="0" fontId="18" fillId="0" borderId="0" xfId="2" applyFont="1" applyAlignment="1">
      <alignment horizontal="left" vertical="center"/>
    </xf>
    <xf numFmtId="165" fontId="18" fillId="0" borderId="0" xfId="2" applyNumberFormat="1" applyFont="1" applyBorder="1" applyAlignment="1">
      <alignment horizontal="right" vertical="top"/>
    </xf>
    <xf numFmtId="167" fontId="30" fillId="0" borderId="0" xfId="2" applyNumberFormat="1" applyFont="1" applyFill="1" applyBorder="1" applyAlignment="1">
      <alignment horizontal="center" vertical="top"/>
    </xf>
    <xf numFmtId="0" fontId="33" fillId="12" borderId="0" xfId="2" applyFont="1" applyFill="1" applyAlignment="1">
      <alignment horizontal="center"/>
    </xf>
    <xf numFmtId="0" fontId="22" fillId="12" borderId="0" xfId="2" applyFont="1" applyFill="1" applyAlignment="1">
      <alignment horizontal="center"/>
    </xf>
    <xf numFmtId="0" fontId="31" fillId="12" borderId="0" xfId="2" applyFont="1" applyFill="1" applyBorder="1" applyAlignment="1">
      <alignment horizontal="center" vertical="center"/>
    </xf>
    <xf numFmtId="0" fontId="22" fillId="12" borderId="0" xfId="2" applyFill="1" applyAlignment="1">
      <alignment horizontal="center"/>
    </xf>
    <xf numFmtId="0" fontId="31" fillId="12" borderId="0" xfId="2" applyFont="1" applyFill="1" applyBorder="1" applyAlignment="1"/>
    <xf numFmtId="167" fontId="30" fillId="12" borderId="0" xfId="2" applyNumberFormat="1" applyFont="1" applyFill="1" applyBorder="1" applyAlignment="1">
      <alignment horizontal="center" vertical="top"/>
    </xf>
    <xf numFmtId="0" fontId="30" fillId="12" borderId="0" xfId="2" applyFont="1" applyFill="1" applyBorder="1" applyAlignment="1">
      <alignment horizontal="center" vertical="top"/>
    </xf>
    <xf numFmtId="1" fontId="30" fillId="12" borderId="0" xfId="2" applyNumberFormat="1" applyFont="1" applyFill="1" applyBorder="1" applyAlignment="1">
      <alignment horizontal="center"/>
    </xf>
    <xf numFmtId="0" fontId="30" fillId="12" borderId="0" xfId="2" applyFont="1" applyFill="1" applyBorder="1" applyAlignment="1">
      <alignment vertical="top"/>
    </xf>
    <xf numFmtId="0" fontId="22" fillId="12" borderId="0" xfId="2" applyFill="1"/>
    <xf numFmtId="0" fontId="33" fillId="2" borderId="0" xfId="2" applyFont="1" applyFill="1" applyAlignment="1">
      <alignment horizontal="center"/>
    </xf>
    <xf numFmtId="0" fontId="22" fillId="2" borderId="0" xfId="2" applyFont="1" applyFill="1" applyAlignment="1">
      <alignment horizontal="center"/>
    </xf>
    <xf numFmtId="0" fontId="31" fillId="2" borderId="0" xfId="2" applyFont="1" applyFill="1" applyBorder="1" applyAlignment="1">
      <alignment horizontal="center" vertical="center"/>
    </xf>
    <xf numFmtId="0" fontId="22" fillId="2" borderId="0" xfId="2" applyFill="1" applyAlignment="1">
      <alignment horizontal="center"/>
    </xf>
    <xf numFmtId="0" fontId="31" fillId="2" borderId="0" xfId="2" applyFont="1" applyFill="1" applyBorder="1" applyAlignment="1"/>
    <xf numFmtId="167" fontId="30" fillId="2" borderId="0" xfId="2" applyNumberFormat="1" applyFont="1" applyFill="1" applyBorder="1" applyAlignment="1">
      <alignment horizontal="center" vertical="top"/>
    </xf>
    <xf numFmtId="0" fontId="30" fillId="2" borderId="0" xfId="2" applyFont="1" applyFill="1" applyBorder="1" applyAlignment="1">
      <alignment horizontal="center" vertical="top"/>
    </xf>
    <xf numFmtId="1" fontId="30" fillId="2" borderId="0" xfId="2" applyNumberFormat="1" applyFont="1" applyFill="1" applyBorder="1" applyAlignment="1">
      <alignment horizontal="center"/>
    </xf>
    <xf numFmtId="0" fontId="30" fillId="2" borderId="0" xfId="2" applyFont="1" applyFill="1" applyBorder="1" applyAlignment="1">
      <alignment vertical="top"/>
    </xf>
    <xf numFmtId="0" fontId="22" fillId="2" borderId="0" xfId="2" applyFill="1"/>
    <xf numFmtId="0" fontId="33" fillId="13" borderId="0" xfId="2" applyFont="1" applyFill="1" applyAlignment="1">
      <alignment horizontal="center"/>
    </xf>
    <xf numFmtId="0" fontId="22" fillId="13" borderId="0" xfId="2" applyFont="1" applyFill="1" applyAlignment="1">
      <alignment horizontal="center"/>
    </xf>
    <xf numFmtId="0" fontId="31" fillId="13" borderId="0" xfId="2" applyFont="1" applyFill="1" applyBorder="1" applyAlignment="1">
      <alignment horizontal="center" vertical="center"/>
    </xf>
    <xf numFmtId="0" fontId="22" fillId="13" borderId="0" xfId="2" applyFill="1" applyAlignment="1">
      <alignment horizontal="center"/>
    </xf>
    <xf numFmtId="0" fontId="31" fillId="13" borderId="0" xfId="2" applyFont="1" applyFill="1" applyBorder="1" applyAlignment="1"/>
    <xf numFmtId="167" fontId="30" fillId="13" borderId="0" xfId="2" applyNumberFormat="1" applyFont="1" applyFill="1" applyBorder="1" applyAlignment="1">
      <alignment horizontal="center" vertical="top"/>
    </xf>
    <xf numFmtId="0" fontId="30" fillId="13" borderId="0" xfId="2" applyFont="1" applyFill="1" applyBorder="1" applyAlignment="1">
      <alignment horizontal="center" vertical="top"/>
    </xf>
    <xf numFmtId="1" fontId="30" fillId="13" borderId="0" xfId="2" applyNumberFormat="1" applyFont="1" applyFill="1" applyBorder="1" applyAlignment="1">
      <alignment horizontal="center"/>
    </xf>
    <xf numFmtId="0" fontId="30" fillId="13" borderId="0" xfId="2" applyFont="1" applyFill="1" applyBorder="1" applyAlignment="1">
      <alignment vertical="top"/>
    </xf>
    <xf numFmtId="0" fontId="22" fillId="13" borderId="0" xfId="2" applyFill="1"/>
    <xf numFmtId="167" fontId="0" fillId="12" borderId="0" xfId="2" applyNumberFormat="1" applyFont="1" applyFill="1" applyBorder="1" applyAlignment="1">
      <alignment horizontal="center" vertical="top"/>
    </xf>
    <xf numFmtId="43" fontId="0" fillId="0" borderId="0" xfId="23" applyFont="1"/>
    <xf numFmtId="3" fontId="0" fillId="0" borderId="0" xfId="0" applyNumberFormat="1"/>
    <xf numFmtId="0" fontId="0" fillId="0" borderId="32" xfId="0" applyFill="1" applyBorder="1" applyAlignment="1">
      <alignment horizontal="center" vertical="center"/>
    </xf>
    <xf numFmtId="0" fontId="0" fillId="0" borderId="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0" fillId="3" borderId="4" xfId="0" applyFont="1" applyFill="1" applyBorder="1" applyAlignment="1">
      <alignment horizontal="center"/>
    </xf>
    <xf numFmtId="0" fontId="0" fillId="0" borderId="0" xfId="0" applyFont="1" applyAlignment="1">
      <alignment vertical="top" wrapText="1"/>
    </xf>
    <xf numFmtId="0" fontId="0" fillId="0" borderId="0" xfId="0" applyFont="1"/>
    <xf numFmtId="0" fontId="0" fillId="0" borderId="0" xfId="0" applyFont="1" applyAlignment="1">
      <alignment horizontal="center" vertical="center"/>
    </xf>
    <xf numFmtId="0" fontId="19" fillId="0" borderId="0" xfId="2" applyFont="1" applyFill="1" applyBorder="1" applyAlignment="1">
      <alignment horizontal="center" vertical="center"/>
    </xf>
    <xf numFmtId="0" fontId="19" fillId="0" borderId="0" xfId="2" applyFont="1" applyFill="1" applyAlignment="1">
      <alignment horizontal="center" vertical="center"/>
    </xf>
    <xf numFmtId="0" fontId="18" fillId="0" borderId="0" xfId="2" applyNumberFormat="1" applyFont="1" applyFill="1" applyBorder="1" applyAlignment="1"/>
    <xf numFmtId="49" fontId="18" fillId="0" borderId="0" xfId="1" applyNumberFormat="1" applyFont="1" applyFill="1" applyBorder="1" applyAlignment="1" applyProtection="1">
      <alignment horizontal="left" vertical="top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/>
    <xf numFmtId="167" fontId="30" fillId="0" borderId="0" xfId="0" applyNumberFormat="1" applyFont="1" applyBorder="1" applyAlignment="1">
      <alignment horizontal="center" vertical="top"/>
    </xf>
    <xf numFmtId="49" fontId="30" fillId="0" borderId="0" xfId="0" applyNumberFormat="1" applyFont="1" applyBorder="1" applyAlignment="1">
      <alignment horizontal="center" vertical="top" wrapText="1"/>
    </xf>
    <xf numFmtId="170" fontId="30" fillId="0" borderId="0" xfId="0" applyNumberFormat="1" applyFont="1" applyBorder="1" applyAlignment="1">
      <alignment horizontal="center" vertical="top" wrapText="1"/>
    </xf>
    <xf numFmtId="0" fontId="30" fillId="0" borderId="0" xfId="0" applyFont="1" applyBorder="1" applyAlignment="1">
      <alignment vertical="top"/>
    </xf>
    <xf numFmtId="0" fontId="0" fillId="0" borderId="0" xfId="0" applyFont="1" applyFill="1" applyAlignment="1">
      <alignment horizontal="center"/>
    </xf>
    <xf numFmtId="0" fontId="31" fillId="0" borderId="0" xfId="0" applyFont="1" applyFill="1" applyBorder="1" applyAlignment="1">
      <alignment horizontal="center" vertical="center"/>
    </xf>
    <xf numFmtId="0" fontId="18" fillId="6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top" wrapText="1"/>
    </xf>
    <xf numFmtId="0" fontId="30" fillId="0" borderId="0" xfId="0" applyFont="1" applyBorder="1" applyAlignment="1">
      <alignment horizontal="center" vertical="top"/>
    </xf>
    <xf numFmtId="170" fontId="30" fillId="0" borderId="0" xfId="0" applyNumberFormat="1" applyFont="1" applyBorder="1" applyAlignment="1">
      <alignment horizontal="center"/>
    </xf>
    <xf numFmtId="0" fontId="31" fillId="0" borderId="0" xfId="0" applyFont="1" applyBorder="1" applyAlignment="1">
      <alignment vertical="top"/>
    </xf>
    <xf numFmtId="0" fontId="33" fillId="0" borderId="0" xfId="0" applyFont="1" applyAlignment="1">
      <alignment horizontal="center"/>
    </xf>
    <xf numFmtId="0" fontId="33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8" fillId="0" borderId="0" xfId="0" applyFont="1" applyFill="1" applyBorder="1" applyAlignment="1"/>
    <xf numFmtId="165" fontId="18" fillId="0" borderId="0" xfId="0" applyNumberFormat="1" applyFont="1" applyFill="1" applyBorder="1" applyAlignment="1">
      <alignment horizontal="center" vertical="center"/>
    </xf>
    <xf numFmtId="49" fontId="18" fillId="0" borderId="0" xfId="0" applyNumberFormat="1" applyFont="1" applyFill="1" applyAlignment="1">
      <alignment horizontal="center" vertical="center" wrapText="1"/>
    </xf>
    <xf numFmtId="170" fontId="18" fillId="0" borderId="0" xfId="0" applyNumberFormat="1" applyFont="1" applyFill="1" applyAlignment="1">
      <alignment horizontal="center" vertical="top" wrapText="1"/>
    </xf>
    <xf numFmtId="0" fontId="18" fillId="0" borderId="0" xfId="0" applyFont="1" applyFill="1" applyAlignment="1">
      <alignment vertical="top"/>
    </xf>
    <xf numFmtId="1" fontId="30" fillId="0" borderId="0" xfId="0" applyNumberFormat="1" applyFont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/>
    </xf>
    <xf numFmtId="0" fontId="18" fillId="0" borderId="0" xfId="0" applyFont="1" applyBorder="1" applyAlignment="1">
      <alignment horizontal="center" vertical="center"/>
    </xf>
    <xf numFmtId="167" fontId="0" fillId="0" borderId="0" xfId="2" applyNumberFormat="1" applyFont="1" applyFill="1" applyBorder="1" applyAlignment="1">
      <alignment horizontal="center" vertical="top"/>
    </xf>
    <xf numFmtId="0" fontId="31" fillId="0" borderId="0" xfId="0" applyFont="1" applyFill="1" applyBorder="1" applyAlignment="1">
      <alignment vertical="top"/>
    </xf>
    <xf numFmtId="167" fontId="30" fillId="0" borderId="0" xfId="0" applyNumberFormat="1" applyFont="1" applyFill="1" applyBorder="1" applyAlignment="1">
      <alignment horizontal="center" vertical="top"/>
    </xf>
    <xf numFmtId="0" fontId="30" fillId="0" borderId="0" xfId="0" applyFont="1" applyFill="1" applyBorder="1" applyAlignment="1">
      <alignment horizontal="center" vertical="top" wrapText="1"/>
    </xf>
    <xf numFmtId="170" fontId="30" fillId="0" borderId="0" xfId="0" applyNumberFormat="1" applyFont="1" applyFill="1" applyBorder="1" applyAlignment="1">
      <alignment horizontal="center" vertical="top" wrapText="1"/>
    </xf>
    <xf numFmtId="0" fontId="30" fillId="0" borderId="0" xfId="0" applyFont="1" applyFill="1" applyBorder="1" applyAlignment="1">
      <alignment vertical="top"/>
    </xf>
    <xf numFmtId="0" fontId="22" fillId="0" borderId="0" xfId="2" applyFill="1"/>
    <xf numFmtId="0" fontId="31" fillId="0" borderId="0" xfId="0" applyFont="1" applyFill="1" applyBorder="1" applyAlignment="1"/>
    <xf numFmtId="0" fontId="30" fillId="0" borderId="0" xfId="0" applyFont="1" applyFill="1" applyBorder="1" applyAlignment="1">
      <alignment horizontal="center" vertical="top"/>
    </xf>
    <xf numFmtId="170" fontId="30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center"/>
    </xf>
    <xf numFmtId="0" fontId="30" fillId="0" borderId="0" xfId="2" applyFont="1"/>
    <xf numFmtId="165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30" fillId="6" borderId="0" xfId="0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2" applyFont="1" applyAlignment="1">
      <alignment horizontal="center" vertical="center"/>
    </xf>
    <xf numFmtId="0" fontId="30" fillId="13" borderId="0" xfId="2" applyFont="1" applyFill="1" applyBorder="1" applyAlignment="1">
      <alignment horizontal="center" vertical="center"/>
    </xf>
    <xf numFmtId="0" fontId="30" fillId="2" borderId="0" xfId="2" applyFont="1" applyFill="1" applyBorder="1" applyAlignment="1">
      <alignment horizontal="center" vertical="center"/>
    </xf>
    <xf numFmtId="0" fontId="30" fillId="12" borderId="0" xfId="2" applyFont="1" applyFill="1" applyBorder="1" applyAlignment="1">
      <alignment horizontal="center" vertical="center"/>
    </xf>
    <xf numFmtId="0" fontId="33" fillId="12" borderId="0" xfId="0" applyFont="1" applyFill="1" applyAlignment="1">
      <alignment horizontal="center"/>
    </xf>
    <xf numFmtId="0" fontId="31" fillId="12" borderId="0" xfId="0" applyFont="1" applyFill="1" applyBorder="1" applyAlignment="1">
      <alignment horizontal="center" vertical="center"/>
    </xf>
    <xf numFmtId="0" fontId="0" fillId="12" borderId="0" xfId="0" applyFill="1" applyAlignment="1">
      <alignment horizontal="center"/>
    </xf>
    <xf numFmtId="0" fontId="31" fillId="12" borderId="0" xfId="0" applyFont="1" applyFill="1" applyBorder="1" applyAlignment="1"/>
    <xf numFmtId="167" fontId="30" fillId="12" borderId="0" xfId="0" applyNumberFormat="1" applyFont="1" applyFill="1" applyBorder="1" applyAlignment="1">
      <alignment horizontal="center" vertical="top"/>
    </xf>
    <xf numFmtId="0" fontId="30" fillId="12" borderId="0" xfId="0" applyFont="1" applyFill="1" applyBorder="1" applyAlignment="1">
      <alignment horizontal="center" vertical="top"/>
    </xf>
    <xf numFmtId="1" fontId="30" fillId="12" borderId="0" xfId="0" applyNumberFormat="1" applyFont="1" applyFill="1" applyBorder="1" applyAlignment="1">
      <alignment horizontal="center"/>
    </xf>
    <xf numFmtId="0" fontId="30" fillId="12" borderId="0" xfId="0" applyFont="1" applyFill="1" applyBorder="1" applyAlignment="1">
      <alignment vertical="top"/>
    </xf>
    <xf numFmtId="0" fontId="0" fillId="12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18" fillId="0" borderId="0" xfId="0" applyFont="1"/>
    <xf numFmtId="0" fontId="18" fillId="14" borderId="1" xfId="0" applyFont="1" applyFill="1" applyBorder="1"/>
    <xf numFmtId="173" fontId="18" fillId="14" borderId="43" xfId="14" applyNumberFormat="1" applyFont="1" applyFill="1" applyBorder="1"/>
    <xf numFmtId="0" fontId="18" fillId="0" borderId="31" xfId="0" applyFont="1" applyBorder="1"/>
    <xf numFmtId="173" fontId="18" fillId="0" borderId="34" xfId="14" applyNumberFormat="1" applyFont="1" applyBorder="1"/>
    <xf numFmtId="0" fontId="0" fillId="0" borderId="0" xfId="0" applyBorder="1" applyAlignment="1"/>
    <xf numFmtId="0" fontId="0" fillId="0" borderId="1" xfId="0" applyBorder="1" applyAlignment="1">
      <alignment horizontal="center" vertical="center"/>
    </xf>
    <xf numFmtId="0" fontId="19" fillId="10" borderId="1" xfId="0" applyFont="1" applyFill="1" applyBorder="1" applyAlignment="1">
      <alignment horizontal="center"/>
    </xf>
    <xf numFmtId="173" fontId="19" fillId="10" borderId="1" xfId="14" applyNumberFormat="1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8" fillId="14" borderId="43" xfId="0" applyFont="1" applyFill="1" applyBorder="1"/>
    <xf numFmtId="49" fontId="18" fillId="0" borderId="0" xfId="2" applyNumberFormat="1" applyFont="1" applyBorder="1" applyAlignment="1">
      <alignment horizontal="left" vertical="top"/>
    </xf>
    <xf numFmtId="49" fontId="18" fillId="0" borderId="0" xfId="2" applyNumberFormat="1" applyFont="1" applyFill="1" applyBorder="1" applyAlignment="1"/>
    <xf numFmtId="0" fontId="19" fillId="7" borderId="3" xfId="2" applyFont="1" applyFill="1" applyBorder="1" applyAlignment="1">
      <alignment vertical="center" wrapText="1"/>
    </xf>
    <xf numFmtId="49" fontId="18" fillId="0" borderId="0" xfId="0" applyNumberFormat="1" applyFont="1" applyFill="1" applyBorder="1" applyAlignment="1"/>
    <xf numFmtId="165" fontId="18" fillId="0" borderId="0" xfId="0" applyNumberFormat="1" applyFont="1" applyBorder="1" applyAlignment="1">
      <alignment horizontal="right" vertical="top"/>
    </xf>
    <xf numFmtId="0" fontId="62" fillId="0" borderId="0" xfId="26" applyFill="1" applyBorder="1" applyAlignment="1">
      <alignment horizontal="left" vertical="top"/>
    </xf>
    <xf numFmtId="0" fontId="63" fillId="0" borderId="0" xfId="26" applyFont="1" applyFill="1" applyBorder="1" applyAlignment="1">
      <alignment horizontal="left" vertical="top"/>
    </xf>
    <xf numFmtId="0" fontId="65" fillId="0" borderId="0" xfId="26" applyFont="1" applyFill="1" applyBorder="1" applyAlignment="1">
      <alignment horizontal="left" vertical="top"/>
    </xf>
    <xf numFmtId="0" fontId="64" fillId="0" borderId="0" xfId="26" applyFont="1" applyFill="1" applyBorder="1" applyAlignment="1">
      <alignment horizontal="left" vertical="top"/>
    </xf>
    <xf numFmtId="0" fontId="66" fillId="0" borderId="0" xfId="26" applyFont="1" applyFill="1" applyBorder="1" applyAlignment="1">
      <alignment horizontal="left" vertical="top"/>
    </xf>
    <xf numFmtId="0" fontId="67" fillId="0" borderId="0" xfId="26" applyFont="1" applyFill="1" applyBorder="1" applyAlignment="1">
      <alignment horizontal="left" vertical="top"/>
    </xf>
    <xf numFmtId="0" fontId="67" fillId="0" borderId="0" xfId="26" applyFont="1" applyFill="1" applyBorder="1" applyAlignment="1">
      <alignment horizontal="right" vertical="top"/>
    </xf>
    <xf numFmtId="0" fontId="64" fillId="0" borderId="47" xfId="26" applyFont="1" applyFill="1" applyBorder="1" applyAlignment="1">
      <alignment horizontal="left" vertical="top" wrapText="1"/>
    </xf>
    <xf numFmtId="0" fontId="67" fillId="0" borderId="0" xfId="26" applyFont="1" applyFill="1" applyBorder="1" applyAlignment="1">
      <alignment horizontal="left" vertical="top" wrapText="1"/>
    </xf>
    <xf numFmtId="0" fontId="62" fillId="0" borderId="0" xfId="26" applyFill="1" applyBorder="1" applyAlignment="1">
      <alignment horizontal="left" vertical="top" wrapText="1"/>
    </xf>
    <xf numFmtId="0" fontId="67" fillId="0" borderId="0" xfId="26" applyFont="1" applyFill="1" applyBorder="1" applyAlignment="1">
      <alignment horizontal="center" vertical="top"/>
    </xf>
    <xf numFmtId="174" fontId="7" fillId="0" borderId="47" xfId="26" applyNumberFormat="1" applyFont="1" applyFill="1" applyBorder="1" applyAlignment="1">
      <alignment horizontal="left" vertical="top" wrapText="1"/>
    </xf>
    <xf numFmtId="164" fontId="7" fillId="0" borderId="47" xfId="26" applyNumberFormat="1" applyFont="1" applyFill="1" applyBorder="1" applyAlignment="1">
      <alignment horizontal="center" vertical="top" wrapText="1"/>
    </xf>
    <xf numFmtId="164" fontId="7" fillId="0" borderId="44" xfId="26" applyNumberFormat="1" applyFont="1" applyFill="1" applyBorder="1" applyAlignment="1">
      <alignment horizontal="center" vertical="top" wrapText="1"/>
    </xf>
    <xf numFmtId="164" fontId="7" fillId="0" borderId="45" xfId="26" applyNumberFormat="1" applyFont="1" applyFill="1" applyBorder="1" applyAlignment="1">
      <alignment horizontal="center" vertical="top" wrapText="1"/>
    </xf>
    <xf numFmtId="164" fontId="7" fillId="0" borderId="46" xfId="26" applyNumberFormat="1" applyFont="1" applyFill="1" applyBorder="1" applyAlignment="1">
      <alignment horizontal="center" vertical="top" wrapText="1"/>
    </xf>
    <xf numFmtId="0" fontId="64" fillId="0" borderId="44" xfId="26" applyFont="1" applyFill="1" applyBorder="1" applyAlignment="1">
      <alignment horizontal="left" vertical="top" wrapText="1"/>
    </xf>
    <xf numFmtId="0" fontId="64" fillId="0" borderId="46" xfId="26" applyFont="1" applyFill="1" applyBorder="1" applyAlignment="1">
      <alignment horizontal="left" vertical="top" wrapText="1"/>
    </xf>
    <xf numFmtId="174" fontId="7" fillId="0" borderId="44" xfId="26" applyNumberFormat="1" applyFont="1" applyFill="1" applyBorder="1" applyAlignment="1">
      <alignment horizontal="left" vertical="top" wrapText="1"/>
    </xf>
    <xf numFmtId="174" fontId="7" fillId="0" borderId="45" xfId="26" applyNumberFormat="1" applyFont="1" applyFill="1" applyBorder="1" applyAlignment="1">
      <alignment horizontal="left" vertical="top" wrapText="1"/>
    </xf>
    <xf numFmtId="174" fontId="7" fillId="0" borderId="46" xfId="26" applyNumberFormat="1" applyFont="1" applyFill="1" applyBorder="1" applyAlignment="1">
      <alignment horizontal="left" vertical="top" wrapText="1"/>
    </xf>
    <xf numFmtId="0" fontId="64" fillId="0" borderId="45" xfId="26" applyFont="1" applyFill="1" applyBorder="1" applyAlignment="1">
      <alignment horizontal="left" vertical="top" wrapText="1"/>
    </xf>
    <xf numFmtId="0" fontId="62" fillId="0" borderId="0" xfId="26" applyFill="1" applyBorder="1" applyAlignment="1">
      <alignment horizontal="left" vertical="top" wrapText="1"/>
    </xf>
    <xf numFmtId="0" fontId="62" fillId="0" borderId="44" xfId="26" applyFill="1" applyBorder="1" applyAlignment="1">
      <alignment horizontal="left" vertical="top" wrapText="1"/>
    </xf>
    <xf numFmtId="0" fontId="62" fillId="0" borderId="46" xfId="26" applyFill="1" applyBorder="1" applyAlignment="1">
      <alignment horizontal="left" vertical="top" wrapText="1"/>
    </xf>
    <xf numFmtId="0" fontId="67" fillId="0" borderId="0" xfId="26" applyFont="1" applyFill="1" applyBorder="1" applyAlignment="1">
      <alignment horizontal="left" vertical="top" wrapText="1"/>
    </xf>
    <xf numFmtId="0" fontId="62" fillId="0" borderId="0" xfId="26" applyFill="1" applyBorder="1" applyAlignment="1">
      <alignment horizontal="center" vertical="top" wrapText="1"/>
    </xf>
    <xf numFmtId="0" fontId="67" fillId="0" borderId="0" xfId="26" applyFont="1" applyFill="1" applyBorder="1" applyAlignment="1">
      <alignment horizontal="left" vertical="center" wrapText="1"/>
    </xf>
    <xf numFmtId="0" fontId="63" fillId="0" borderId="0" xfId="26" applyFont="1" applyFill="1" applyBorder="1" applyAlignment="1">
      <alignment horizontal="left" vertical="top" wrapText="1"/>
    </xf>
    <xf numFmtId="174" fontId="7" fillId="0" borderId="0" xfId="26" applyNumberFormat="1" applyFont="1" applyFill="1" applyBorder="1" applyAlignment="1">
      <alignment horizontal="left" vertical="top" wrapText="1"/>
    </xf>
    <xf numFmtId="0" fontId="64" fillId="0" borderId="0" xfId="26" applyFont="1" applyFill="1" applyBorder="1" applyAlignment="1">
      <alignment horizontal="left" vertical="top" wrapText="1"/>
    </xf>
    <xf numFmtId="164" fontId="7" fillId="0" borderId="0" xfId="26" applyNumberFormat="1" applyFont="1" applyFill="1" applyBorder="1" applyAlignment="1">
      <alignment horizontal="left" vertical="top" wrapText="1"/>
    </xf>
    <xf numFmtId="0" fontId="63" fillId="0" borderId="48" xfId="26" applyFont="1" applyFill="1" applyBorder="1" applyAlignment="1">
      <alignment horizontal="left" vertical="top" wrapText="1"/>
    </xf>
    <xf numFmtId="0" fontId="64" fillId="0" borderId="48" xfId="26" applyFont="1" applyFill="1" applyBorder="1" applyAlignment="1">
      <alignment horizontal="left" vertical="top" wrapText="1"/>
    </xf>
    <xf numFmtId="0" fontId="62" fillId="0" borderId="0" xfId="26" applyFill="1" applyBorder="1" applyAlignment="1">
      <alignment horizontal="left" vertical="center" wrapText="1"/>
    </xf>
    <xf numFmtId="0" fontId="66" fillId="0" borderId="0" xfId="26" applyFont="1" applyFill="1" applyBorder="1" applyAlignment="1">
      <alignment horizontal="left" vertical="top" wrapText="1"/>
    </xf>
    <xf numFmtId="0" fontId="67" fillId="0" borderId="48" xfId="26" applyFont="1" applyFill="1" applyBorder="1" applyAlignment="1">
      <alignment horizontal="left" vertical="center" wrapText="1"/>
    </xf>
    <xf numFmtId="164" fontId="71" fillId="0" borderId="0" xfId="26" applyNumberFormat="1" applyFont="1" applyFill="1" applyBorder="1" applyAlignment="1">
      <alignment horizontal="left" vertical="top" wrapText="1"/>
    </xf>
    <xf numFmtId="175" fontId="7" fillId="0" borderId="0" xfId="26" applyNumberFormat="1" applyFont="1" applyFill="1" applyBorder="1" applyAlignment="1">
      <alignment horizontal="left" vertical="top" wrapText="1"/>
    </xf>
    <xf numFmtId="174" fontId="7" fillId="0" borderId="44" xfId="26" applyNumberFormat="1" applyFont="1" applyFill="1" applyBorder="1" applyAlignment="1">
      <alignment horizontal="center" vertical="top" wrapText="1"/>
    </xf>
    <xf numFmtId="174" fontId="7" fillId="0" borderId="45" xfId="26" applyNumberFormat="1" applyFont="1" applyFill="1" applyBorder="1" applyAlignment="1">
      <alignment horizontal="center" vertical="top" wrapText="1"/>
    </xf>
    <xf numFmtId="174" fontId="7" fillId="0" borderId="46" xfId="26" applyNumberFormat="1" applyFont="1" applyFill="1" applyBorder="1" applyAlignment="1">
      <alignment horizontal="center" vertical="top" wrapText="1"/>
    </xf>
    <xf numFmtId="49" fontId="18" fillId="0" borderId="0" xfId="0" applyNumberFormat="1" applyFont="1" applyAlignment="1">
      <alignment vertical="center" wrapText="1"/>
    </xf>
    <xf numFmtId="0" fontId="25" fillId="0" borderId="13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0" borderId="31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13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4" fillId="0" borderId="23" xfId="0" applyFont="1" applyBorder="1" applyAlignment="1">
      <alignment horizontal="center"/>
    </xf>
    <xf numFmtId="0" fontId="4" fillId="0" borderId="2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23" fillId="0" borderId="0" xfId="2" applyFont="1" applyBorder="1" applyAlignment="1">
      <alignment horizontal="center" vertical="center"/>
    </xf>
    <xf numFmtId="0" fontId="19" fillId="3" borderId="4" xfId="2" applyFont="1" applyFill="1" applyBorder="1" applyAlignment="1">
      <alignment horizontal="center" vertical="center"/>
    </xf>
    <xf numFmtId="0" fontId="18" fillId="3" borderId="11" xfId="2" applyFont="1" applyFill="1" applyBorder="1" applyAlignment="1">
      <alignment horizontal="center" vertical="center"/>
    </xf>
    <xf numFmtId="0" fontId="19" fillId="3" borderId="5" xfId="2" applyFont="1" applyFill="1" applyBorder="1" applyAlignment="1">
      <alignment horizontal="center" vertical="center"/>
    </xf>
    <xf numFmtId="0" fontId="18" fillId="3" borderId="12" xfId="2" applyFont="1" applyFill="1" applyBorder="1" applyAlignment="1">
      <alignment horizontal="center" vertical="center"/>
    </xf>
    <xf numFmtId="0" fontId="18" fillId="3" borderId="8" xfId="2" applyFont="1" applyFill="1" applyBorder="1" applyAlignment="1">
      <alignment horizontal="center" vertical="center"/>
    </xf>
    <xf numFmtId="0" fontId="18" fillId="3" borderId="10" xfId="2" applyFont="1" applyFill="1" applyBorder="1" applyAlignment="1">
      <alignment horizontal="center" vertical="center"/>
    </xf>
    <xf numFmtId="14" fontId="18" fillId="0" borderId="0" xfId="0" applyNumberFormat="1" applyFont="1" applyAlignment="1">
      <alignment vertical="center" wrapText="1"/>
    </xf>
    <xf numFmtId="0" fontId="18" fillId="0" borderId="6" xfId="0" applyFont="1" applyBorder="1" applyAlignment="1">
      <alignment horizontal="right" vertical="center" wrapText="1"/>
    </xf>
    <xf numFmtId="0" fontId="18" fillId="0" borderId="11" xfId="0" applyFont="1" applyBorder="1" applyAlignment="1">
      <alignment horizontal="right" vertical="center" wrapText="1"/>
    </xf>
  </cellXfs>
  <cellStyles count="27">
    <cellStyle name="Гиперссылка" xfId="11" builtinId="8"/>
    <cellStyle name="Денежный" xfId="14" builtinId="4"/>
    <cellStyle name="Денежный 2" xfId="9"/>
    <cellStyle name="Обычный" xfId="0" builtinId="0"/>
    <cellStyle name="Обычный 10" xfId="12"/>
    <cellStyle name="Обычный 11" xfId="13"/>
    <cellStyle name="Обычный 12" xfId="15"/>
    <cellStyle name="Обычный 13" xfId="16"/>
    <cellStyle name="Обычный 14" xfId="17"/>
    <cellStyle name="Обычный 15" xfId="18"/>
    <cellStyle name="Обычный 16" xfId="19"/>
    <cellStyle name="Обычный 17" xfId="20"/>
    <cellStyle name="Обычный 18" xfId="21"/>
    <cellStyle name="Обычный 19" xfId="22"/>
    <cellStyle name="Обычный 2" xfId="1"/>
    <cellStyle name="Обычный 20" xfId="25"/>
    <cellStyle name="Обычный 21" xfId="26"/>
    <cellStyle name="Обычный 3" xfId="2"/>
    <cellStyle name="Обычный 4" xfId="4"/>
    <cellStyle name="Обычный 5" xfId="5"/>
    <cellStyle name="Обычный 6" xfId="6"/>
    <cellStyle name="Обычный 7" xfId="7"/>
    <cellStyle name="Обычный 8" xfId="8"/>
    <cellStyle name="Обычный 9" xfId="10"/>
    <cellStyle name="Процентный 2" xfId="3"/>
    <cellStyle name="Финансовый" xfId="23" builtinId="3"/>
    <cellStyle name="Финансовый 2" xfId="24"/>
  </cellStyles>
  <dxfs count="0"/>
  <tableStyles count="0" defaultTableStyle="TableStyleMedium2" defaultPivotStyle="PivotStyleLight16"/>
  <colors>
    <mruColors>
      <color rgb="FF00CCFF"/>
      <color rgb="FF339966"/>
      <color rgb="FFCCFFCC"/>
      <color rgb="FF66FF99"/>
      <color rgb="FF3399FF"/>
      <color rgb="FFC0C0C0"/>
      <color rgb="FF969696"/>
      <color rgb="FFB2B2B2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17.emf"/><Relationship Id="rId18" Type="http://schemas.openxmlformats.org/officeDocument/2006/relationships/image" Target="../media/image21.emf"/><Relationship Id="rId3" Type="http://schemas.openxmlformats.org/officeDocument/2006/relationships/image" Target="../media/image9.emf"/><Relationship Id="rId21" Type="http://schemas.openxmlformats.org/officeDocument/2006/relationships/image" Target="../media/image23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17" Type="http://schemas.openxmlformats.org/officeDocument/2006/relationships/image" Target="../media/image4.emf"/><Relationship Id="rId2" Type="http://schemas.openxmlformats.org/officeDocument/2006/relationships/image" Target="../media/image8.emf"/><Relationship Id="rId16" Type="http://schemas.openxmlformats.org/officeDocument/2006/relationships/image" Target="../media/image20.emf"/><Relationship Id="rId20" Type="http://schemas.openxmlformats.org/officeDocument/2006/relationships/image" Target="../media/image3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16.emf"/><Relationship Id="rId24" Type="http://schemas.openxmlformats.org/officeDocument/2006/relationships/image" Target="../media/image26.emf"/><Relationship Id="rId5" Type="http://schemas.openxmlformats.org/officeDocument/2006/relationships/image" Target="../media/image11.emf"/><Relationship Id="rId15" Type="http://schemas.openxmlformats.org/officeDocument/2006/relationships/image" Target="../media/image19.emf"/><Relationship Id="rId23" Type="http://schemas.openxmlformats.org/officeDocument/2006/relationships/image" Target="../media/image25.emf"/><Relationship Id="rId10" Type="http://schemas.openxmlformats.org/officeDocument/2006/relationships/image" Target="../media/image6.emf"/><Relationship Id="rId19" Type="http://schemas.openxmlformats.org/officeDocument/2006/relationships/image" Target="../media/image22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18.emf"/><Relationship Id="rId22" Type="http://schemas.openxmlformats.org/officeDocument/2006/relationships/image" Target="../media/image2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95250</xdr:rowOff>
    </xdr:from>
    <xdr:to>
      <xdr:col>2</xdr:col>
      <xdr:colOff>4332512</xdr:colOff>
      <xdr:row>8</xdr:row>
      <xdr:rowOff>13614</xdr:rowOff>
    </xdr:to>
    <xdr:pic>
      <xdr:nvPicPr>
        <xdr:cNvPr id="2" name="Рисунок 1" descr="Заголовок бланка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"/>
          <a:ext cx="6591298" cy="144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358774</xdr:colOff>
          <xdr:row>3</xdr:row>
          <xdr:rowOff>99335</xdr:rowOff>
        </xdr:from>
        <xdr:to>
          <xdr:col>62</xdr:col>
          <xdr:colOff>438149</xdr:colOff>
          <xdr:row>16</xdr:row>
          <xdr:rowOff>56246</xdr:rowOff>
        </xdr:to>
        <xdr:grpSp>
          <xdr:nvGrpSpPr>
            <xdr:cNvPr id="3" name="Группа 2"/>
            <xdr:cNvGrpSpPr/>
          </xdr:nvGrpSpPr>
          <xdr:grpSpPr>
            <a:xfrm>
              <a:off x="23599774" y="820514"/>
              <a:ext cx="3385911" cy="2433411"/>
              <a:chOff x="25531981" y="0"/>
              <a:chExt cx="1916330" cy="2423889"/>
            </a:xfrm>
          </xdr:grpSpPr>
          <xdr:sp macro="" textlink="">
            <xdr:nvSpPr>
              <xdr:cNvPr id="4107" name="CommandButton1" hidden="1">
                <a:extLst>
                  <a:ext uri="{63B3BB69-23CF-44E3-9099-C40C66FF867C}">
                    <a14:compatExt spid="_x0000_s4107"/>
                  </a:ext>
                </a:extLst>
              </xdr:cNvPr>
              <xdr:cNvSpPr/>
            </xdr:nvSpPr>
            <xdr:spPr bwMode="auto">
              <a:xfrm>
                <a:off x="25531989" y="645886"/>
                <a:ext cx="1913165" cy="50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08" name="CommandButton2" hidden="1">
                <a:extLst>
                  <a:ext uri="{63B3BB69-23CF-44E3-9099-C40C66FF867C}">
                    <a14:compatExt spid="_x0000_s4108"/>
                  </a:ext>
                </a:extLst>
              </xdr:cNvPr>
              <xdr:cNvSpPr/>
            </xdr:nvSpPr>
            <xdr:spPr bwMode="auto">
              <a:xfrm>
                <a:off x="25531981" y="1280886"/>
                <a:ext cx="1913165" cy="5080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21" name="CommandButton3" hidden="1">
                <a:extLst>
                  <a:ext uri="{63B3BB69-23CF-44E3-9099-C40C66FF867C}">
                    <a14:compatExt spid="_x0000_s4121"/>
                  </a:ext>
                </a:extLst>
              </xdr:cNvPr>
              <xdr:cNvSpPr/>
            </xdr:nvSpPr>
            <xdr:spPr bwMode="auto">
              <a:xfrm>
                <a:off x="25531989" y="1915888"/>
                <a:ext cx="1913165" cy="5080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4134" name="CommandButton4" hidden="1">
                <a:extLst>
                  <a:ext uri="{63B3BB69-23CF-44E3-9099-C40C66FF867C}">
                    <a14:compatExt spid="_x0000_s4134"/>
                  </a:ext>
                </a:extLst>
              </xdr:cNvPr>
              <xdr:cNvSpPr/>
            </xdr:nvSpPr>
            <xdr:spPr bwMode="auto">
              <a:xfrm>
                <a:off x="25535146" y="0"/>
                <a:ext cx="1913165" cy="5188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9</xdr:row>
          <xdr:rowOff>47625</xdr:rowOff>
        </xdr:from>
        <xdr:to>
          <xdr:col>59</xdr:col>
          <xdr:colOff>104775</xdr:colOff>
          <xdr:row>13</xdr:row>
          <xdr:rowOff>47625</xdr:rowOff>
        </xdr:to>
        <xdr:sp macro="" textlink="">
          <xdr:nvSpPr>
            <xdr:cNvPr id="4132" name="ONLY172_CheckBox13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35</xdr:row>
          <xdr:rowOff>171450</xdr:rowOff>
        </xdr:from>
        <xdr:to>
          <xdr:col>59</xdr:col>
          <xdr:colOff>104775</xdr:colOff>
          <xdr:row>39</xdr:row>
          <xdr:rowOff>47625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45</xdr:row>
          <xdr:rowOff>171450</xdr:rowOff>
        </xdr:from>
        <xdr:to>
          <xdr:col>59</xdr:col>
          <xdr:colOff>104775</xdr:colOff>
          <xdr:row>49</xdr:row>
          <xdr:rowOff>47625</xdr:rowOff>
        </xdr:to>
        <xdr:sp macro="" textlink="">
          <xdr:nvSpPr>
            <xdr:cNvPr id="4098" name="CheckBox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42</xdr:row>
          <xdr:rowOff>114300</xdr:rowOff>
        </xdr:from>
        <xdr:to>
          <xdr:col>59</xdr:col>
          <xdr:colOff>104775</xdr:colOff>
          <xdr:row>45</xdr:row>
          <xdr:rowOff>171450</xdr:rowOff>
        </xdr:to>
        <xdr:sp macro="" textlink="">
          <xdr:nvSpPr>
            <xdr:cNvPr id="4099" name="CheckBoxResPump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12</xdr:row>
          <xdr:rowOff>114300</xdr:rowOff>
        </xdr:from>
        <xdr:to>
          <xdr:col>59</xdr:col>
          <xdr:colOff>104775</xdr:colOff>
          <xdr:row>16</xdr:row>
          <xdr:rowOff>114300</xdr:rowOff>
        </xdr:to>
        <xdr:sp macro="" textlink="">
          <xdr:nvSpPr>
            <xdr:cNvPr id="4100" name="CheckBoxFireAlarm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19</xdr:row>
          <xdr:rowOff>47625</xdr:rowOff>
        </xdr:from>
        <xdr:to>
          <xdr:col>59</xdr:col>
          <xdr:colOff>104775</xdr:colOff>
          <xdr:row>23</xdr:row>
          <xdr:rowOff>47625</xdr:rowOff>
        </xdr:to>
        <xdr:sp macro="" textlink="">
          <xdr:nvSpPr>
            <xdr:cNvPr id="4101" name="CheckBoxInOperSig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15</xdr:row>
          <xdr:rowOff>171450</xdr:rowOff>
        </xdr:from>
        <xdr:to>
          <xdr:col>59</xdr:col>
          <xdr:colOff>104775</xdr:colOff>
          <xdr:row>19</xdr:row>
          <xdr:rowOff>171450</xdr:rowOff>
        </xdr:to>
        <xdr:sp macro="" textlink="">
          <xdr:nvSpPr>
            <xdr:cNvPr id="4102" name="CheckBoxAlarmSig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22</xdr:row>
          <xdr:rowOff>114300</xdr:rowOff>
        </xdr:from>
        <xdr:to>
          <xdr:col>59</xdr:col>
          <xdr:colOff>104775</xdr:colOff>
          <xdr:row>26</xdr:row>
          <xdr:rowOff>114300</xdr:rowOff>
        </xdr:to>
        <xdr:sp macro="" textlink="">
          <xdr:nvSpPr>
            <xdr:cNvPr id="4109" name="CheckBox7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59</xdr:row>
          <xdr:rowOff>47625</xdr:rowOff>
        </xdr:from>
        <xdr:to>
          <xdr:col>59</xdr:col>
          <xdr:colOff>104775</xdr:colOff>
          <xdr:row>62</xdr:row>
          <xdr:rowOff>114300</xdr:rowOff>
        </xdr:to>
        <xdr:sp macro="" textlink="">
          <xdr:nvSpPr>
            <xdr:cNvPr id="4111" name="CheckBox9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25</xdr:row>
          <xdr:rowOff>171450</xdr:rowOff>
        </xdr:from>
        <xdr:to>
          <xdr:col>59</xdr:col>
          <xdr:colOff>104775</xdr:colOff>
          <xdr:row>29</xdr:row>
          <xdr:rowOff>171450</xdr:rowOff>
        </xdr:to>
        <xdr:sp macro="" textlink="">
          <xdr:nvSpPr>
            <xdr:cNvPr id="4115" name="CheckBox10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</xdr:row>
          <xdr:rowOff>114300</xdr:rowOff>
        </xdr:from>
        <xdr:to>
          <xdr:col>59</xdr:col>
          <xdr:colOff>104775</xdr:colOff>
          <xdr:row>6</xdr:row>
          <xdr:rowOff>104775</xdr:rowOff>
        </xdr:to>
        <xdr:sp macro="" textlink="">
          <xdr:nvSpPr>
            <xdr:cNvPr id="4130" name="SCADA_CheckBox11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</xdr:row>
          <xdr:rowOff>171450</xdr:rowOff>
        </xdr:from>
        <xdr:to>
          <xdr:col>59</xdr:col>
          <xdr:colOff>104775</xdr:colOff>
          <xdr:row>9</xdr:row>
          <xdr:rowOff>171450</xdr:rowOff>
        </xdr:to>
        <xdr:sp macro="" textlink="">
          <xdr:nvSpPr>
            <xdr:cNvPr id="4131" name="METALL_CheckBox12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29</xdr:row>
          <xdr:rowOff>47625</xdr:rowOff>
        </xdr:from>
        <xdr:to>
          <xdr:col>59</xdr:col>
          <xdr:colOff>104775</xdr:colOff>
          <xdr:row>33</xdr:row>
          <xdr:rowOff>47625</xdr:rowOff>
        </xdr:to>
        <xdr:sp macro="" textlink="">
          <xdr:nvSpPr>
            <xdr:cNvPr id="4144" name="CheckBoxMotorHeatProtect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39</xdr:row>
          <xdr:rowOff>47625</xdr:rowOff>
        </xdr:from>
        <xdr:to>
          <xdr:col>59</xdr:col>
          <xdr:colOff>104775</xdr:colOff>
          <xdr:row>42</xdr:row>
          <xdr:rowOff>114300</xdr:rowOff>
        </xdr:to>
        <xdr:sp macro="" textlink="">
          <xdr:nvSpPr>
            <xdr:cNvPr id="4145" name="CheckBoxSplitMixUnit" hidden="1">
              <a:extLst>
                <a:ext uri="{63B3BB69-23CF-44E3-9099-C40C66FF867C}">
                  <a14:compatExt spid="_x0000_s4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65</xdr:row>
          <xdr:rowOff>171450</xdr:rowOff>
        </xdr:from>
        <xdr:to>
          <xdr:col>59</xdr:col>
          <xdr:colOff>104775</xdr:colOff>
          <xdr:row>69</xdr:row>
          <xdr:rowOff>47625</xdr:rowOff>
        </xdr:to>
        <xdr:sp macro="" textlink="">
          <xdr:nvSpPr>
            <xdr:cNvPr id="4146" name="CheckBoxSchemeOut" hidden="1">
              <a:extLst>
                <a:ext uri="{63B3BB69-23CF-44E3-9099-C40C66FF867C}">
                  <a14:compatExt spid="_x0000_s4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32</xdr:row>
          <xdr:rowOff>114300</xdr:rowOff>
        </xdr:from>
        <xdr:to>
          <xdr:col>59</xdr:col>
          <xdr:colOff>104775</xdr:colOff>
          <xdr:row>35</xdr:row>
          <xdr:rowOff>95250</xdr:rowOff>
        </xdr:to>
        <xdr:sp macro="" textlink="">
          <xdr:nvSpPr>
            <xdr:cNvPr id="4147" name="CheckBoxAlienFreqConverters" hidden="1">
              <a:extLst>
                <a:ext uri="{63B3BB69-23CF-44E3-9099-C40C66FF867C}">
                  <a14:compatExt spid="_x0000_s4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49</xdr:row>
          <xdr:rowOff>47625</xdr:rowOff>
        </xdr:from>
        <xdr:to>
          <xdr:col>59</xdr:col>
          <xdr:colOff>104775</xdr:colOff>
          <xdr:row>52</xdr:row>
          <xdr:rowOff>114300</xdr:rowOff>
        </xdr:to>
        <xdr:sp macro="" textlink="">
          <xdr:nvSpPr>
            <xdr:cNvPr id="4148" name="CheckBoxByPassRecuPlate" hidden="1">
              <a:extLst>
                <a:ext uri="{63B3BB69-23CF-44E3-9099-C40C66FF867C}">
                  <a14:compatExt spid="_x0000_s4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55</xdr:row>
          <xdr:rowOff>171450</xdr:rowOff>
        </xdr:from>
        <xdr:to>
          <xdr:col>59</xdr:col>
          <xdr:colOff>104775</xdr:colOff>
          <xdr:row>59</xdr:row>
          <xdr:rowOff>47625</xdr:rowOff>
        </xdr:to>
        <xdr:sp macro="" textlink="">
          <xdr:nvSpPr>
            <xdr:cNvPr id="4149" name="CheckBoxAdbWideControl" hidden="1">
              <a:extLst>
                <a:ext uri="{63B3BB69-23CF-44E3-9099-C40C66FF867C}">
                  <a14:compatExt spid="_x0000_s4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52</xdr:row>
          <xdr:rowOff>114300</xdr:rowOff>
        </xdr:from>
        <xdr:to>
          <xdr:col>59</xdr:col>
          <xdr:colOff>104775</xdr:colOff>
          <xdr:row>55</xdr:row>
          <xdr:rowOff>180975</xdr:rowOff>
        </xdr:to>
        <xdr:sp macro="" textlink="">
          <xdr:nvSpPr>
            <xdr:cNvPr id="4151" name="CheckBoxGasAirBypass" hidden="1">
              <a:extLst>
                <a:ext uri="{63B3BB69-23CF-44E3-9099-C40C66FF867C}">
                  <a14:compatExt spid="_x0000_s4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55</xdr:col>
          <xdr:colOff>133350</xdr:colOff>
          <xdr:row>62</xdr:row>
          <xdr:rowOff>114300</xdr:rowOff>
        </xdr:from>
        <xdr:to>
          <xdr:col>59</xdr:col>
          <xdr:colOff>104775</xdr:colOff>
          <xdr:row>65</xdr:row>
          <xdr:rowOff>171450</xdr:rowOff>
        </xdr:to>
        <xdr:sp macro="" textlink="">
          <xdr:nvSpPr>
            <xdr:cNvPr id="4153" name="RestSignalsCheckBox" hidden="1">
              <a:extLst>
                <a:ext uri="{63B3BB69-23CF-44E3-9099-C40C66FF867C}">
                  <a14:compatExt spid="_x0000_s4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876300</xdr:colOff>
      <xdr:row>712</xdr:row>
      <xdr:rowOff>101600</xdr:rowOff>
    </xdr:from>
    <xdr:ext cx="3810000" cy="561949"/>
    <xdr:sp macro="" textlink="">
      <xdr:nvSpPr>
        <xdr:cNvPr id="2" name="TextBox 1"/>
        <xdr:cNvSpPr txBox="1"/>
      </xdr:nvSpPr>
      <xdr:spPr>
        <a:xfrm>
          <a:off x="11430000" y="1357376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xdr:oneCellAnchor>
    <xdr:from>
      <xdr:col>15</xdr:col>
      <xdr:colOff>876300</xdr:colOff>
      <xdr:row>652</xdr:row>
      <xdr:rowOff>101600</xdr:rowOff>
    </xdr:from>
    <xdr:ext cx="3810000" cy="561949"/>
    <xdr:sp macro="" textlink="">
      <xdr:nvSpPr>
        <xdr:cNvPr id="3" name="TextBox 2"/>
        <xdr:cNvSpPr txBox="1"/>
      </xdr:nvSpPr>
      <xdr:spPr>
        <a:xfrm>
          <a:off x="11430000" y="1243076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9525</xdr:rowOff>
        </xdr:from>
        <xdr:to>
          <xdr:col>15</xdr:col>
          <xdr:colOff>1371600</xdr:colOff>
          <xdr:row>3</xdr:row>
          <xdr:rowOff>114300</xdr:rowOff>
        </xdr:to>
        <xdr:sp macro="" textlink="">
          <xdr:nvSpPr>
            <xdr:cNvPr id="45057" name="CommandButton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683695</xdr:colOff>
      <xdr:row>562</xdr:row>
      <xdr:rowOff>114300</xdr:rowOff>
    </xdr:from>
    <xdr:ext cx="264560" cy="635000"/>
    <xdr:sp macro="" textlink="">
      <xdr:nvSpPr>
        <xdr:cNvPr id="5" name="TextBox 4"/>
        <xdr:cNvSpPr txBox="1"/>
      </xdr:nvSpPr>
      <xdr:spPr>
        <a:xfrm rot="16200000">
          <a:off x="982345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4x6</a:t>
          </a:r>
          <a:endParaRPr lang="ru-RU" sz="1100"/>
        </a:p>
      </xdr:txBody>
    </xdr:sp>
    <xdr:clientData/>
  </xdr:oneCellAnchor>
  <xdr:twoCellAnchor>
    <xdr:from>
      <xdr:col>15</xdr:col>
      <xdr:colOff>812800</xdr:colOff>
      <xdr:row>555</xdr:row>
      <xdr:rowOff>127000</xdr:rowOff>
    </xdr:from>
    <xdr:to>
      <xdr:col>15</xdr:col>
      <xdr:colOff>1320800</xdr:colOff>
      <xdr:row>559</xdr:row>
      <xdr:rowOff>127000</xdr:rowOff>
    </xdr:to>
    <xdr:sp macro="" textlink="">
      <xdr:nvSpPr>
        <xdr:cNvPr id="6" name="Прямоугольник 5"/>
        <xdr:cNvSpPr/>
      </xdr:nvSpPr>
      <xdr:spPr>
        <a:xfrm>
          <a:off x="11366500" y="10585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22225</xdr:colOff>
      <xdr:row>553</xdr:row>
      <xdr:rowOff>127000</xdr:rowOff>
    </xdr:from>
    <xdr:to>
      <xdr:col>16</xdr:col>
      <xdr:colOff>339725</xdr:colOff>
      <xdr:row>561</xdr:row>
      <xdr:rowOff>127000</xdr:rowOff>
    </xdr:to>
    <xdr:sp macro="" textlink="">
      <xdr:nvSpPr>
        <xdr:cNvPr id="7" name="Прямоугольник 6"/>
        <xdr:cNvSpPr/>
      </xdr:nvSpPr>
      <xdr:spPr>
        <a:xfrm>
          <a:off x="12128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</a:t>
          </a:r>
        </a:p>
      </xdr:txBody>
    </xdr:sp>
    <xdr:clientData/>
  </xdr:twoCellAnchor>
  <xdr:twoCellAnchor>
    <xdr:from>
      <xdr:col>16</xdr:col>
      <xdr:colOff>339725</xdr:colOff>
      <xdr:row>553</xdr:row>
      <xdr:rowOff>127000</xdr:rowOff>
    </xdr:from>
    <xdr:to>
      <xdr:col>16</xdr:col>
      <xdr:colOff>657225</xdr:colOff>
      <xdr:row>561</xdr:row>
      <xdr:rowOff>127000</xdr:rowOff>
    </xdr:to>
    <xdr:sp macro="" textlink="">
      <xdr:nvSpPr>
        <xdr:cNvPr id="8" name="Прямоугольник 7"/>
        <xdr:cNvSpPr/>
      </xdr:nvSpPr>
      <xdr:spPr>
        <a:xfrm>
          <a:off x="12446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</a:t>
          </a:r>
        </a:p>
      </xdr:txBody>
    </xdr:sp>
    <xdr:clientData/>
  </xdr:twoCellAnchor>
  <xdr:twoCellAnchor>
    <xdr:from>
      <xdr:col>16</xdr:col>
      <xdr:colOff>180975</xdr:colOff>
      <xdr:row>561</xdr:row>
      <xdr:rowOff>127000</xdr:rowOff>
    </xdr:from>
    <xdr:to>
      <xdr:col>16</xdr:col>
      <xdr:colOff>180975</xdr:colOff>
      <xdr:row>562</xdr:row>
      <xdr:rowOff>127000</xdr:rowOff>
    </xdr:to>
    <xdr:cxnSp macro="">
      <xdr:nvCxnSpPr>
        <xdr:cNvPr id="9" name="Прямая со стрелкой 8"/>
        <xdr:cNvCxnSpPr/>
      </xdr:nvCxnSpPr>
      <xdr:spPr>
        <a:xfrm flipV="1">
          <a:off x="12287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498475</xdr:colOff>
      <xdr:row>561</xdr:row>
      <xdr:rowOff>127000</xdr:rowOff>
    </xdr:from>
    <xdr:to>
      <xdr:col>16</xdr:col>
      <xdr:colOff>498475</xdr:colOff>
      <xdr:row>562</xdr:row>
      <xdr:rowOff>127000</xdr:rowOff>
    </xdr:to>
    <xdr:cxnSp macro="">
      <xdr:nvCxnSpPr>
        <xdr:cNvPr id="10" name="Прямая со стрелкой 9"/>
        <xdr:cNvCxnSpPr/>
      </xdr:nvCxnSpPr>
      <xdr:spPr>
        <a:xfrm flipV="1">
          <a:off x="12604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562</xdr:row>
      <xdr:rowOff>127000</xdr:rowOff>
    </xdr:from>
    <xdr:to>
      <xdr:col>16</xdr:col>
      <xdr:colOff>498475</xdr:colOff>
      <xdr:row>562</xdr:row>
      <xdr:rowOff>127000</xdr:rowOff>
    </xdr:to>
    <xdr:cxnSp macro="">
      <xdr:nvCxnSpPr>
        <xdr:cNvPr id="11" name="Прямая со стрелкой 10"/>
        <xdr:cNvCxnSpPr/>
      </xdr:nvCxnSpPr>
      <xdr:spPr>
        <a:xfrm>
          <a:off x="12287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136525</xdr:colOff>
      <xdr:row>567</xdr:row>
      <xdr:rowOff>0</xdr:rowOff>
    </xdr:from>
    <xdr:to>
      <xdr:col>16</xdr:col>
      <xdr:colOff>542925</xdr:colOff>
      <xdr:row>571</xdr:row>
      <xdr:rowOff>127000</xdr:rowOff>
    </xdr:to>
    <xdr:sp macro="" textlink="">
      <xdr:nvSpPr>
        <xdr:cNvPr id="12" name="Прямоугольник 11"/>
        <xdr:cNvSpPr/>
      </xdr:nvSpPr>
      <xdr:spPr>
        <a:xfrm>
          <a:off x="12242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136525</xdr:colOff>
      <xdr:row>567</xdr:row>
      <xdr:rowOff>0</xdr:rowOff>
    </xdr:from>
    <xdr:to>
      <xdr:col>16</xdr:col>
      <xdr:colOff>339725</xdr:colOff>
      <xdr:row>568</xdr:row>
      <xdr:rowOff>12700</xdr:rowOff>
    </xdr:to>
    <xdr:sp macro="" textlink="">
      <xdr:nvSpPr>
        <xdr:cNvPr id="13" name="Прямоугольник 12"/>
        <xdr:cNvSpPr/>
      </xdr:nvSpPr>
      <xdr:spPr>
        <a:xfrm>
          <a:off x="12242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339725</xdr:colOff>
      <xdr:row>567</xdr:row>
      <xdr:rowOff>0</xdr:rowOff>
    </xdr:from>
    <xdr:to>
      <xdr:col>16</xdr:col>
      <xdr:colOff>542925</xdr:colOff>
      <xdr:row>568</xdr:row>
      <xdr:rowOff>12700</xdr:rowOff>
    </xdr:to>
    <xdr:sp macro="" textlink="">
      <xdr:nvSpPr>
        <xdr:cNvPr id="14" name="Прямоугольник 13"/>
        <xdr:cNvSpPr/>
      </xdr:nvSpPr>
      <xdr:spPr>
        <a:xfrm>
          <a:off x="12446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238125</xdr:colOff>
      <xdr:row>566</xdr:row>
      <xdr:rowOff>0</xdr:rowOff>
    </xdr:from>
    <xdr:to>
      <xdr:col>16</xdr:col>
      <xdr:colOff>238125</xdr:colOff>
      <xdr:row>567</xdr:row>
      <xdr:rowOff>0</xdr:rowOff>
    </xdr:to>
    <xdr:cxnSp macro="">
      <xdr:nvCxnSpPr>
        <xdr:cNvPr id="15" name="Прямая со стрелкой 14"/>
        <xdr:cNvCxnSpPr/>
      </xdr:nvCxnSpPr>
      <xdr:spPr>
        <a:xfrm flipV="1">
          <a:off x="12344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441325</xdr:colOff>
      <xdr:row>566</xdr:row>
      <xdr:rowOff>0</xdr:rowOff>
    </xdr:from>
    <xdr:to>
      <xdr:col>16</xdr:col>
      <xdr:colOff>441325</xdr:colOff>
      <xdr:row>567</xdr:row>
      <xdr:rowOff>0</xdr:rowOff>
    </xdr:to>
    <xdr:cxnSp macro="">
      <xdr:nvCxnSpPr>
        <xdr:cNvPr id="16" name="Прямая со стрелкой 15"/>
        <xdr:cNvCxnSpPr/>
      </xdr:nvCxnSpPr>
      <xdr:spPr>
        <a:xfrm flipV="1">
          <a:off x="12547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238125</xdr:colOff>
      <xdr:row>566</xdr:row>
      <xdr:rowOff>0</xdr:rowOff>
    </xdr:from>
    <xdr:to>
      <xdr:col>16</xdr:col>
      <xdr:colOff>441325</xdr:colOff>
      <xdr:row>566</xdr:row>
      <xdr:rowOff>0</xdr:rowOff>
    </xdr:to>
    <xdr:cxnSp macro="">
      <xdr:nvCxnSpPr>
        <xdr:cNvPr id="17" name="Прямая со стрелкой 16"/>
        <xdr:cNvCxnSpPr/>
      </xdr:nvCxnSpPr>
      <xdr:spPr>
        <a:xfrm>
          <a:off x="12344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339725</xdr:colOff>
      <xdr:row>562</xdr:row>
      <xdr:rowOff>127000</xdr:rowOff>
    </xdr:from>
    <xdr:to>
      <xdr:col>16</xdr:col>
      <xdr:colOff>339725</xdr:colOff>
      <xdr:row>566</xdr:row>
      <xdr:rowOff>0</xdr:rowOff>
    </xdr:to>
    <xdr:cxnSp macro="">
      <xdr:nvCxnSpPr>
        <xdr:cNvPr id="18" name="Прямая со стрелкой 17"/>
        <xdr:cNvCxnSpPr/>
      </xdr:nvCxnSpPr>
      <xdr:spPr>
        <a:xfrm>
          <a:off x="12446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93145</xdr:colOff>
      <xdr:row>562</xdr:row>
      <xdr:rowOff>114300</xdr:rowOff>
    </xdr:from>
    <xdr:ext cx="264560" cy="635000"/>
    <xdr:sp macro="" textlink="">
      <xdr:nvSpPr>
        <xdr:cNvPr id="19" name="TextBox 18"/>
        <xdr:cNvSpPr txBox="1"/>
      </xdr:nvSpPr>
      <xdr:spPr>
        <a:xfrm rot="16200000">
          <a:off x="12014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657225</xdr:colOff>
      <xdr:row>553</xdr:row>
      <xdr:rowOff>127000</xdr:rowOff>
    </xdr:from>
    <xdr:to>
      <xdr:col>16</xdr:col>
      <xdr:colOff>974725</xdr:colOff>
      <xdr:row>561</xdr:row>
      <xdr:rowOff>127000</xdr:rowOff>
    </xdr:to>
    <xdr:sp macro="" textlink="">
      <xdr:nvSpPr>
        <xdr:cNvPr id="20" name="Прямоугольник 19"/>
        <xdr:cNvSpPr/>
      </xdr:nvSpPr>
      <xdr:spPr>
        <a:xfrm>
          <a:off x="12763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</a:t>
          </a:r>
        </a:p>
      </xdr:txBody>
    </xdr:sp>
    <xdr:clientData/>
  </xdr:twoCellAnchor>
  <xdr:twoCellAnchor>
    <xdr:from>
      <xdr:col>16</xdr:col>
      <xdr:colOff>974725</xdr:colOff>
      <xdr:row>553</xdr:row>
      <xdr:rowOff>127000</xdr:rowOff>
    </xdr:from>
    <xdr:to>
      <xdr:col>16</xdr:col>
      <xdr:colOff>1292225</xdr:colOff>
      <xdr:row>561</xdr:row>
      <xdr:rowOff>127000</xdr:rowOff>
    </xdr:to>
    <xdr:sp macro="" textlink="">
      <xdr:nvSpPr>
        <xdr:cNvPr id="21" name="Прямоугольник 20"/>
        <xdr:cNvSpPr/>
      </xdr:nvSpPr>
      <xdr:spPr>
        <a:xfrm>
          <a:off x="13081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16</xdr:col>
      <xdr:colOff>815975</xdr:colOff>
      <xdr:row>561</xdr:row>
      <xdr:rowOff>127000</xdr:rowOff>
    </xdr:from>
    <xdr:to>
      <xdr:col>16</xdr:col>
      <xdr:colOff>815975</xdr:colOff>
      <xdr:row>562</xdr:row>
      <xdr:rowOff>127000</xdr:rowOff>
    </xdr:to>
    <xdr:cxnSp macro="">
      <xdr:nvCxnSpPr>
        <xdr:cNvPr id="22" name="Прямая со стрелкой 21"/>
        <xdr:cNvCxnSpPr/>
      </xdr:nvCxnSpPr>
      <xdr:spPr>
        <a:xfrm flipV="1">
          <a:off x="12922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1133475</xdr:colOff>
      <xdr:row>561</xdr:row>
      <xdr:rowOff>127000</xdr:rowOff>
    </xdr:from>
    <xdr:to>
      <xdr:col>16</xdr:col>
      <xdr:colOff>1133475</xdr:colOff>
      <xdr:row>562</xdr:row>
      <xdr:rowOff>127000</xdr:rowOff>
    </xdr:to>
    <xdr:cxnSp macro="">
      <xdr:nvCxnSpPr>
        <xdr:cNvPr id="23" name="Прямая со стрелкой 22"/>
        <xdr:cNvCxnSpPr/>
      </xdr:nvCxnSpPr>
      <xdr:spPr>
        <a:xfrm flipV="1">
          <a:off x="13239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815975</xdr:colOff>
      <xdr:row>562</xdr:row>
      <xdr:rowOff>127000</xdr:rowOff>
    </xdr:from>
    <xdr:to>
      <xdr:col>16</xdr:col>
      <xdr:colOff>1133475</xdr:colOff>
      <xdr:row>562</xdr:row>
      <xdr:rowOff>127000</xdr:rowOff>
    </xdr:to>
    <xdr:cxnSp macro="">
      <xdr:nvCxnSpPr>
        <xdr:cNvPr id="24" name="Прямая со стрелкой 23"/>
        <xdr:cNvCxnSpPr/>
      </xdr:nvCxnSpPr>
      <xdr:spPr>
        <a:xfrm>
          <a:off x="12922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771525</xdr:colOff>
      <xdr:row>567</xdr:row>
      <xdr:rowOff>0</xdr:rowOff>
    </xdr:from>
    <xdr:to>
      <xdr:col>16</xdr:col>
      <xdr:colOff>1177925</xdr:colOff>
      <xdr:row>571</xdr:row>
      <xdr:rowOff>127000</xdr:rowOff>
    </xdr:to>
    <xdr:sp macro="" textlink="">
      <xdr:nvSpPr>
        <xdr:cNvPr id="25" name="Прямоугольник 24"/>
        <xdr:cNvSpPr/>
      </xdr:nvSpPr>
      <xdr:spPr>
        <a:xfrm>
          <a:off x="12877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771525</xdr:colOff>
      <xdr:row>567</xdr:row>
      <xdr:rowOff>0</xdr:rowOff>
    </xdr:from>
    <xdr:to>
      <xdr:col>16</xdr:col>
      <xdr:colOff>974725</xdr:colOff>
      <xdr:row>568</xdr:row>
      <xdr:rowOff>12700</xdr:rowOff>
    </xdr:to>
    <xdr:sp macro="" textlink="">
      <xdr:nvSpPr>
        <xdr:cNvPr id="26" name="Прямоугольник 25"/>
        <xdr:cNvSpPr/>
      </xdr:nvSpPr>
      <xdr:spPr>
        <a:xfrm>
          <a:off x="12877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974725</xdr:colOff>
      <xdr:row>567</xdr:row>
      <xdr:rowOff>0</xdr:rowOff>
    </xdr:from>
    <xdr:to>
      <xdr:col>16</xdr:col>
      <xdr:colOff>1177925</xdr:colOff>
      <xdr:row>568</xdr:row>
      <xdr:rowOff>12700</xdr:rowOff>
    </xdr:to>
    <xdr:sp macro="" textlink="">
      <xdr:nvSpPr>
        <xdr:cNvPr id="27" name="Прямоугольник 26"/>
        <xdr:cNvSpPr/>
      </xdr:nvSpPr>
      <xdr:spPr>
        <a:xfrm>
          <a:off x="13081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873125</xdr:colOff>
      <xdr:row>566</xdr:row>
      <xdr:rowOff>0</xdr:rowOff>
    </xdr:from>
    <xdr:to>
      <xdr:col>16</xdr:col>
      <xdr:colOff>873125</xdr:colOff>
      <xdr:row>567</xdr:row>
      <xdr:rowOff>0</xdr:rowOff>
    </xdr:to>
    <xdr:cxnSp macro="">
      <xdr:nvCxnSpPr>
        <xdr:cNvPr id="28" name="Прямая со стрелкой 27"/>
        <xdr:cNvCxnSpPr/>
      </xdr:nvCxnSpPr>
      <xdr:spPr>
        <a:xfrm flipV="1">
          <a:off x="12979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1076325</xdr:colOff>
      <xdr:row>566</xdr:row>
      <xdr:rowOff>0</xdr:rowOff>
    </xdr:from>
    <xdr:to>
      <xdr:col>16</xdr:col>
      <xdr:colOff>1076325</xdr:colOff>
      <xdr:row>567</xdr:row>
      <xdr:rowOff>0</xdr:rowOff>
    </xdr:to>
    <xdr:cxnSp macro="">
      <xdr:nvCxnSpPr>
        <xdr:cNvPr id="29" name="Прямая со стрелкой 28"/>
        <xdr:cNvCxnSpPr/>
      </xdr:nvCxnSpPr>
      <xdr:spPr>
        <a:xfrm flipV="1">
          <a:off x="13182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873125</xdr:colOff>
      <xdr:row>566</xdr:row>
      <xdr:rowOff>0</xdr:rowOff>
    </xdr:from>
    <xdr:to>
      <xdr:col>16</xdr:col>
      <xdr:colOff>1076325</xdr:colOff>
      <xdr:row>566</xdr:row>
      <xdr:rowOff>0</xdr:rowOff>
    </xdr:to>
    <xdr:cxnSp macro="">
      <xdr:nvCxnSpPr>
        <xdr:cNvPr id="30" name="Прямая со стрелкой 29"/>
        <xdr:cNvCxnSpPr/>
      </xdr:nvCxnSpPr>
      <xdr:spPr>
        <a:xfrm>
          <a:off x="12979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974725</xdr:colOff>
      <xdr:row>562</xdr:row>
      <xdr:rowOff>127000</xdr:rowOff>
    </xdr:from>
    <xdr:to>
      <xdr:col>16</xdr:col>
      <xdr:colOff>974725</xdr:colOff>
      <xdr:row>566</xdr:row>
      <xdr:rowOff>0</xdr:rowOff>
    </xdr:to>
    <xdr:cxnSp macro="">
      <xdr:nvCxnSpPr>
        <xdr:cNvPr id="31" name="Прямая со стрелкой 30"/>
        <xdr:cNvCxnSpPr/>
      </xdr:nvCxnSpPr>
      <xdr:spPr>
        <a:xfrm>
          <a:off x="13081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728145</xdr:colOff>
      <xdr:row>562</xdr:row>
      <xdr:rowOff>114300</xdr:rowOff>
    </xdr:from>
    <xdr:ext cx="264560" cy="635000"/>
    <xdr:sp macro="" textlink="">
      <xdr:nvSpPr>
        <xdr:cNvPr id="32" name="TextBox 31"/>
        <xdr:cNvSpPr txBox="1"/>
      </xdr:nvSpPr>
      <xdr:spPr>
        <a:xfrm rot="16200000">
          <a:off x="12649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1292225</xdr:colOff>
      <xdr:row>553</xdr:row>
      <xdr:rowOff>127000</xdr:rowOff>
    </xdr:from>
    <xdr:to>
      <xdr:col>16</xdr:col>
      <xdr:colOff>1609725</xdr:colOff>
      <xdr:row>561</xdr:row>
      <xdr:rowOff>127000</xdr:rowOff>
    </xdr:to>
    <xdr:sp macro="" textlink="">
      <xdr:nvSpPr>
        <xdr:cNvPr id="33" name="Прямоугольник 32"/>
        <xdr:cNvSpPr/>
      </xdr:nvSpPr>
      <xdr:spPr>
        <a:xfrm>
          <a:off x="13398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16</xdr:col>
      <xdr:colOff>1609725</xdr:colOff>
      <xdr:row>553</xdr:row>
      <xdr:rowOff>127000</xdr:rowOff>
    </xdr:from>
    <xdr:to>
      <xdr:col>16</xdr:col>
      <xdr:colOff>1927225</xdr:colOff>
      <xdr:row>561</xdr:row>
      <xdr:rowOff>127000</xdr:rowOff>
    </xdr:to>
    <xdr:sp macro="" textlink="">
      <xdr:nvSpPr>
        <xdr:cNvPr id="34" name="Прямоугольник 33"/>
        <xdr:cNvSpPr/>
      </xdr:nvSpPr>
      <xdr:spPr>
        <a:xfrm>
          <a:off x="13716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6</a:t>
          </a:r>
        </a:p>
      </xdr:txBody>
    </xdr:sp>
    <xdr:clientData/>
  </xdr:twoCellAnchor>
  <xdr:twoCellAnchor>
    <xdr:from>
      <xdr:col>16</xdr:col>
      <xdr:colOff>1450975</xdr:colOff>
      <xdr:row>561</xdr:row>
      <xdr:rowOff>127000</xdr:rowOff>
    </xdr:from>
    <xdr:to>
      <xdr:col>16</xdr:col>
      <xdr:colOff>1450975</xdr:colOff>
      <xdr:row>562</xdr:row>
      <xdr:rowOff>127000</xdr:rowOff>
    </xdr:to>
    <xdr:cxnSp macro="">
      <xdr:nvCxnSpPr>
        <xdr:cNvPr id="35" name="Прямая со стрелкой 34"/>
        <xdr:cNvCxnSpPr/>
      </xdr:nvCxnSpPr>
      <xdr:spPr>
        <a:xfrm flipV="1">
          <a:off x="13557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1768475</xdr:colOff>
      <xdr:row>561</xdr:row>
      <xdr:rowOff>127000</xdr:rowOff>
    </xdr:from>
    <xdr:to>
      <xdr:col>16</xdr:col>
      <xdr:colOff>1768475</xdr:colOff>
      <xdr:row>562</xdr:row>
      <xdr:rowOff>127000</xdr:rowOff>
    </xdr:to>
    <xdr:cxnSp macro="">
      <xdr:nvCxnSpPr>
        <xdr:cNvPr id="36" name="Прямая со стрелкой 35"/>
        <xdr:cNvCxnSpPr/>
      </xdr:nvCxnSpPr>
      <xdr:spPr>
        <a:xfrm flipV="1">
          <a:off x="13874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1450975</xdr:colOff>
      <xdr:row>562</xdr:row>
      <xdr:rowOff>127000</xdr:rowOff>
    </xdr:from>
    <xdr:to>
      <xdr:col>16</xdr:col>
      <xdr:colOff>1768475</xdr:colOff>
      <xdr:row>562</xdr:row>
      <xdr:rowOff>127000</xdr:rowOff>
    </xdr:to>
    <xdr:cxnSp macro="">
      <xdr:nvCxnSpPr>
        <xdr:cNvPr id="37" name="Прямая со стрелкой 36"/>
        <xdr:cNvCxnSpPr/>
      </xdr:nvCxnSpPr>
      <xdr:spPr>
        <a:xfrm>
          <a:off x="13557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1406525</xdr:colOff>
      <xdr:row>567</xdr:row>
      <xdr:rowOff>0</xdr:rowOff>
    </xdr:from>
    <xdr:to>
      <xdr:col>16</xdr:col>
      <xdr:colOff>1812925</xdr:colOff>
      <xdr:row>571</xdr:row>
      <xdr:rowOff>127000</xdr:rowOff>
    </xdr:to>
    <xdr:sp macro="" textlink="">
      <xdr:nvSpPr>
        <xdr:cNvPr id="38" name="Прямоугольник 37"/>
        <xdr:cNvSpPr/>
      </xdr:nvSpPr>
      <xdr:spPr>
        <a:xfrm>
          <a:off x="13512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1406525</xdr:colOff>
      <xdr:row>567</xdr:row>
      <xdr:rowOff>0</xdr:rowOff>
    </xdr:from>
    <xdr:to>
      <xdr:col>16</xdr:col>
      <xdr:colOff>1609725</xdr:colOff>
      <xdr:row>568</xdr:row>
      <xdr:rowOff>12700</xdr:rowOff>
    </xdr:to>
    <xdr:sp macro="" textlink="">
      <xdr:nvSpPr>
        <xdr:cNvPr id="39" name="Прямоугольник 38"/>
        <xdr:cNvSpPr/>
      </xdr:nvSpPr>
      <xdr:spPr>
        <a:xfrm>
          <a:off x="13512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1609725</xdr:colOff>
      <xdr:row>567</xdr:row>
      <xdr:rowOff>0</xdr:rowOff>
    </xdr:from>
    <xdr:to>
      <xdr:col>16</xdr:col>
      <xdr:colOff>1812925</xdr:colOff>
      <xdr:row>568</xdr:row>
      <xdr:rowOff>12700</xdr:rowOff>
    </xdr:to>
    <xdr:sp macro="" textlink="">
      <xdr:nvSpPr>
        <xdr:cNvPr id="40" name="Прямоугольник 39"/>
        <xdr:cNvSpPr/>
      </xdr:nvSpPr>
      <xdr:spPr>
        <a:xfrm>
          <a:off x="13716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1508125</xdr:colOff>
      <xdr:row>566</xdr:row>
      <xdr:rowOff>0</xdr:rowOff>
    </xdr:from>
    <xdr:to>
      <xdr:col>16</xdr:col>
      <xdr:colOff>1508125</xdr:colOff>
      <xdr:row>567</xdr:row>
      <xdr:rowOff>0</xdr:rowOff>
    </xdr:to>
    <xdr:cxnSp macro="">
      <xdr:nvCxnSpPr>
        <xdr:cNvPr id="41" name="Прямая со стрелкой 40"/>
        <xdr:cNvCxnSpPr/>
      </xdr:nvCxnSpPr>
      <xdr:spPr>
        <a:xfrm flipV="1">
          <a:off x="13614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1711325</xdr:colOff>
      <xdr:row>566</xdr:row>
      <xdr:rowOff>0</xdr:rowOff>
    </xdr:from>
    <xdr:to>
      <xdr:col>16</xdr:col>
      <xdr:colOff>1711325</xdr:colOff>
      <xdr:row>567</xdr:row>
      <xdr:rowOff>0</xdr:rowOff>
    </xdr:to>
    <xdr:cxnSp macro="">
      <xdr:nvCxnSpPr>
        <xdr:cNvPr id="42" name="Прямая со стрелкой 41"/>
        <xdr:cNvCxnSpPr/>
      </xdr:nvCxnSpPr>
      <xdr:spPr>
        <a:xfrm flipV="1">
          <a:off x="13817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1508125</xdr:colOff>
      <xdr:row>566</xdr:row>
      <xdr:rowOff>0</xdr:rowOff>
    </xdr:from>
    <xdr:to>
      <xdr:col>16</xdr:col>
      <xdr:colOff>1711325</xdr:colOff>
      <xdr:row>566</xdr:row>
      <xdr:rowOff>0</xdr:rowOff>
    </xdr:to>
    <xdr:cxnSp macro="">
      <xdr:nvCxnSpPr>
        <xdr:cNvPr id="43" name="Прямая со стрелкой 42"/>
        <xdr:cNvCxnSpPr/>
      </xdr:nvCxnSpPr>
      <xdr:spPr>
        <a:xfrm>
          <a:off x="13614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1609725</xdr:colOff>
      <xdr:row>562</xdr:row>
      <xdr:rowOff>127000</xdr:rowOff>
    </xdr:from>
    <xdr:to>
      <xdr:col>16</xdr:col>
      <xdr:colOff>1609725</xdr:colOff>
      <xdr:row>566</xdr:row>
      <xdr:rowOff>0</xdr:rowOff>
    </xdr:to>
    <xdr:cxnSp macro="">
      <xdr:nvCxnSpPr>
        <xdr:cNvPr id="44" name="Прямая со стрелкой 43"/>
        <xdr:cNvCxnSpPr/>
      </xdr:nvCxnSpPr>
      <xdr:spPr>
        <a:xfrm>
          <a:off x="13716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1363145</xdr:colOff>
      <xdr:row>562</xdr:row>
      <xdr:rowOff>114300</xdr:rowOff>
    </xdr:from>
    <xdr:ext cx="264560" cy="635000"/>
    <xdr:sp macro="" textlink="">
      <xdr:nvSpPr>
        <xdr:cNvPr id="45" name="TextBox 44"/>
        <xdr:cNvSpPr txBox="1"/>
      </xdr:nvSpPr>
      <xdr:spPr>
        <a:xfrm rot="16200000">
          <a:off x="13284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1927225</xdr:colOff>
      <xdr:row>553</xdr:row>
      <xdr:rowOff>127000</xdr:rowOff>
    </xdr:from>
    <xdr:to>
      <xdr:col>16</xdr:col>
      <xdr:colOff>2244725</xdr:colOff>
      <xdr:row>561</xdr:row>
      <xdr:rowOff>127000</xdr:rowOff>
    </xdr:to>
    <xdr:sp macro="" textlink="">
      <xdr:nvSpPr>
        <xdr:cNvPr id="46" name="Прямоугольник 45"/>
        <xdr:cNvSpPr/>
      </xdr:nvSpPr>
      <xdr:spPr>
        <a:xfrm>
          <a:off x="140335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7</a:t>
          </a:r>
        </a:p>
      </xdr:txBody>
    </xdr:sp>
    <xdr:clientData/>
  </xdr:twoCellAnchor>
  <xdr:twoCellAnchor>
    <xdr:from>
      <xdr:col>16</xdr:col>
      <xdr:colOff>2244725</xdr:colOff>
      <xdr:row>553</xdr:row>
      <xdr:rowOff>127000</xdr:rowOff>
    </xdr:from>
    <xdr:to>
      <xdr:col>17</xdr:col>
      <xdr:colOff>161925</xdr:colOff>
      <xdr:row>561</xdr:row>
      <xdr:rowOff>127000</xdr:rowOff>
    </xdr:to>
    <xdr:sp macro="" textlink="">
      <xdr:nvSpPr>
        <xdr:cNvPr id="47" name="Прямоугольник 46"/>
        <xdr:cNvSpPr/>
      </xdr:nvSpPr>
      <xdr:spPr>
        <a:xfrm>
          <a:off x="14351000" y="10547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16</xdr:col>
      <xdr:colOff>2085975</xdr:colOff>
      <xdr:row>561</xdr:row>
      <xdr:rowOff>127000</xdr:rowOff>
    </xdr:from>
    <xdr:to>
      <xdr:col>16</xdr:col>
      <xdr:colOff>2085975</xdr:colOff>
      <xdr:row>562</xdr:row>
      <xdr:rowOff>127000</xdr:rowOff>
    </xdr:to>
    <xdr:cxnSp macro="">
      <xdr:nvCxnSpPr>
        <xdr:cNvPr id="48" name="Прямая со стрелкой 47"/>
        <xdr:cNvCxnSpPr/>
      </xdr:nvCxnSpPr>
      <xdr:spPr>
        <a:xfrm flipV="1">
          <a:off x="141922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3175</xdr:colOff>
      <xdr:row>561</xdr:row>
      <xdr:rowOff>127000</xdr:rowOff>
    </xdr:from>
    <xdr:to>
      <xdr:col>17</xdr:col>
      <xdr:colOff>3175</xdr:colOff>
      <xdr:row>562</xdr:row>
      <xdr:rowOff>127000</xdr:rowOff>
    </xdr:to>
    <xdr:cxnSp macro="">
      <xdr:nvCxnSpPr>
        <xdr:cNvPr id="49" name="Прямая со стрелкой 48"/>
        <xdr:cNvCxnSpPr/>
      </xdr:nvCxnSpPr>
      <xdr:spPr>
        <a:xfrm flipV="1">
          <a:off x="14509750" y="10699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2085975</xdr:colOff>
      <xdr:row>562</xdr:row>
      <xdr:rowOff>127000</xdr:rowOff>
    </xdr:from>
    <xdr:to>
      <xdr:col>17</xdr:col>
      <xdr:colOff>3175</xdr:colOff>
      <xdr:row>562</xdr:row>
      <xdr:rowOff>127000</xdr:rowOff>
    </xdr:to>
    <xdr:cxnSp macro="">
      <xdr:nvCxnSpPr>
        <xdr:cNvPr id="50" name="Прямая со стрелкой 49"/>
        <xdr:cNvCxnSpPr/>
      </xdr:nvCxnSpPr>
      <xdr:spPr>
        <a:xfrm>
          <a:off x="14192250" y="10718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2041525</xdr:colOff>
      <xdr:row>567</xdr:row>
      <xdr:rowOff>0</xdr:rowOff>
    </xdr:from>
    <xdr:to>
      <xdr:col>17</xdr:col>
      <xdr:colOff>47625</xdr:colOff>
      <xdr:row>571</xdr:row>
      <xdr:rowOff>127000</xdr:rowOff>
    </xdr:to>
    <xdr:sp macro="" textlink="">
      <xdr:nvSpPr>
        <xdr:cNvPr id="51" name="Прямоугольник 50"/>
        <xdr:cNvSpPr/>
      </xdr:nvSpPr>
      <xdr:spPr>
        <a:xfrm>
          <a:off x="14147800" y="10801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2041525</xdr:colOff>
      <xdr:row>567</xdr:row>
      <xdr:rowOff>0</xdr:rowOff>
    </xdr:from>
    <xdr:to>
      <xdr:col>16</xdr:col>
      <xdr:colOff>2244725</xdr:colOff>
      <xdr:row>568</xdr:row>
      <xdr:rowOff>12700</xdr:rowOff>
    </xdr:to>
    <xdr:sp macro="" textlink="">
      <xdr:nvSpPr>
        <xdr:cNvPr id="52" name="Прямоугольник 51"/>
        <xdr:cNvSpPr/>
      </xdr:nvSpPr>
      <xdr:spPr>
        <a:xfrm>
          <a:off x="141478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2244725</xdr:colOff>
      <xdr:row>567</xdr:row>
      <xdr:rowOff>0</xdr:rowOff>
    </xdr:from>
    <xdr:to>
      <xdr:col>17</xdr:col>
      <xdr:colOff>47625</xdr:colOff>
      <xdr:row>568</xdr:row>
      <xdr:rowOff>12700</xdr:rowOff>
    </xdr:to>
    <xdr:sp macro="" textlink="">
      <xdr:nvSpPr>
        <xdr:cNvPr id="53" name="Прямоугольник 52"/>
        <xdr:cNvSpPr/>
      </xdr:nvSpPr>
      <xdr:spPr>
        <a:xfrm>
          <a:off x="14351000" y="10801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2143125</xdr:colOff>
      <xdr:row>566</xdr:row>
      <xdr:rowOff>0</xdr:rowOff>
    </xdr:from>
    <xdr:to>
      <xdr:col>16</xdr:col>
      <xdr:colOff>2143125</xdr:colOff>
      <xdr:row>567</xdr:row>
      <xdr:rowOff>0</xdr:rowOff>
    </xdr:to>
    <xdr:cxnSp macro="">
      <xdr:nvCxnSpPr>
        <xdr:cNvPr id="54" name="Прямая со стрелкой 53"/>
        <xdr:cNvCxnSpPr/>
      </xdr:nvCxnSpPr>
      <xdr:spPr>
        <a:xfrm flipV="1">
          <a:off x="142494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2346325</xdr:colOff>
      <xdr:row>566</xdr:row>
      <xdr:rowOff>0</xdr:rowOff>
    </xdr:from>
    <xdr:to>
      <xdr:col>16</xdr:col>
      <xdr:colOff>2346325</xdr:colOff>
      <xdr:row>567</xdr:row>
      <xdr:rowOff>0</xdr:rowOff>
    </xdr:to>
    <xdr:cxnSp macro="">
      <xdr:nvCxnSpPr>
        <xdr:cNvPr id="55" name="Прямая со стрелкой 54"/>
        <xdr:cNvCxnSpPr/>
      </xdr:nvCxnSpPr>
      <xdr:spPr>
        <a:xfrm flipV="1">
          <a:off x="14452600" y="10782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2143125</xdr:colOff>
      <xdr:row>566</xdr:row>
      <xdr:rowOff>0</xdr:rowOff>
    </xdr:from>
    <xdr:to>
      <xdr:col>16</xdr:col>
      <xdr:colOff>2346325</xdr:colOff>
      <xdr:row>566</xdr:row>
      <xdr:rowOff>0</xdr:rowOff>
    </xdr:to>
    <xdr:cxnSp macro="">
      <xdr:nvCxnSpPr>
        <xdr:cNvPr id="56" name="Прямая со стрелкой 55"/>
        <xdr:cNvCxnSpPr/>
      </xdr:nvCxnSpPr>
      <xdr:spPr>
        <a:xfrm>
          <a:off x="14249400" y="10782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2244725</xdr:colOff>
      <xdr:row>562</xdr:row>
      <xdr:rowOff>127000</xdr:rowOff>
    </xdr:from>
    <xdr:to>
      <xdr:col>16</xdr:col>
      <xdr:colOff>2244725</xdr:colOff>
      <xdr:row>566</xdr:row>
      <xdr:rowOff>0</xdr:rowOff>
    </xdr:to>
    <xdr:cxnSp macro="">
      <xdr:nvCxnSpPr>
        <xdr:cNvPr id="57" name="Прямая со стрелкой 56"/>
        <xdr:cNvCxnSpPr/>
      </xdr:nvCxnSpPr>
      <xdr:spPr>
        <a:xfrm>
          <a:off x="14351000" y="10718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1998145</xdr:colOff>
      <xdr:row>562</xdr:row>
      <xdr:rowOff>114300</xdr:rowOff>
    </xdr:from>
    <xdr:ext cx="264560" cy="635000"/>
    <xdr:sp macro="" textlink="">
      <xdr:nvSpPr>
        <xdr:cNvPr id="58" name="TextBox 57"/>
        <xdr:cNvSpPr txBox="1"/>
      </xdr:nvSpPr>
      <xdr:spPr>
        <a:xfrm rot="16200000">
          <a:off x="13919200" y="10736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583</xdr:row>
      <xdr:rowOff>0</xdr:rowOff>
    </xdr:from>
    <xdr:ext cx="6985000" cy="264560"/>
    <xdr:sp macro="" textlink="">
      <xdr:nvSpPr>
        <xdr:cNvPr id="59" name="TextBox 58"/>
        <xdr:cNvSpPr txBox="1"/>
      </xdr:nvSpPr>
      <xdr:spPr>
        <a:xfrm>
          <a:off x="1270000" y="11106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RS1- </a:t>
          </a:r>
          <a:r>
            <a:rPr lang="ru-RU" sz="1100"/>
            <a:t>частотный преобразователь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584</xdr:row>
      <xdr:rowOff>63500</xdr:rowOff>
    </xdr:from>
    <xdr:ext cx="6985000" cy="264560"/>
    <xdr:sp macro="" textlink="">
      <xdr:nvSpPr>
        <xdr:cNvPr id="60" name="TextBox 59"/>
        <xdr:cNvSpPr txBox="1"/>
      </xdr:nvSpPr>
      <xdr:spPr>
        <a:xfrm>
          <a:off x="1270000" y="11131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M1- </a:t>
          </a:r>
          <a:r>
            <a:rPr lang="ru-RU" sz="1100"/>
            <a:t>двигатель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585</xdr:row>
      <xdr:rowOff>127000</xdr:rowOff>
    </xdr:from>
    <xdr:ext cx="6985000" cy="264560"/>
    <xdr:sp macro="" textlink="">
      <xdr:nvSpPr>
        <xdr:cNvPr id="61" name="TextBox 60"/>
        <xdr:cNvSpPr txBox="1"/>
      </xdr:nvSpPr>
      <xdr:spPr>
        <a:xfrm>
          <a:off x="1270000" y="11156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RS2- </a:t>
          </a:r>
          <a:r>
            <a:rPr lang="ru-RU" sz="1100"/>
            <a:t>частотный преобразователь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587</xdr:row>
      <xdr:rowOff>0</xdr:rowOff>
    </xdr:from>
    <xdr:ext cx="6985000" cy="264560"/>
    <xdr:sp macro="" textlink="">
      <xdr:nvSpPr>
        <xdr:cNvPr id="62" name="TextBox 61"/>
        <xdr:cNvSpPr txBox="1"/>
      </xdr:nvSpPr>
      <xdr:spPr>
        <a:xfrm>
          <a:off x="1270000" y="11182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M2- </a:t>
          </a:r>
          <a:r>
            <a:rPr lang="ru-RU" sz="1100"/>
            <a:t>двигатель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588</xdr:row>
      <xdr:rowOff>63500</xdr:rowOff>
    </xdr:from>
    <xdr:ext cx="6985000" cy="264560"/>
    <xdr:sp macro="" textlink="">
      <xdr:nvSpPr>
        <xdr:cNvPr id="63" name="TextBox 62"/>
        <xdr:cNvSpPr txBox="1"/>
      </xdr:nvSpPr>
      <xdr:spPr>
        <a:xfrm>
          <a:off x="1270000" y="112077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BS1 - </a:t>
          </a:r>
          <a:r>
            <a:rPr lang="ru-RU" sz="1100"/>
            <a:t>регулятор 1-я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589</xdr:row>
      <xdr:rowOff>127000</xdr:rowOff>
    </xdr:from>
    <xdr:ext cx="6985000" cy="264560"/>
    <xdr:sp macro="" textlink="">
      <xdr:nvSpPr>
        <xdr:cNvPr id="64" name="TextBox 63"/>
        <xdr:cNvSpPr txBox="1"/>
      </xdr:nvSpPr>
      <xdr:spPr>
        <a:xfrm>
          <a:off x="1270000" y="11233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NK1 - 1-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591</xdr:row>
      <xdr:rowOff>0</xdr:rowOff>
    </xdr:from>
    <xdr:ext cx="6985000" cy="264560"/>
    <xdr:sp macro="" textlink="">
      <xdr:nvSpPr>
        <xdr:cNvPr id="65" name="TextBox 64"/>
        <xdr:cNvSpPr txBox="1"/>
      </xdr:nvSpPr>
      <xdr:spPr>
        <a:xfrm>
          <a:off x="1270000" y="11258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NK2 - 2-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592</xdr:row>
      <xdr:rowOff>63500</xdr:rowOff>
    </xdr:from>
    <xdr:ext cx="6985000" cy="264560"/>
    <xdr:sp macro="" textlink="">
      <xdr:nvSpPr>
        <xdr:cNvPr id="66" name="TextBox 65"/>
        <xdr:cNvSpPr txBox="1"/>
      </xdr:nvSpPr>
      <xdr:spPr>
        <a:xfrm>
          <a:off x="1270000" y="11283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PD1 - </a:t>
          </a:r>
          <a:r>
            <a:rPr lang="ru-RU" sz="1100"/>
            <a:t>Прессостат фильтра №1</a:t>
          </a:r>
        </a:p>
      </xdr:txBody>
    </xdr:sp>
    <xdr:clientData/>
  </xdr:oneCellAnchor>
  <xdr:oneCellAnchor>
    <xdr:from>
      <xdr:col>3</xdr:col>
      <xdr:colOff>469900</xdr:colOff>
      <xdr:row>593</xdr:row>
      <xdr:rowOff>127000</xdr:rowOff>
    </xdr:from>
    <xdr:ext cx="6985000" cy="264560"/>
    <xdr:sp macro="" textlink="">
      <xdr:nvSpPr>
        <xdr:cNvPr id="67" name="TextBox 66"/>
        <xdr:cNvSpPr txBox="1"/>
      </xdr:nvSpPr>
      <xdr:spPr>
        <a:xfrm>
          <a:off x="1270000" y="11309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PD2 - </a:t>
          </a:r>
          <a:r>
            <a:rPr lang="ru-RU" sz="1100"/>
            <a:t>Прессостат фильтра №2</a:t>
          </a:r>
        </a:p>
      </xdr:txBody>
    </xdr:sp>
    <xdr:clientData/>
  </xdr:oneCellAnchor>
  <xdr:oneCellAnchor>
    <xdr:from>
      <xdr:col>15</xdr:col>
      <xdr:colOff>876300</xdr:colOff>
      <xdr:row>581</xdr:row>
      <xdr:rowOff>127000</xdr:rowOff>
    </xdr:from>
    <xdr:ext cx="3810000" cy="264560"/>
    <xdr:sp macro="" textlink="">
      <xdr:nvSpPr>
        <xdr:cNvPr id="68" name="TextBox 67"/>
        <xdr:cNvSpPr txBox="1"/>
      </xdr:nvSpPr>
      <xdr:spPr>
        <a:xfrm>
          <a:off x="11430000" y="110807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PD3 - </a:t>
          </a:r>
          <a:r>
            <a:rPr lang="ru-RU" sz="1100"/>
            <a:t>Прессостат приточного вентилятора</a:t>
          </a:r>
        </a:p>
      </xdr:txBody>
    </xdr:sp>
    <xdr:clientData/>
  </xdr:oneCellAnchor>
  <xdr:oneCellAnchor>
    <xdr:from>
      <xdr:col>15</xdr:col>
      <xdr:colOff>876300</xdr:colOff>
      <xdr:row>580</xdr:row>
      <xdr:rowOff>63500</xdr:rowOff>
    </xdr:from>
    <xdr:ext cx="3810000" cy="264560"/>
    <xdr:sp macro="" textlink="">
      <xdr:nvSpPr>
        <xdr:cNvPr id="69" name="TextBox 68"/>
        <xdr:cNvSpPr txBox="1"/>
      </xdr:nvSpPr>
      <xdr:spPr>
        <a:xfrm>
          <a:off x="11430000" y="110553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PD4 - </a:t>
          </a:r>
          <a:r>
            <a:rPr lang="ru-RU" sz="1100"/>
            <a:t>Прессостат вытяжного вентилятора</a:t>
          </a:r>
        </a:p>
      </xdr:txBody>
    </xdr:sp>
    <xdr:clientData/>
  </xdr:oneCellAnchor>
  <xdr:twoCellAnchor>
    <xdr:from>
      <xdr:col>3</xdr:col>
      <xdr:colOff>596900</xdr:colOff>
      <xdr:row>615</xdr:row>
      <xdr:rowOff>127000</xdr:rowOff>
    </xdr:from>
    <xdr:to>
      <xdr:col>4</xdr:col>
      <xdr:colOff>314325</xdr:colOff>
      <xdr:row>619</xdr:row>
      <xdr:rowOff>127000</xdr:rowOff>
    </xdr:to>
    <xdr:sp macro="" textlink="">
      <xdr:nvSpPr>
        <xdr:cNvPr id="70" name="Прямоугольник 69"/>
        <xdr:cNvSpPr/>
      </xdr:nvSpPr>
      <xdr:spPr>
        <a:xfrm>
          <a:off x="1397000" y="11728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613</xdr:row>
      <xdr:rowOff>127000</xdr:rowOff>
    </xdr:from>
    <xdr:to>
      <xdr:col>5</xdr:col>
      <xdr:colOff>95250</xdr:colOff>
      <xdr:row>621</xdr:row>
      <xdr:rowOff>127000</xdr:rowOff>
    </xdr:to>
    <xdr:sp macro="" textlink="">
      <xdr:nvSpPr>
        <xdr:cNvPr id="71" name="Прямоугольник 70"/>
        <xdr:cNvSpPr/>
      </xdr:nvSpPr>
      <xdr:spPr>
        <a:xfrm>
          <a:off x="215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9</a:t>
          </a:r>
        </a:p>
      </xdr:txBody>
    </xdr:sp>
    <xdr:clientData/>
  </xdr:twoCellAnchor>
  <xdr:twoCellAnchor>
    <xdr:from>
      <xdr:col>5</xdr:col>
      <xdr:colOff>95250</xdr:colOff>
      <xdr:row>613</xdr:row>
      <xdr:rowOff>127000</xdr:rowOff>
    </xdr:from>
    <xdr:to>
      <xdr:col>5</xdr:col>
      <xdr:colOff>412750</xdr:colOff>
      <xdr:row>621</xdr:row>
      <xdr:rowOff>127000</xdr:rowOff>
    </xdr:to>
    <xdr:sp macro="" textlink="">
      <xdr:nvSpPr>
        <xdr:cNvPr id="72" name="Прямоугольник 71"/>
        <xdr:cNvSpPr/>
      </xdr:nvSpPr>
      <xdr:spPr>
        <a:xfrm>
          <a:off x="247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10</a:t>
          </a:r>
        </a:p>
      </xdr:txBody>
    </xdr:sp>
    <xdr:clientData/>
  </xdr:twoCellAnchor>
  <xdr:twoCellAnchor>
    <xdr:from>
      <xdr:col>4</xdr:col>
      <xdr:colOff>727075</xdr:colOff>
      <xdr:row>621</xdr:row>
      <xdr:rowOff>127000</xdr:rowOff>
    </xdr:from>
    <xdr:to>
      <xdr:col>4</xdr:col>
      <xdr:colOff>727075</xdr:colOff>
      <xdr:row>622</xdr:row>
      <xdr:rowOff>127000</xdr:rowOff>
    </xdr:to>
    <xdr:cxnSp macro="">
      <xdr:nvCxnSpPr>
        <xdr:cNvPr id="73" name="Прямая со стрелкой 72"/>
        <xdr:cNvCxnSpPr/>
      </xdr:nvCxnSpPr>
      <xdr:spPr>
        <a:xfrm flipV="1">
          <a:off x="231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621</xdr:row>
      <xdr:rowOff>127000</xdr:rowOff>
    </xdr:from>
    <xdr:to>
      <xdr:col>5</xdr:col>
      <xdr:colOff>254000</xdr:colOff>
      <xdr:row>622</xdr:row>
      <xdr:rowOff>127000</xdr:rowOff>
    </xdr:to>
    <xdr:cxnSp macro="">
      <xdr:nvCxnSpPr>
        <xdr:cNvPr id="74" name="Прямая со стрелкой 73"/>
        <xdr:cNvCxnSpPr/>
      </xdr:nvCxnSpPr>
      <xdr:spPr>
        <a:xfrm flipV="1">
          <a:off x="263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727075</xdr:colOff>
      <xdr:row>622</xdr:row>
      <xdr:rowOff>127000</xdr:rowOff>
    </xdr:from>
    <xdr:to>
      <xdr:col>5</xdr:col>
      <xdr:colOff>254000</xdr:colOff>
      <xdr:row>622</xdr:row>
      <xdr:rowOff>127000</xdr:rowOff>
    </xdr:to>
    <xdr:cxnSp macro="">
      <xdr:nvCxnSpPr>
        <xdr:cNvPr id="75" name="Прямая со стрелкой 74"/>
        <xdr:cNvCxnSpPr/>
      </xdr:nvCxnSpPr>
      <xdr:spPr>
        <a:xfrm>
          <a:off x="231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682625</xdr:colOff>
      <xdr:row>627</xdr:row>
      <xdr:rowOff>0</xdr:rowOff>
    </xdr:from>
    <xdr:to>
      <xdr:col>5</xdr:col>
      <xdr:colOff>298450</xdr:colOff>
      <xdr:row>631</xdr:row>
      <xdr:rowOff>127000</xdr:rowOff>
    </xdr:to>
    <xdr:sp macro="" textlink="">
      <xdr:nvSpPr>
        <xdr:cNvPr id="76" name="Прямоугольник 75"/>
        <xdr:cNvSpPr/>
      </xdr:nvSpPr>
      <xdr:spPr>
        <a:xfrm>
          <a:off x="227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682625</xdr:colOff>
      <xdr:row>627</xdr:row>
      <xdr:rowOff>0</xdr:rowOff>
    </xdr:from>
    <xdr:to>
      <xdr:col>5</xdr:col>
      <xdr:colOff>95250</xdr:colOff>
      <xdr:row>628</xdr:row>
      <xdr:rowOff>12700</xdr:rowOff>
    </xdr:to>
    <xdr:sp macro="" textlink="">
      <xdr:nvSpPr>
        <xdr:cNvPr id="77" name="Прямоугольник 76"/>
        <xdr:cNvSpPr/>
      </xdr:nvSpPr>
      <xdr:spPr>
        <a:xfrm>
          <a:off x="227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95250</xdr:colOff>
      <xdr:row>627</xdr:row>
      <xdr:rowOff>0</xdr:rowOff>
    </xdr:from>
    <xdr:to>
      <xdr:col>5</xdr:col>
      <xdr:colOff>298450</xdr:colOff>
      <xdr:row>628</xdr:row>
      <xdr:rowOff>12700</xdr:rowOff>
    </xdr:to>
    <xdr:sp macro="" textlink="">
      <xdr:nvSpPr>
        <xdr:cNvPr id="78" name="Прямоугольник 77"/>
        <xdr:cNvSpPr/>
      </xdr:nvSpPr>
      <xdr:spPr>
        <a:xfrm>
          <a:off x="247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784225</xdr:colOff>
      <xdr:row>626</xdr:row>
      <xdr:rowOff>0</xdr:rowOff>
    </xdr:from>
    <xdr:to>
      <xdr:col>4</xdr:col>
      <xdr:colOff>784225</xdr:colOff>
      <xdr:row>627</xdr:row>
      <xdr:rowOff>0</xdr:rowOff>
    </xdr:to>
    <xdr:cxnSp macro="">
      <xdr:nvCxnSpPr>
        <xdr:cNvPr id="79" name="Прямая со стрелкой 78"/>
        <xdr:cNvCxnSpPr/>
      </xdr:nvCxnSpPr>
      <xdr:spPr>
        <a:xfrm flipV="1">
          <a:off x="237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196850</xdr:colOff>
      <xdr:row>626</xdr:row>
      <xdr:rowOff>0</xdr:rowOff>
    </xdr:from>
    <xdr:to>
      <xdr:col>5</xdr:col>
      <xdr:colOff>196850</xdr:colOff>
      <xdr:row>627</xdr:row>
      <xdr:rowOff>0</xdr:rowOff>
    </xdr:to>
    <xdr:cxnSp macro="">
      <xdr:nvCxnSpPr>
        <xdr:cNvPr id="80" name="Прямая со стрелкой 79"/>
        <xdr:cNvCxnSpPr/>
      </xdr:nvCxnSpPr>
      <xdr:spPr>
        <a:xfrm flipV="1">
          <a:off x="257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784225</xdr:colOff>
      <xdr:row>626</xdr:row>
      <xdr:rowOff>0</xdr:rowOff>
    </xdr:from>
    <xdr:to>
      <xdr:col>5</xdr:col>
      <xdr:colOff>196850</xdr:colOff>
      <xdr:row>626</xdr:row>
      <xdr:rowOff>0</xdr:rowOff>
    </xdr:to>
    <xdr:cxnSp macro="">
      <xdr:nvCxnSpPr>
        <xdr:cNvPr id="81" name="Прямая со стрелкой 80"/>
        <xdr:cNvCxnSpPr/>
      </xdr:nvCxnSpPr>
      <xdr:spPr>
        <a:xfrm>
          <a:off x="237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622</xdr:row>
      <xdr:rowOff>127000</xdr:rowOff>
    </xdr:from>
    <xdr:to>
      <xdr:col>5</xdr:col>
      <xdr:colOff>95250</xdr:colOff>
      <xdr:row>626</xdr:row>
      <xdr:rowOff>0</xdr:rowOff>
    </xdr:to>
    <xdr:cxnSp macro="">
      <xdr:nvCxnSpPr>
        <xdr:cNvPr id="82" name="Прямая со стрелкой 81"/>
        <xdr:cNvCxnSpPr/>
      </xdr:nvCxnSpPr>
      <xdr:spPr>
        <a:xfrm>
          <a:off x="247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639245</xdr:colOff>
      <xdr:row>622</xdr:row>
      <xdr:rowOff>114300</xdr:rowOff>
    </xdr:from>
    <xdr:ext cx="264560" cy="635000"/>
    <xdr:sp macro="" textlink="">
      <xdr:nvSpPr>
        <xdr:cNvPr id="83" name="TextBox 82"/>
        <xdr:cNvSpPr txBox="1"/>
      </xdr:nvSpPr>
      <xdr:spPr>
        <a:xfrm rot="16200000">
          <a:off x="204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5</xdr:col>
      <xdr:colOff>412750</xdr:colOff>
      <xdr:row>613</xdr:row>
      <xdr:rowOff>127000</xdr:rowOff>
    </xdr:from>
    <xdr:to>
      <xdr:col>6</xdr:col>
      <xdr:colOff>6350</xdr:colOff>
      <xdr:row>621</xdr:row>
      <xdr:rowOff>127000</xdr:rowOff>
    </xdr:to>
    <xdr:sp macro="" textlink="">
      <xdr:nvSpPr>
        <xdr:cNvPr id="84" name="Прямоугольник 83"/>
        <xdr:cNvSpPr/>
      </xdr:nvSpPr>
      <xdr:spPr>
        <a:xfrm>
          <a:off x="279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11</a:t>
          </a:r>
        </a:p>
      </xdr:txBody>
    </xdr:sp>
    <xdr:clientData/>
  </xdr:twoCellAnchor>
  <xdr:twoCellAnchor>
    <xdr:from>
      <xdr:col>6</xdr:col>
      <xdr:colOff>6350</xdr:colOff>
      <xdr:row>613</xdr:row>
      <xdr:rowOff>127000</xdr:rowOff>
    </xdr:from>
    <xdr:to>
      <xdr:col>6</xdr:col>
      <xdr:colOff>323850</xdr:colOff>
      <xdr:row>621</xdr:row>
      <xdr:rowOff>127000</xdr:rowOff>
    </xdr:to>
    <xdr:sp macro="" textlink="">
      <xdr:nvSpPr>
        <xdr:cNvPr id="85" name="Прямоугольник 84"/>
        <xdr:cNvSpPr/>
      </xdr:nvSpPr>
      <xdr:spPr>
        <a:xfrm>
          <a:off x="311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12</a:t>
          </a:r>
        </a:p>
      </xdr:txBody>
    </xdr:sp>
    <xdr:clientData/>
  </xdr:twoCellAnchor>
  <xdr:twoCellAnchor>
    <xdr:from>
      <xdr:col>5</xdr:col>
      <xdr:colOff>571500</xdr:colOff>
      <xdr:row>621</xdr:row>
      <xdr:rowOff>127000</xdr:rowOff>
    </xdr:from>
    <xdr:to>
      <xdr:col>5</xdr:col>
      <xdr:colOff>571500</xdr:colOff>
      <xdr:row>622</xdr:row>
      <xdr:rowOff>127000</xdr:rowOff>
    </xdr:to>
    <xdr:cxnSp macro="">
      <xdr:nvCxnSpPr>
        <xdr:cNvPr id="86" name="Прямая со стрелкой 85"/>
        <xdr:cNvCxnSpPr/>
      </xdr:nvCxnSpPr>
      <xdr:spPr>
        <a:xfrm flipV="1">
          <a:off x="295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621</xdr:row>
      <xdr:rowOff>127000</xdr:rowOff>
    </xdr:from>
    <xdr:to>
      <xdr:col>6</xdr:col>
      <xdr:colOff>165100</xdr:colOff>
      <xdr:row>622</xdr:row>
      <xdr:rowOff>127000</xdr:rowOff>
    </xdr:to>
    <xdr:cxnSp macro="">
      <xdr:nvCxnSpPr>
        <xdr:cNvPr id="87" name="Прямая со стрелкой 86"/>
        <xdr:cNvCxnSpPr/>
      </xdr:nvCxnSpPr>
      <xdr:spPr>
        <a:xfrm flipV="1">
          <a:off x="327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622</xdr:row>
      <xdr:rowOff>127000</xdr:rowOff>
    </xdr:from>
    <xdr:to>
      <xdr:col>6</xdr:col>
      <xdr:colOff>165100</xdr:colOff>
      <xdr:row>622</xdr:row>
      <xdr:rowOff>127000</xdr:rowOff>
    </xdr:to>
    <xdr:cxnSp macro="">
      <xdr:nvCxnSpPr>
        <xdr:cNvPr id="88" name="Прямая со стрелкой 87"/>
        <xdr:cNvCxnSpPr/>
      </xdr:nvCxnSpPr>
      <xdr:spPr>
        <a:xfrm>
          <a:off x="295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527050</xdr:colOff>
      <xdr:row>627</xdr:row>
      <xdr:rowOff>0</xdr:rowOff>
    </xdr:from>
    <xdr:to>
      <xdr:col>6</xdr:col>
      <xdr:colOff>209550</xdr:colOff>
      <xdr:row>631</xdr:row>
      <xdr:rowOff>127000</xdr:rowOff>
    </xdr:to>
    <xdr:sp macro="" textlink="">
      <xdr:nvSpPr>
        <xdr:cNvPr id="89" name="Прямоугольник 88"/>
        <xdr:cNvSpPr/>
      </xdr:nvSpPr>
      <xdr:spPr>
        <a:xfrm>
          <a:off x="290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527050</xdr:colOff>
      <xdr:row>627</xdr:row>
      <xdr:rowOff>0</xdr:rowOff>
    </xdr:from>
    <xdr:to>
      <xdr:col>6</xdr:col>
      <xdr:colOff>6350</xdr:colOff>
      <xdr:row>628</xdr:row>
      <xdr:rowOff>12700</xdr:rowOff>
    </xdr:to>
    <xdr:sp macro="" textlink="">
      <xdr:nvSpPr>
        <xdr:cNvPr id="90" name="Прямоугольник 89"/>
        <xdr:cNvSpPr/>
      </xdr:nvSpPr>
      <xdr:spPr>
        <a:xfrm>
          <a:off x="290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6350</xdr:colOff>
      <xdr:row>627</xdr:row>
      <xdr:rowOff>0</xdr:rowOff>
    </xdr:from>
    <xdr:to>
      <xdr:col>6</xdr:col>
      <xdr:colOff>209550</xdr:colOff>
      <xdr:row>628</xdr:row>
      <xdr:rowOff>12700</xdr:rowOff>
    </xdr:to>
    <xdr:sp macro="" textlink="">
      <xdr:nvSpPr>
        <xdr:cNvPr id="91" name="Прямоугольник 90"/>
        <xdr:cNvSpPr/>
      </xdr:nvSpPr>
      <xdr:spPr>
        <a:xfrm>
          <a:off x="311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628650</xdr:colOff>
      <xdr:row>626</xdr:row>
      <xdr:rowOff>0</xdr:rowOff>
    </xdr:from>
    <xdr:to>
      <xdr:col>5</xdr:col>
      <xdr:colOff>628650</xdr:colOff>
      <xdr:row>627</xdr:row>
      <xdr:rowOff>0</xdr:rowOff>
    </xdr:to>
    <xdr:cxnSp macro="">
      <xdr:nvCxnSpPr>
        <xdr:cNvPr id="92" name="Прямая со стрелкой 91"/>
        <xdr:cNvCxnSpPr/>
      </xdr:nvCxnSpPr>
      <xdr:spPr>
        <a:xfrm flipV="1">
          <a:off x="300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626</xdr:row>
      <xdr:rowOff>0</xdr:rowOff>
    </xdr:from>
    <xdr:to>
      <xdr:col>6</xdr:col>
      <xdr:colOff>107950</xdr:colOff>
      <xdr:row>627</xdr:row>
      <xdr:rowOff>0</xdr:rowOff>
    </xdr:to>
    <xdr:cxnSp macro="">
      <xdr:nvCxnSpPr>
        <xdr:cNvPr id="93" name="Прямая со стрелкой 92"/>
        <xdr:cNvCxnSpPr/>
      </xdr:nvCxnSpPr>
      <xdr:spPr>
        <a:xfrm flipV="1">
          <a:off x="321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628650</xdr:colOff>
      <xdr:row>626</xdr:row>
      <xdr:rowOff>0</xdr:rowOff>
    </xdr:from>
    <xdr:to>
      <xdr:col>6</xdr:col>
      <xdr:colOff>107950</xdr:colOff>
      <xdr:row>626</xdr:row>
      <xdr:rowOff>0</xdr:rowOff>
    </xdr:to>
    <xdr:cxnSp macro="">
      <xdr:nvCxnSpPr>
        <xdr:cNvPr id="94" name="Прямая со стрелкой 93"/>
        <xdr:cNvCxnSpPr/>
      </xdr:nvCxnSpPr>
      <xdr:spPr>
        <a:xfrm>
          <a:off x="300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622</xdr:row>
      <xdr:rowOff>127000</xdr:rowOff>
    </xdr:from>
    <xdr:to>
      <xdr:col>6</xdr:col>
      <xdr:colOff>6350</xdr:colOff>
      <xdr:row>626</xdr:row>
      <xdr:rowOff>0</xdr:rowOff>
    </xdr:to>
    <xdr:cxnSp macro="">
      <xdr:nvCxnSpPr>
        <xdr:cNvPr id="95" name="Прямая со стрелкой 94"/>
        <xdr:cNvCxnSpPr/>
      </xdr:nvCxnSpPr>
      <xdr:spPr>
        <a:xfrm>
          <a:off x="311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483670</xdr:colOff>
      <xdr:row>622</xdr:row>
      <xdr:rowOff>114300</xdr:rowOff>
    </xdr:from>
    <xdr:ext cx="264560" cy="635000"/>
    <xdr:sp macro="" textlink="">
      <xdr:nvSpPr>
        <xdr:cNvPr id="96" name="TextBox 95"/>
        <xdr:cNvSpPr txBox="1"/>
      </xdr:nvSpPr>
      <xdr:spPr>
        <a:xfrm rot="16200000">
          <a:off x="267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6</xdr:col>
      <xdr:colOff>323850</xdr:colOff>
      <xdr:row>613</xdr:row>
      <xdr:rowOff>127000</xdr:rowOff>
    </xdr:from>
    <xdr:to>
      <xdr:col>7</xdr:col>
      <xdr:colOff>127000</xdr:colOff>
      <xdr:row>621</xdr:row>
      <xdr:rowOff>127000</xdr:rowOff>
    </xdr:to>
    <xdr:sp macro="" textlink="">
      <xdr:nvSpPr>
        <xdr:cNvPr id="97" name="Прямоугольник 96"/>
        <xdr:cNvSpPr/>
      </xdr:nvSpPr>
      <xdr:spPr>
        <a:xfrm>
          <a:off x="342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13</a:t>
          </a:r>
        </a:p>
      </xdr:txBody>
    </xdr:sp>
    <xdr:clientData/>
  </xdr:twoCellAnchor>
  <xdr:twoCellAnchor>
    <xdr:from>
      <xdr:col>7</xdr:col>
      <xdr:colOff>127000</xdr:colOff>
      <xdr:row>613</xdr:row>
      <xdr:rowOff>127000</xdr:rowOff>
    </xdr:from>
    <xdr:to>
      <xdr:col>7</xdr:col>
      <xdr:colOff>444500</xdr:colOff>
      <xdr:row>621</xdr:row>
      <xdr:rowOff>127000</xdr:rowOff>
    </xdr:to>
    <xdr:sp macro="" textlink="">
      <xdr:nvSpPr>
        <xdr:cNvPr id="98" name="Прямоугольник 97"/>
        <xdr:cNvSpPr/>
      </xdr:nvSpPr>
      <xdr:spPr>
        <a:xfrm>
          <a:off x="374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14</a:t>
          </a:r>
        </a:p>
      </xdr:txBody>
    </xdr:sp>
    <xdr:clientData/>
  </xdr:twoCellAnchor>
  <xdr:twoCellAnchor>
    <xdr:from>
      <xdr:col>6</xdr:col>
      <xdr:colOff>482600</xdr:colOff>
      <xdr:row>621</xdr:row>
      <xdr:rowOff>127000</xdr:rowOff>
    </xdr:from>
    <xdr:to>
      <xdr:col>6</xdr:col>
      <xdr:colOff>482600</xdr:colOff>
      <xdr:row>622</xdr:row>
      <xdr:rowOff>127000</xdr:rowOff>
    </xdr:to>
    <xdr:cxnSp macro="">
      <xdr:nvCxnSpPr>
        <xdr:cNvPr id="99" name="Прямая со стрелкой 98"/>
        <xdr:cNvCxnSpPr/>
      </xdr:nvCxnSpPr>
      <xdr:spPr>
        <a:xfrm flipV="1">
          <a:off x="358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621</xdr:row>
      <xdr:rowOff>127000</xdr:rowOff>
    </xdr:from>
    <xdr:to>
      <xdr:col>7</xdr:col>
      <xdr:colOff>285750</xdr:colOff>
      <xdr:row>622</xdr:row>
      <xdr:rowOff>127000</xdr:rowOff>
    </xdr:to>
    <xdr:cxnSp macro="">
      <xdr:nvCxnSpPr>
        <xdr:cNvPr id="100" name="Прямая со стрелкой 99"/>
        <xdr:cNvCxnSpPr/>
      </xdr:nvCxnSpPr>
      <xdr:spPr>
        <a:xfrm flipV="1">
          <a:off x="390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622</xdr:row>
      <xdr:rowOff>127000</xdr:rowOff>
    </xdr:from>
    <xdr:to>
      <xdr:col>7</xdr:col>
      <xdr:colOff>285750</xdr:colOff>
      <xdr:row>622</xdr:row>
      <xdr:rowOff>127000</xdr:rowOff>
    </xdr:to>
    <xdr:cxnSp macro="">
      <xdr:nvCxnSpPr>
        <xdr:cNvPr id="101" name="Прямая со стрелкой 100"/>
        <xdr:cNvCxnSpPr/>
      </xdr:nvCxnSpPr>
      <xdr:spPr>
        <a:xfrm>
          <a:off x="358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438150</xdr:colOff>
      <xdr:row>627</xdr:row>
      <xdr:rowOff>0</xdr:rowOff>
    </xdr:from>
    <xdr:to>
      <xdr:col>7</xdr:col>
      <xdr:colOff>330200</xdr:colOff>
      <xdr:row>631</xdr:row>
      <xdr:rowOff>127000</xdr:rowOff>
    </xdr:to>
    <xdr:sp macro="" textlink="">
      <xdr:nvSpPr>
        <xdr:cNvPr id="102" name="Прямоугольник 101"/>
        <xdr:cNvSpPr/>
      </xdr:nvSpPr>
      <xdr:spPr>
        <a:xfrm>
          <a:off x="354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FS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438150</xdr:colOff>
      <xdr:row>627</xdr:row>
      <xdr:rowOff>0</xdr:rowOff>
    </xdr:from>
    <xdr:to>
      <xdr:col>7</xdr:col>
      <xdr:colOff>127000</xdr:colOff>
      <xdr:row>628</xdr:row>
      <xdr:rowOff>12700</xdr:rowOff>
    </xdr:to>
    <xdr:sp macro="" textlink="">
      <xdr:nvSpPr>
        <xdr:cNvPr id="103" name="Прямоугольник 102"/>
        <xdr:cNvSpPr/>
      </xdr:nvSpPr>
      <xdr:spPr>
        <a:xfrm>
          <a:off x="354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127000</xdr:colOff>
      <xdr:row>627</xdr:row>
      <xdr:rowOff>0</xdr:rowOff>
    </xdr:from>
    <xdr:to>
      <xdr:col>7</xdr:col>
      <xdr:colOff>330200</xdr:colOff>
      <xdr:row>628</xdr:row>
      <xdr:rowOff>12700</xdr:rowOff>
    </xdr:to>
    <xdr:sp macro="" textlink="">
      <xdr:nvSpPr>
        <xdr:cNvPr id="104" name="Прямоугольник 103"/>
        <xdr:cNvSpPr/>
      </xdr:nvSpPr>
      <xdr:spPr>
        <a:xfrm>
          <a:off x="374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25400</xdr:colOff>
      <xdr:row>626</xdr:row>
      <xdr:rowOff>0</xdr:rowOff>
    </xdr:from>
    <xdr:to>
      <xdr:col>7</xdr:col>
      <xdr:colOff>25400</xdr:colOff>
      <xdr:row>627</xdr:row>
      <xdr:rowOff>0</xdr:rowOff>
    </xdr:to>
    <xdr:cxnSp macro="">
      <xdr:nvCxnSpPr>
        <xdr:cNvPr id="105" name="Прямая со стрелкой 104"/>
        <xdr:cNvCxnSpPr/>
      </xdr:nvCxnSpPr>
      <xdr:spPr>
        <a:xfrm flipV="1">
          <a:off x="364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626</xdr:row>
      <xdr:rowOff>0</xdr:rowOff>
    </xdr:from>
    <xdr:to>
      <xdr:col>7</xdr:col>
      <xdr:colOff>228600</xdr:colOff>
      <xdr:row>627</xdr:row>
      <xdr:rowOff>0</xdr:rowOff>
    </xdr:to>
    <xdr:cxnSp macro="">
      <xdr:nvCxnSpPr>
        <xdr:cNvPr id="106" name="Прямая со стрелкой 105"/>
        <xdr:cNvCxnSpPr/>
      </xdr:nvCxnSpPr>
      <xdr:spPr>
        <a:xfrm flipV="1">
          <a:off x="384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626</xdr:row>
      <xdr:rowOff>0</xdr:rowOff>
    </xdr:from>
    <xdr:to>
      <xdr:col>7</xdr:col>
      <xdr:colOff>228600</xdr:colOff>
      <xdr:row>626</xdr:row>
      <xdr:rowOff>0</xdr:rowOff>
    </xdr:to>
    <xdr:cxnSp macro="">
      <xdr:nvCxnSpPr>
        <xdr:cNvPr id="107" name="Прямая со стрелкой 106"/>
        <xdr:cNvCxnSpPr/>
      </xdr:nvCxnSpPr>
      <xdr:spPr>
        <a:xfrm>
          <a:off x="364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127000</xdr:colOff>
      <xdr:row>622</xdr:row>
      <xdr:rowOff>127000</xdr:rowOff>
    </xdr:from>
    <xdr:to>
      <xdr:col>7</xdr:col>
      <xdr:colOff>127000</xdr:colOff>
      <xdr:row>626</xdr:row>
      <xdr:rowOff>0</xdr:rowOff>
    </xdr:to>
    <xdr:cxnSp macro="">
      <xdr:nvCxnSpPr>
        <xdr:cNvPr id="108" name="Прямая со стрелкой 107"/>
        <xdr:cNvCxnSpPr/>
      </xdr:nvCxnSpPr>
      <xdr:spPr>
        <a:xfrm>
          <a:off x="374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394770</xdr:colOff>
      <xdr:row>622</xdr:row>
      <xdr:rowOff>114300</xdr:rowOff>
    </xdr:from>
    <xdr:ext cx="264560" cy="635000"/>
    <xdr:sp macro="" textlink="">
      <xdr:nvSpPr>
        <xdr:cNvPr id="109" name="TextBox 108"/>
        <xdr:cNvSpPr txBox="1"/>
      </xdr:nvSpPr>
      <xdr:spPr>
        <a:xfrm rot="16200000">
          <a:off x="331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7</xdr:col>
      <xdr:colOff>444500</xdr:colOff>
      <xdr:row>613</xdr:row>
      <xdr:rowOff>127000</xdr:rowOff>
    </xdr:from>
    <xdr:to>
      <xdr:col>8</xdr:col>
      <xdr:colOff>38100</xdr:colOff>
      <xdr:row>621</xdr:row>
      <xdr:rowOff>127000</xdr:rowOff>
    </xdr:to>
    <xdr:sp macro="" textlink="">
      <xdr:nvSpPr>
        <xdr:cNvPr id="110" name="Прямоугольник 109"/>
        <xdr:cNvSpPr/>
      </xdr:nvSpPr>
      <xdr:spPr>
        <a:xfrm>
          <a:off x="406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15</a:t>
          </a:r>
        </a:p>
      </xdr:txBody>
    </xdr:sp>
    <xdr:clientData/>
  </xdr:twoCellAnchor>
  <xdr:twoCellAnchor>
    <xdr:from>
      <xdr:col>8</xdr:col>
      <xdr:colOff>38100</xdr:colOff>
      <xdr:row>613</xdr:row>
      <xdr:rowOff>127000</xdr:rowOff>
    </xdr:from>
    <xdr:to>
      <xdr:col>8</xdr:col>
      <xdr:colOff>355600</xdr:colOff>
      <xdr:row>621</xdr:row>
      <xdr:rowOff>127000</xdr:rowOff>
    </xdr:to>
    <xdr:sp macro="" textlink="">
      <xdr:nvSpPr>
        <xdr:cNvPr id="111" name="Прямоугольник 110"/>
        <xdr:cNvSpPr/>
      </xdr:nvSpPr>
      <xdr:spPr>
        <a:xfrm>
          <a:off x="438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16</a:t>
          </a:r>
        </a:p>
      </xdr:txBody>
    </xdr:sp>
    <xdr:clientData/>
  </xdr:twoCellAnchor>
  <xdr:twoCellAnchor>
    <xdr:from>
      <xdr:col>7</xdr:col>
      <xdr:colOff>603250</xdr:colOff>
      <xdr:row>621</xdr:row>
      <xdr:rowOff>127000</xdr:rowOff>
    </xdr:from>
    <xdr:to>
      <xdr:col>7</xdr:col>
      <xdr:colOff>603250</xdr:colOff>
      <xdr:row>622</xdr:row>
      <xdr:rowOff>127000</xdr:rowOff>
    </xdr:to>
    <xdr:cxnSp macro="">
      <xdr:nvCxnSpPr>
        <xdr:cNvPr id="112" name="Прямая со стрелкой 111"/>
        <xdr:cNvCxnSpPr/>
      </xdr:nvCxnSpPr>
      <xdr:spPr>
        <a:xfrm flipV="1">
          <a:off x="422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196850</xdr:colOff>
      <xdr:row>621</xdr:row>
      <xdr:rowOff>127000</xdr:rowOff>
    </xdr:from>
    <xdr:to>
      <xdr:col>8</xdr:col>
      <xdr:colOff>196850</xdr:colOff>
      <xdr:row>622</xdr:row>
      <xdr:rowOff>127000</xdr:rowOff>
    </xdr:to>
    <xdr:cxnSp macro="">
      <xdr:nvCxnSpPr>
        <xdr:cNvPr id="113" name="Прямая со стрелкой 112"/>
        <xdr:cNvCxnSpPr/>
      </xdr:nvCxnSpPr>
      <xdr:spPr>
        <a:xfrm flipV="1">
          <a:off x="454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622</xdr:row>
      <xdr:rowOff>127000</xdr:rowOff>
    </xdr:from>
    <xdr:to>
      <xdr:col>8</xdr:col>
      <xdr:colOff>196850</xdr:colOff>
      <xdr:row>622</xdr:row>
      <xdr:rowOff>127000</xdr:rowOff>
    </xdr:to>
    <xdr:cxnSp macro="">
      <xdr:nvCxnSpPr>
        <xdr:cNvPr id="114" name="Прямая со стрелкой 113"/>
        <xdr:cNvCxnSpPr/>
      </xdr:nvCxnSpPr>
      <xdr:spPr>
        <a:xfrm>
          <a:off x="422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622</xdr:row>
      <xdr:rowOff>127000</xdr:rowOff>
    </xdr:from>
    <xdr:to>
      <xdr:col>8</xdr:col>
      <xdr:colOff>38100</xdr:colOff>
      <xdr:row>626</xdr:row>
      <xdr:rowOff>0</xdr:rowOff>
    </xdr:to>
    <xdr:cxnSp macro="">
      <xdr:nvCxnSpPr>
        <xdr:cNvPr id="115" name="Прямая со стрелкой 114"/>
        <xdr:cNvCxnSpPr/>
      </xdr:nvCxnSpPr>
      <xdr:spPr>
        <a:xfrm>
          <a:off x="438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457493</xdr:colOff>
      <xdr:row>626</xdr:row>
      <xdr:rowOff>127001</xdr:rowOff>
    </xdr:from>
    <xdr:ext cx="609013" cy="2032000"/>
    <xdr:sp macro="" textlink="">
      <xdr:nvSpPr>
        <xdr:cNvPr id="116" name="TextBox 115"/>
        <xdr:cNvSpPr txBox="1"/>
      </xdr:nvSpPr>
      <xdr:spPr>
        <a:xfrm rot="16200000">
          <a:off x="3365500" y="120091494"/>
          <a:ext cx="2032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ru-RU" sz="1100"/>
            <a:t>Авария электрического
нагревателя
НЗ-"сухой" контакт</a:t>
          </a:r>
        </a:p>
      </xdr:txBody>
    </xdr:sp>
    <xdr:clientData/>
  </xdr:oneCellAnchor>
  <xdr:twoCellAnchor>
    <xdr:from>
      <xdr:col>8</xdr:col>
      <xdr:colOff>355600</xdr:colOff>
      <xdr:row>613</xdr:row>
      <xdr:rowOff>127000</xdr:rowOff>
    </xdr:from>
    <xdr:to>
      <xdr:col>8</xdr:col>
      <xdr:colOff>673100</xdr:colOff>
      <xdr:row>621</xdr:row>
      <xdr:rowOff>127000</xdr:rowOff>
    </xdr:to>
    <xdr:sp macro="" textlink="">
      <xdr:nvSpPr>
        <xdr:cNvPr id="117" name="Прямоугольник 116"/>
        <xdr:cNvSpPr/>
      </xdr:nvSpPr>
      <xdr:spPr>
        <a:xfrm>
          <a:off x="469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17</a:t>
          </a:r>
        </a:p>
      </xdr:txBody>
    </xdr:sp>
    <xdr:clientData/>
  </xdr:twoCellAnchor>
  <xdr:twoCellAnchor>
    <xdr:from>
      <xdr:col>8</xdr:col>
      <xdr:colOff>673100</xdr:colOff>
      <xdr:row>613</xdr:row>
      <xdr:rowOff>127000</xdr:rowOff>
    </xdr:from>
    <xdr:to>
      <xdr:col>9</xdr:col>
      <xdr:colOff>66675</xdr:colOff>
      <xdr:row>621</xdr:row>
      <xdr:rowOff>127000</xdr:rowOff>
    </xdr:to>
    <xdr:sp macro="" textlink="">
      <xdr:nvSpPr>
        <xdr:cNvPr id="118" name="Прямоугольник 117"/>
        <xdr:cNvSpPr/>
      </xdr:nvSpPr>
      <xdr:spPr>
        <a:xfrm>
          <a:off x="501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18</a:t>
          </a:r>
        </a:p>
      </xdr:txBody>
    </xdr:sp>
    <xdr:clientData/>
  </xdr:twoCellAnchor>
  <xdr:twoCellAnchor>
    <xdr:from>
      <xdr:col>8</xdr:col>
      <xdr:colOff>514350</xdr:colOff>
      <xdr:row>621</xdr:row>
      <xdr:rowOff>127000</xdr:rowOff>
    </xdr:from>
    <xdr:to>
      <xdr:col>8</xdr:col>
      <xdr:colOff>514350</xdr:colOff>
      <xdr:row>622</xdr:row>
      <xdr:rowOff>127000</xdr:rowOff>
    </xdr:to>
    <xdr:cxnSp macro="">
      <xdr:nvCxnSpPr>
        <xdr:cNvPr id="119" name="Прямая со стрелкой 118"/>
        <xdr:cNvCxnSpPr/>
      </xdr:nvCxnSpPr>
      <xdr:spPr>
        <a:xfrm flipV="1">
          <a:off x="485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831850</xdr:colOff>
      <xdr:row>621</xdr:row>
      <xdr:rowOff>127000</xdr:rowOff>
    </xdr:from>
    <xdr:to>
      <xdr:col>8</xdr:col>
      <xdr:colOff>831850</xdr:colOff>
      <xdr:row>622</xdr:row>
      <xdr:rowOff>127000</xdr:rowOff>
    </xdr:to>
    <xdr:cxnSp macro="">
      <xdr:nvCxnSpPr>
        <xdr:cNvPr id="120" name="Прямая со стрелкой 119"/>
        <xdr:cNvCxnSpPr/>
      </xdr:nvCxnSpPr>
      <xdr:spPr>
        <a:xfrm flipV="1">
          <a:off x="517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622</xdr:row>
      <xdr:rowOff>127000</xdr:rowOff>
    </xdr:from>
    <xdr:to>
      <xdr:col>8</xdr:col>
      <xdr:colOff>831850</xdr:colOff>
      <xdr:row>622</xdr:row>
      <xdr:rowOff>127000</xdr:rowOff>
    </xdr:to>
    <xdr:cxnSp macro="">
      <xdr:nvCxnSpPr>
        <xdr:cNvPr id="121" name="Прямая со стрелкой 120"/>
        <xdr:cNvCxnSpPr/>
      </xdr:nvCxnSpPr>
      <xdr:spPr>
        <a:xfrm>
          <a:off x="485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469900</xdr:colOff>
      <xdr:row>627</xdr:row>
      <xdr:rowOff>0</xdr:rowOff>
    </xdr:from>
    <xdr:to>
      <xdr:col>8</xdr:col>
      <xdr:colOff>876300</xdr:colOff>
      <xdr:row>631</xdr:row>
      <xdr:rowOff>127000</xdr:rowOff>
    </xdr:to>
    <xdr:sp macro="" textlink="">
      <xdr:nvSpPr>
        <xdr:cNvPr id="122" name="Прямоугольник 121"/>
        <xdr:cNvSpPr/>
      </xdr:nvSpPr>
      <xdr:spPr>
        <a:xfrm>
          <a:off x="481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469900</xdr:colOff>
      <xdr:row>627</xdr:row>
      <xdr:rowOff>0</xdr:rowOff>
    </xdr:from>
    <xdr:to>
      <xdr:col>8</xdr:col>
      <xdr:colOff>673100</xdr:colOff>
      <xdr:row>628</xdr:row>
      <xdr:rowOff>12700</xdr:rowOff>
    </xdr:to>
    <xdr:sp macro="" textlink="">
      <xdr:nvSpPr>
        <xdr:cNvPr id="123" name="Прямоугольник 122"/>
        <xdr:cNvSpPr/>
      </xdr:nvSpPr>
      <xdr:spPr>
        <a:xfrm>
          <a:off x="481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673100</xdr:colOff>
      <xdr:row>627</xdr:row>
      <xdr:rowOff>0</xdr:rowOff>
    </xdr:from>
    <xdr:to>
      <xdr:col>8</xdr:col>
      <xdr:colOff>876300</xdr:colOff>
      <xdr:row>628</xdr:row>
      <xdr:rowOff>12700</xdr:rowOff>
    </xdr:to>
    <xdr:sp macro="" textlink="">
      <xdr:nvSpPr>
        <xdr:cNvPr id="124" name="Прямоугольник 123"/>
        <xdr:cNvSpPr/>
      </xdr:nvSpPr>
      <xdr:spPr>
        <a:xfrm>
          <a:off x="501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571500</xdr:colOff>
      <xdr:row>626</xdr:row>
      <xdr:rowOff>0</xdr:rowOff>
    </xdr:from>
    <xdr:to>
      <xdr:col>8</xdr:col>
      <xdr:colOff>571500</xdr:colOff>
      <xdr:row>627</xdr:row>
      <xdr:rowOff>0</xdr:rowOff>
    </xdr:to>
    <xdr:cxnSp macro="">
      <xdr:nvCxnSpPr>
        <xdr:cNvPr id="125" name="Прямая со стрелкой 124"/>
        <xdr:cNvCxnSpPr/>
      </xdr:nvCxnSpPr>
      <xdr:spPr>
        <a:xfrm flipV="1">
          <a:off x="491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774700</xdr:colOff>
      <xdr:row>626</xdr:row>
      <xdr:rowOff>0</xdr:rowOff>
    </xdr:from>
    <xdr:to>
      <xdr:col>8</xdr:col>
      <xdr:colOff>774700</xdr:colOff>
      <xdr:row>627</xdr:row>
      <xdr:rowOff>0</xdr:rowOff>
    </xdr:to>
    <xdr:cxnSp macro="">
      <xdr:nvCxnSpPr>
        <xdr:cNvPr id="126" name="Прямая со стрелкой 125"/>
        <xdr:cNvCxnSpPr/>
      </xdr:nvCxnSpPr>
      <xdr:spPr>
        <a:xfrm flipV="1">
          <a:off x="511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626</xdr:row>
      <xdr:rowOff>0</xdr:rowOff>
    </xdr:from>
    <xdr:to>
      <xdr:col>8</xdr:col>
      <xdr:colOff>774700</xdr:colOff>
      <xdr:row>626</xdr:row>
      <xdr:rowOff>0</xdr:rowOff>
    </xdr:to>
    <xdr:cxnSp macro="">
      <xdr:nvCxnSpPr>
        <xdr:cNvPr id="127" name="Прямая со стрелкой 126"/>
        <xdr:cNvCxnSpPr/>
      </xdr:nvCxnSpPr>
      <xdr:spPr>
        <a:xfrm>
          <a:off x="491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673100</xdr:colOff>
      <xdr:row>622</xdr:row>
      <xdr:rowOff>127000</xdr:rowOff>
    </xdr:from>
    <xdr:to>
      <xdr:col>8</xdr:col>
      <xdr:colOff>673100</xdr:colOff>
      <xdr:row>626</xdr:row>
      <xdr:rowOff>0</xdr:rowOff>
    </xdr:to>
    <xdr:cxnSp macro="">
      <xdr:nvCxnSpPr>
        <xdr:cNvPr id="128" name="Прямая со стрелкой 127"/>
        <xdr:cNvCxnSpPr/>
      </xdr:nvCxnSpPr>
      <xdr:spPr>
        <a:xfrm>
          <a:off x="501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426520</xdr:colOff>
      <xdr:row>622</xdr:row>
      <xdr:rowOff>114300</xdr:rowOff>
    </xdr:from>
    <xdr:ext cx="264560" cy="635000"/>
    <xdr:sp macro="" textlink="">
      <xdr:nvSpPr>
        <xdr:cNvPr id="129" name="TextBox 128"/>
        <xdr:cNvSpPr txBox="1"/>
      </xdr:nvSpPr>
      <xdr:spPr>
        <a:xfrm rot="16200000">
          <a:off x="458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66675</xdr:colOff>
      <xdr:row>613</xdr:row>
      <xdr:rowOff>127000</xdr:rowOff>
    </xdr:from>
    <xdr:to>
      <xdr:col>9</xdr:col>
      <xdr:colOff>384175</xdr:colOff>
      <xdr:row>621</xdr:row>
      <xdr:rowOff>127000</xdr:rowOff>
    </xdr:to>
    <xdr:sp macro="" textlink="">
      <xdr:nvSpPr>
        <xdr:cNvPr id="130" name="Прямоугольник 129"/>
        <xdr:cNvSpPr/>
      </xdr:nvSpPr>
      <xdr:spPr>
        <a:xfrm>
          <a:off x="533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19</a:t>
          </a:r>
        </a:p>
      </xdr:txBody>
    </xdr:sp>
    <xdr:clientData/>
  </xdr:twoCellAnchor>
  <xdr:twoCellAnchor>
    <xdr:from>
      <xdr:col>9</xdr:col>
      <xdr:colOff>384175</xdr:colOff>
      <xdr:row>613</xdr:row>
      <xdr:rowOff>127000</xdr:rowOff>
    </xdr:from>
    <xdr:to>
      <xdr:col>9</xdr:col>
      <xdr:colOff>701675</xdr:colOff>
      <xdr:row>621</xdr:row>
      <xdr:rowOff>127000</xdr:rowOff>
    </xdr:to>
    <xdr:sp macro="" textlink="">
      <xdr:nvSpPr>
        <xdr:cNvPr id="131" name="Прямоугольник 130"/>
        <xdr:cNvSpPr/>
      </xdr:nvSpPr>
      <xdr:spPr>
        <a:xfrm>
          <a:off x="565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20</a:t>
          </a:r>
        </a:p>
      </xdr:txBody>
    </xdr:sp>
    <xdr:clientData/>
  </xdr:twoCellAnchor>
  <xdr:twoCellAnchor>
    <xdr:from>
      <xdr:col>9</xdr:col>
      <xdr:colOff>225425</xdr:colOff>
      <xdr:row>621</xdr:row>
      <xdr:rowOff>127000</xdr:rowOff>
    </xdr:from>
    <xdr:to>
      <xdr:col>9</xdr:col>
      <xdr:colOff>225425</xdr:colOff>
      <xdr:row>622</xdr:row>
      <xdr:rowOff>127000</xdr:rowOff>
    </xdr:to>
    <xdr:cxnSp macro="">
      <xdr:nvCxnSpPr>
        <xdr:cNvPr id="132" name="Прямая со стрелкой 131"/>
        <xdr:cNvCxnSpPr/>
      </xdr:nvCxnSpPr>
      <xdr:spPr>
        <a:xfrm flipV="1">
          <a:off x="549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621</xdr:row>
      <xdr:rowOff>127000</xdr:rowOff>
    </xdr:from>
    <xdr:to>
      <xdr:col>9</xdr:col>
      <xdr:colOff>542925</xdr:colOff>
      <xdr:row>622</xdr:row>
      <xdr:rowOff>127000</xdr:rowOff>
    </xdr:to>
    <xdr:cxnSp macro="">
      <xdr:nvCxnSpPr>
        <xdr:cNvPr id="133" name="Прямая со стрелкой 132"/>
        <xdr:cNvCxnSpPr/>
      </xdr:nvCxnSpPr>
      <xdr:spPr>
        <a:xfrm flipV="1">
          <a:off x="581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225425</xdr:colOff>
      <xdr:row>622</xdr:row>
      <xdr:rowOff>127000</xdr:rowOff>
    </xdr:from>
    <xdr:to>
      <xdr:col>9</xdr:col>
      <xdr:colOff>542925</xdr:colOff>
      <xdr:row>622</xdr:row>
      <xdr:rowOff>127000</xdr:rowOff>
    </xdr:to>
    <xdr:cxnSp macro="">
      <xdr:nvCxnSpPr>
        <xdr:cNvPr id="134" name="Прямая со стрелкой 133"/>
        <xdr:cNvCxnSpPr/>
      </xdr:nvCxnSpPr>
      <xdr:spPr>
        <a:xfrm>
          <a:off x="549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627</xdr:row>
      <xdr:rowOff>0</xdr:rowOff>
    </xdr:from>
    <xdr:to>
      <xdr:col>9</xdr:col>
      <xdr:colOff>587375</xdr:colOff>
      <xdr:row>631</xdr:row>
      <xdr:rowOff>127000</xdr:rowOff>
    </xdr:to>
    <xdr:sp macro="" textlink="">
      <xdr:nvSpPr>
        <xdr:cNvPr id="135" name="Прямоугольник 134"/>
        <xdr:cNvSpPr/>
      </xdr:nvSpPr>
      <xdr:spPr>
        <a:xfrm>
          <a:off x="544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180975</xdr:colOff>
      <xdr:row>627</xdr:row>
      <xdr:rowOff>0</xdr:rowOff>
    </xdr:from>
    <xdr:to>
      <xdr:col>9</xdr:col>
      <xdr:colOff>384175</xdr:colOff>
      <xdr:row>628</xdr:row>
      <xdr:rowOff>12700</xdr:rowOff>
    </xdr:to>
    <xdr:sp macro="" textlink="">
      <xdr:nvSpPr>
        <xdr:cNvPr id="136" name="Прямоугольник 135"/>
        <xdr:cNvSpPr/>
      </xdr:nvSpPr>
      <xdr:spPr>
        <a:xfrm>
          <a:off x="544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384175</xdr:colOff>
      <xdr:row>627</xdr:row>
      <xdr:rowOff>0</xdr:rowOff>
    </xdr:from>
    <xdr:to>
      <xdr:col>9</xdr:col>
      <xdr:colOff>587375</xdr:colOff>
      <xdr:row>628</xdr:row>
      <xdr:rowOff>12700</xdr:rowOff>
    </xdr:to>
    <xdr:sp macro="" textlink="">
      <xdr:nvSpPr>
        <xdr:cNvPr id="137" name="Прямоугольник 136"/>
        <xdr:cNvSpPr/>
      </xdr:nvSpPr>
      <xdr:spPr>
        <a:xfrm>
          <a:off x="565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282575</xdr:colOff>
      <xdr:row>626</xdr:row>
      <xdr:rowOff>0</xdr:rowOff>
    </xdr:from>
    <xdr:to>
      <xdr:col>9</xdr:col>
      <xdr:colOff>282575</xdr:colOff>
      <xdr:row>627</xdr:row>
      <xdr:rowOff>0</xdr:rowOff>
    </xdr:to>
    <xdr:cxnSp macro="">
      <xdr:nvCxnSpPr>
        <xdr:cNvPr id="138" name="Прямая со стрелкой 137"/>
        <xdr:cNvCxnSpPr/>
      </xdr:nvCxnSpPr>
      <xdr:spPr>
        <a:xfrm flipV="1">
          <a:off x="554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485775</xdr:colOff>
      <xdr:row>626</xdr:row>
      <xdr:rowOff>0</xdr:rowOff>
    </xdr:from>
    <xdr:to>
      <xdr:col>9</xdr:col>
      <xdr:colOff>485775</xdr:colOff>
      <xdr:row>627</xdr:row>
      <xdr:rowOff>0</xdr:rowOff>
    </xdr:to>
    <xdr:cxnSp macro="">
      <xdr:nvCxnSpPr>
        <xdr:cNvPr id="139" name="Прямая со стрелкой 138"/>
        <xdr:cNvCxnSpPr/>
      </xdr:nvCxnSpPr>
      <xdr:spPr>
        <a:xfrm flipV="1">
          <a:off x="575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282575</xdr:colOff>
      <xdr:row>626</xdr:row>
      <xdr:rowOff>0</xdr:rowOff>
    </xdr:from>
    <xdr:to>
      <xdr:col>9</xdr:col>
      <xdr:colOff>485775</xdr:colOff>
      <xdr:row>626</xdr:row>
      <xdr:rowOff>0</xdr:rowOff>
    </xdr:to>
    <xdr:cxnSp macro="">
      <xdr:nvCxnSpPr>
        <xdr:cNvPr id="140" name="Прямая со стрелкой 139"/>
        <xdr:cNvCxnSpPr/>
      </xdr:nvCxnSpPr>
      <xdr:spPr>
        <a:xfrm>
          <a:off x="554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384175</xdr:colOff>
      <xdr:row>622</xdr:row>
      <xdr:rowOff>127000</xdr:rowOff>
    </xdr:from>
    <xdr:to>
      <xdr:col>9</xdr:col>
      <xdr:colOff>384175</xdr:colOff>
      <xdr:row>626</xdr:row>
      <xdr:rowOff>0</xdr:rowOff>
    </xdr:to>
    <xdr:cxnSp macro="">
      <xdr:nvCxnSpPr>
        <xdr:cNvPr id="141" name="Прямая со стрелкой 140"/>
        <xdr:cNvCxnSpPr/>
      </xdr:nvCxnSpPr>
      <xdr:spPr>
        <a:xfrm>
          <a:off x="565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137595</xdr:colOff>
      <xdr:row>622</xdr:row>
      <xdr:rowOff>114300</xdr:rowOff>
    </xdr:from>
    <xdr:ext cx="264560" cy="635000"/>
    <xdr:sp macro="" textlink="">
      <xdr:nvSpPr>
        <xdr:cNvPr id="142" name="TextBox 141"/>
        <xdr:cNvSpPr txBox="1"/>
      </xdr:nvSpPr>
      <xdr:spPr>
        <a:xfrm rot="16200000">
          <a:off x="521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701675</xdr:colOff>
      <xdr:row>613</xdr:row>
      <xdr:rowOff>127000</xdr:rowOff>
    </xdr:from>
    <xdr:to>
      <xdr:col>10</xdr:col>
      <xdr:colOff>304800</xdr:colOff>
      <xdr:row>621</xdr:row>
      <xdr:rowOff>127000</xdr:rowOff>
    </xdr:to>
    <xdr:sp macro="" textlink="">
      <xdr:nvSpPr>
        <xdr:cNvPr id="143" name="Прямоугольник 142"/>
        <xdr:cNvSpPr/>
      </xdr:nvSpPr>
      <xdr:spPr>
        <a:xfrm>
          <a:off x="596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21</a:t>
          </a:r>
        </a:p>
      </xdr:txBody>
    </xdr:sp>
    <xdr:clientData/>
  </xdr:twoCellAnchor>
  <xdr:twoCellAnchor>
    <xdr:from>
      <xdr:col>10</xdr:col>
      <xdr:colOff>304800</xdr:colOff>
      <xdr:row>613</xdr:row>
      <xdr:rowOff>127000</xdr:rowOff>
    </xdr:from>
    <xdr:to>
      <xdr:col>10</xdr:col>
      <xdr:colOff>622300</xdr:colOff>
      <xdr:row>621</xdr:row>
      <xdr:rowOff>127000</xdr:rowOff>
    </xdr:to>
    <xdr:sp macro="" textlink="">
      <xdr:nvSpPr>
        <xdr:cNvPr id="144" name="Прямоугольник 143"/>
        <xdr:cNvSpPr/>
      </xdr:nvSpPr>
      <xdr:spPr>
        <a:xfrm>
          <a:off x="628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22</a:t>
          </a:r>
        </a:p>
      </xdr:txBody>
    </xdr:sp>
    <xdr:clientData/>
  </xdr:twoCellAnchor>
  <xdr:twoCellAnchor>
    <xdr:from>
      <xdr:col>10</xdr:col>
      <xdr:colOff>146050</xdr:colOff>
      <xdr:row>621</xdr:row>
      <xdr:rowOff>127000</xdr:rowOff>
    </xdr:from>
    <xdr:to>
      <xdr:col>10</xdr:col>
      <xdr:colOff>146050</xdr:colOff>
      <xdr:row>622</xdr:row>
      <xdr:rowOff>127000</xdr:rowOff>
    </xdr:to>
    <xdr:cxnSp macro="">
      <xdr:nvCxnSpPr>
        <xdr:cNvPr id="145" name="Прямая со стрелкой 144"/>
        <xdr:cNvCxnSpPr/>
      </xdr:nvCxnSpPr>
      <xdr:spPr>
        <a:xfrm flipV="1">
          <a:off x="612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463550</xdr:colOff>
      <xdr:row>621</xdr:row>
      <xdr:rowOff>127000</xdr:rowOff>
    </xdr:from>
    <xdr:to>
      <xdr:col>10</xdr:col>
      <xdr:colOff>463550</xdr:colOff>
      <xdr:row>622</xdr:row>
      <xdr:rowOff>127000</xdr:rowOff>
    </xdr:to>
    <xdr:cxnSp macro="">
      <xdr:nvCxnSpPr>
        <xdr:cNvPr id="146" name="Прямая со стрелкой 145"/>
        <xdr:cNvCxnSpPr/>
      </xdr:nvCxnSpPr>
      <xdr:spPr>
        <a:xfrm flipV="1">
          <a:off x="644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146050</xdr:colOff>
      <xdr:row>622</xdr:row>
      <xdr:rowOff>127000</xdr:rowOff>
    </xdr:from>
    <xdr:to>
      <xdr:col>10</xdr:col>
      <xdr:colOff>463550</xdr:colOff>
      <xdr:row>622</xdr:row>
      <xdr:rowOff>127000</xdr:rowOff>
    </xdr:to>
    <xdr:cxnSp macro="">
      <xdr:nvCxnSpPr>
        <xdr:cNvPr id="147" name="Прямая со стрелкой 146"/>
        <xdr:cNvCxnSpPr/>
      </xdr:nvCxnSpPr>
      <xdr:spPr>
        <a:xfrm>
          <a:off x="612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101600</xdr:colOff>
      <xdr:row>627</xdr:row>
      <xdr:rowOff>0</xdr:rowOff>
    </xdr:from>
    <xdr:to>
      <xdr:col>10</xdr:col>
      <xdr:colOff>508000</xdr:colOff>
      <xdr:row>631</xdr:row>
      <xdr:rowOff>127000</xdr:rowOff>
    </xdr:to>
    <xdr:sp macro="" textlink="">
      <xdr:nvSpPr>
        <xdr:cNvPr id="148" name="Прямоугольник 147"/>
        <xdr:cNvSpPr/>
      </xdr:nvSpPr>
      <xdr:spPr>
        <a:xfrm>
          <a:off x="608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101600</xdr:colOff>
      <xdr:row>627</xdr:row>
      <xdr:rowOff>0</xdr:rowOff>
    </xdr:from>
    <xdr:to>
      <xdr:col>10</xdr:col>
      <xdr:colOff>304800</xdr:colOff>
      <xdr:row>628</xdr:row>
      <xdr:rowOff>12700</xdr:rowOff>
    </xdr:to>
    <xdr:sp macro="" textlink="">
      <xdr:nvSpPr>
        <xdr:cNvPr id="149" name="Прямоугольник 148"/>
        <xdr:cNvSpPr/>
      </xdr:nvSpPr>
      <xdr:spPr>
        <a:xfrm>
          <a:off x="608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304800</xdr:colOff>
      <xdr:row>627</xdr:row>
      <xdr:rowOff>0</xdr:rowOff>
    </xdr:from>
    <xdr:to>
      <xdr:col>10</xdr:col>
      <xdr:colOff>508000</xdr:colOff>
      <xdr:row>628</xdr:row>
      <xdr:rowOff>12700</xdr:rowOff>
    </xdr:to>
    <xdr:sp macro="" textlink="">
      <xdr:nvSpPr>
        <xdr:cNvPr id="150" name="Прямоугольник 149"/>
        <xdr:cNvSpPr/>
      </xdr:nvSpPr>
      <xdr:spPr>
        <a:xfrm>
          <a:off x="628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203200</xdr:colOff>
      <xdr:row>626</xdr:row>
      <xdr:rowOff>0</xdr:rowOff>
    </xdr:from>
    <xdr:to>
      <xdr:col>10</xdr:col>
      <xdr:colOff>203200</xdr:colOff>
      <xdr:row>627</xdr:row>
      <xdr:rowOff>0</xdr:rowOff>
    </xdr:to>
    <xdr:cxnSp macro="">
      <xdr:nvCxnSpPr>
        <xdr:cNvPr id="151" name="Прямая со стрелкой 150"/>
        <xdr:cNvCxnSpPr/>
      </xdr:nvCxnSpPr>
      <xdr:spPr>
        <a:xfrm flipV="1">
          <a:off x="618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406400</xdr:colOff>
      <xdr:row>626</xdr:row>
      <xdr:rowOff>0</xdr:rowOff>
    </xdr:from>
    <xdr:to>
      <xdr:col>10</xdr:col>
      <xdr:colOff>406400</xdr:colOff>
      <xdr:row>627</xdr:row>
      <xdr:rowOff>0</xdr:rowOff>
    </xdr:to>
    <xdr:cxnSp macro="">
      <xdr:nvCxnSpPr>
        <xdr:cNvPr id="152" name="Прямая со стрелкой 151"/>
        <xdr:cNvCxnSpPr/>
      </xdr:nvCxnSpPr>
      <xdr:spPr>
        <a:xfrm flipV="1">
          <a:off x="638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203200</xdr:colOff>
      <xdr:row>626</xdr:row>
      <xdr:rowOff>0</xdr:rowOff>
    </xdr:from>
    <xdr:to>
      <xdr:col>10</xdr:col>
      <xdr:colOff>406400</xdr:colOff>
      <xdr:row>626</xdr:row>
      <xdr:rowOff>0</xdr:rowOff>
    </xdr:to>
    <xdr:cxnSp macro="">
      <xdr:nvCxnSpPr>
        <xdr:cNvPr id="153" name="Прямая со стрелкой 152"/>
        <xdr:cNvCxnSpPr/>
      </xdr:nvCxnSpPr>
      <xdr:spPr>
        <a:xfrm>
          <a:off x="618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622</xdr:row>
      <xdr:rowOff>127000</xdr:rowOff>
    </xdr:from>
    <xdr:to>
      <xdr:col>10</xdr:col>
      <xdr:colOff>304800</xdr:colOff>
      <xdr:row>626</xdr:row>
      <xdr:rowOff>0</xdr:rowOff>
    </xdr:to>
    <xdr:cxnSp macro="">
      <xdr:nvCxnSpPr>
        <xdr:cNvPr id="154" name="Прямая со стрелкой 153"/>
        <xdr:cNvCxnSpPr/>
      </xdr:nvCxnSpPr>
      <xdr:spPr>
        <a:xfrm>
          <a:off x="628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58220</xdr:colOff>
      <xdr:row>622</xdr:row>
      <xdr:rowOff>114300</xdr:rowOff>
    </xdr:from>
    <xdr:ext cx="264560" cy="635000"/>
    <xdr:sp macro="" textlink="">
      <xdr:nvSpPr>
        <xdr:cNvPr id="155" name="TextBox 154"/>
        <xdr:cNvSpPr txBox="1"/>
      </xdr:nvSpPr>
      <xdr:spPr>
        <a:xfrm rot="16200000">
          <a:off x="585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10</xdr:col>
      <xdr:colOff>622300</xdr:colOff>
      <xdr:row>613</xdr:row>
      <xdr:rowOff>127000</xdr:rowOff>
    </xdr:from>
    <xdr:to>
      <xdr:col>11</xdr:col>
      <xdr:colOff>215900</xdr:colOff>
      <xdr:row>621</xdr:row>
      <xdr:rowOff>127000</xdr:rowOff>
    </xdr:to>
    <xdr:sp macro="" textlink="">
      <xdr:nvSpPr>
        <xdr:cNvPr id="156" name="Прямоугольник 155"/>
        <xdr:cNvSpPr/>
      </xdr:nvSpPr>
      <xdr:spPr>
        <a:xfrm>
          <a:off x="660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23</a:t>
          </a:r>
        </a:p>
      </xdr:txBody>
    </xdr:sp>
    <xdr:clientData/>
  </xdr:twoCellAnchor>
  <xdr:twoCellAnchor>
    <xdr:from>
      <xdr:col>11</xdr:col>
      <xdr:colOff>215900</xdr:colOff>
      <xdr:row>613</xdr:row>
      <xdr:rowOff>127000</xdr:rowOff>
    </xdr:from>
    <xdr:to>
      <xdr:col>12</xdr:col>
      <xdr:colOff>19050</xdr:colOff>
      <xdr:row>621</xdr:row>
      <xdr:rowOff>127000</xdr:rowOff>
    </xdr:to>
    <xdr:sp macro="" textlink="">
      <xdr:nvSpPr>
        <xdr:cNvPr id="157" name="Прямоугольник 156"/>
        <xdr:cNvSpPr/>
      </xdr:nvSpPr>
      <xdr:spPr>
        <a:xfrm>
          <a:off x="692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24</a:t>
          </a:r>
        </a:p>
      </xdr:txBody>
    </xdr:sp>
    <xdr:clientData/>
  </xdr:twoCellAnchor>
  <xdr:twoCellAnchor>
    <xdr:from>
      <xdr:col>11</xdr:col>
      <xdr:colOff>57150</xdr:colOff>
      <xdr:row>621</xdr:row>
      <xdr:rowOff>127000</xdr:rowOff>
    </xdr:from>
    <xdr:to>
      <xdr:col>11</xdr:col>
      <xdr:colOff>57150</xdr:colOff>
      <xdr:row>622</xdr:row>
      <xdr:rowOff>127000</xdr:rowOff>
    </xdr:to>
    <xdr:cxnSp macro="">
      <xdr:nvCxnSpPr>
        <xdr:cNvPr id="158" name="Прямая со стрелкой 157"/>
        <xdr:cNvCxnSpPr/>
      </xdr:nvCxnSpPr>
      <xdr:spPr>
        <a:xfrm flipV="1">
          <a:off x="676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374650</xdr:colOff>
      <xdr:row>621</xdr:row>
      <xdr:rowOff>127000</xdr:rowOff>
    </xdr:from>
    <xdr:to>
      <xdr:col>11</xdr:col>
      <xdr:colOff>374650</xdr:colOff>
      <xdr:row>622</xdr:row>
      <xdr:rowOff>127000</xdr:rowOff>
    </xdr:to>
    <xdr:cxnSp macro="">
      <xdr:nvCxnSpPr>
        <xdr:cNvPr id="159" name="Прямая со стрелкой 158"/>
        <xdr:cNvCxnSpPr/>
      </xdr:nvCxnSpPr>
      <xdr:spPr>
        <a:xfrm flipV="1">
          <a:off x="708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622</xdr:row>
      <xdr:rowOff>127000</xdr:rowOff>
    </xdr:from>
    <xdr:to>
      <xdr:col>11</xdr:col>
      <xdr:colOff>374650</xdr:colOff>
      <xdr:row>622</xdr:row>
      <xdr:rowOff>127000</xdr:rowOff>
    </xdr:to>
    <xdr:cxnSp macro="">
      <xdr:nvCxnSpPr>
        <xdr:cNvPr id="160" name="Прямая со стрелкой 159"/>
        <xdr:cNvCxnSpPr/>
      </xdr:nvCxnSpPr>
      <xdr:spPr>
        <a:xfrm>
          <a:off x="676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12700</xdr:colOff>
      <xdr:row>627</xdr:row>
      <xdr:rowOff>0</xdr:rowOff>
    </xdr:from>
    <xdr:to>
      <xdr:col>11</xdr:col>
      <xdr:colOff>419100</xdr:colOff>
      <xdr:row>631</xdr:row>
      <xdr:rowOff>127000</xdr:rowOff>
    </xdr:to>
    <xdr:sp macro="" textlink="">
      <xdr:nvSpPr>
        <xdr:cNvPr id="161" name="Прямоугольник 160"/>
        <xdr:cNvSpPr/>
      </xdr:nvSpPr>
      <xdr:spPr>
        <a:xfrm>
          <a:off x="671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12700</xdr:colOff>
      <xdr:row>627</xdr:row>
      <xdr:rowOff>0</xdr:rowOff>
    </xdr:from>
    <xdr:to>
      <xdr:col>11</xdr:col>
      <xdr:colOff>215900</xdr:colOff>
      <xdr:row>628</xdr:row>
      <xdr:rowOff>12700</xdr:rowOff>
    </xdr:to>
    <xdr:sp macro="" textlink="">
      <xdr:nvSpPr>
        <xdr:cNvPr id="162" name="Прямоугольник 161"/>
        <xdr:cNvSpPr/>
      </xdr:nvSpPr>
      <xdr:spPr>
        <a:xfrm>
          <a:off x="671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215900</xdr:colOff>
      <xdr:row>627</xdr:row>
      <xdr:rowOff>0</xdr:rowOff>
    </xdr:from>
    <xdr:to>
      <xdr:col>11</xdr:col>
      <xdr:colOff>419100</xdr:colOff>
      <xdr:row>628</xdr:row>
      <xdr:rowOff>12700</xdr:rowOff>
    </xdr:to>
    <xdr:sp macro="" textlink="">
      <xdr:nvSpPr>
        <xdr:cNvPr id="163" name="Прямоугольник 162"/>
        <xdr:cNvSpPr/>
      </xdr:nvSpPr>
      <xdr:spPr>
        <a:xfrm>
          <a:off x="692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114300</xdr:colOff>
      <xdr:row>626</xdr:row>
      <xdr:rowOff>0</xdr:rowOff>
    </xdr:from>
    <xdr:to>
      <xdr:col>11</xdr:col>
      <xdr:colOff>114300</xdr:colOff>
      <xdr:row>627</xdr:row>
      <xdr:rowOff>0</xdr:rowOff>
    </xdr:to>
    <xdr:cxnSp macro="">
      <xdr:nvCxnSpPr>
        <xdr:cNvPr id="164" name="Прямая со стрелкой 163"/>
        <xdr:cNvCxnSpPr/>
      </xdr:nvCxnSpPr>
      <xdr:spPr>
        <a:xfrm flipV="1">
          <a:off x="681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317500</xdr:colOff>
      <xdr:row>626</xdr:row>
      <xdr:rowOff>0</xdr:rowOff>
    </xdr:from>
    <xdr:to>
      <xdr:col>11</xdr:col>
      <xdr:colOff>317500</xdr:colOff>
      <xdr:row>627</xdr:row>
      <xdr:rowOff>0</xdr:rowOff>
    </xdr:to>
    <xdr:cxnSp macro="">
      <xdr:nvCxnSpPr>
        <xdr:cNvPr id="165" name="Прямая со стрелкой 164"/>
        <xdr:cNvCxnSpPr/>
      </xdr:nvCxnSpPr>
      <xdr:spPr>
        <a:xfrm flipV="1">
          <a:off x="702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626</xdr:row>
      <xdr:rowOff>0</xdr:rowOff>
    </xdr:from>
    <xdr:to>
      <xdr:col>11</xdr:col>
      <xdr:colOff>317500</xdr:colOff>
      <xdr:row>626</xdr:row>
      <xdr:rowOff>0</xdr:rowOff>
    </xdr:to>
    <xdr:cxnSp macro="">
      <xdr:nvCxnSpPr>
        <xdr:cNvPr id="166" name="Прямая со стрелкой 165"/>
        <xdr:cNvCxnSpPr/>
      </xdr:nvCxnSpPr>
      <xdr:spPr>
        <a:xfrm>
          <a:off x="681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215900</xdr:colOff>
      <xdr:row>622</xdr:row>
      <xdr:rowOff>127000</xdr:rowOff>
    </xdr:from>
    <xdr:to>
      <xdr:col>11</xdr:col>
      <xdr:colOff>215900</xdr:colOff>
      <xdr:row>626</xdr:row>
      <xdr:rowOff>0</xdr:rowOff>
    </xdr:to>
    <xdr:cxnSp macro="">
      <xdr:nvCxnSpPr>
        <xdr:cNvPr id="167" name="Прямая со стрелкой 166"/>
        <xdr:cNvCxnSpPr/>
      </xdr:nvCxnSpPr>
      <xdr:spPr>
        <a:xfrm>
          <a:off x="692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693220</xdr:colOff>
      <xdr:row>622</xdr:row>
      <xdr:rowOff>114300</xdr:rowOff>
    </xdr:from>
    <xdr:ext cx="264560" cy="635000"/>
    <xdr:sp macro="" textlink="">
      <xdr:nvSpPr>
        <xdr:cNvPr id="168" name="TextBox 167"/>
        <xdr:cNvSpPr txBox="1"/>
      </xdr:nvSpPr>
      <xdr:spPr>
        <a:xfrm rot="16200000">
          <a:off x="648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19050</xdr:colOff>
      <xdr:row>613</xdr:row>
      <xdr:rowOff>127000</xdr:rowOff>
    </xdr:from>
    <xdr:to>
      <xdr:col>12</xdr:col>
      <xdr:colOff>336550</xdr:colOff>
      <xdr:row>621</xdr:row>
      <xdr:rowOff>127000</xdr:rowOff>
    </xdr:to>
    <xdr:sp macro="" textlink="">
      <xdr:nvSpPr>
        <xdr:cNvPr id="169" name="Прямоугольник 168"/>
        <xdr:cNvSpPr/>
      </xdr:nvSpPr>
      <xdr:spPr>
        <a:xfrm>
          <a:off x="723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25</a:t>
          </a:r>
        </a:p>
      </xdr:txBody>
    </xdr:sp>
    <xdr:clientData/>
  </xdr:twoCellAnchor>
  <xdr:twoCellAnchor>
    <xdr:from>
      <xdr:col>12</xdr:col>
      <xdr:colOff>336550</xdr:colOff>
      <xdr:row>613</xdr:row>
      <xdr:rowOff>127000</xdr:rowOff>
    </xdr:from>
    <xdr:to>
      <xdr:col>12</xdr:col>
      <xdr:colOff>654050</xdr:colOff>
      <xdr:row>621</xdr:row>
      <xdr:rowOff>127000</xdr:rowOff>
    </xdr:to>
    <xdr:sp macro="" textlink="">
      <xdr:nvSpPr>
        <xdr:cNvPr id="170" name="Прямоугольник 169"/>
        <xdr:cNvSpPr/>
      </xdr:nvSpPr>
      <xdr:spPr>
        <a:xfrm>
          <a:off x="755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26</a:t>
          </a:r>
        </a:p>
      </xdr:txBody>
    </xdr:sp>
    <xdr:clientData/>
  </xdr:twoCellAnchor>
  <xdr:twoCellAnchor>
    <xdr:from>
      <xdr:col>12</xdr:col>
      <xdr:colOff>177800</xdr:colOff>
      <xdr:row>621</xdr:row>
      <xdr:rowOff>127000</xdr:rowOff>
    </xdr:from>
    <xdr:to>
      <xdr:col>12</xdr:col>
      <xdr:colOff>177800</xdr:colOff>
      <xdr:row>622</xdr:row>
      <xdr:rowOff>127000</xdr:rowOff>
    </xdr:to>
    <xdr:cxnSp macro="">
      <xdr:nvCxnSpPr>
        <xdr:cNvPr id="171" name="Прямая со стрелкой 170"/>
        <xdr:cNvCxnSpPr/>
      </xdr:nvCxnSpPr>
      <xdr:spPr>
        <a:xfrm flipV="1">
          <a:off x="739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495300</xdr:colOff>
      <xdr:row>621</xdr:row>
      <xdr:rowOff>127000</xdr:rowOff>
    </xdr:from>
    <xdr:to>
      <xdr:col>12</xdr:col>
      <xdr:colOff>495300</xdr:colOff>
      <xdr:row>622</xdr:row>
      <xdr:rowOff>127000</xdr:rowOff>
    </xdr:to>
    <xdr:cxnSp macro="">
      <xdr:nvCxnSpPr>
        <xdr:cNvPr id="172" name="Прямая со стрелкой 171"/>
        <xdr:cNvCxnSpPr/>
      </xdr:nvCxnSpPr>
      <xdr:spPr>
        <a:xfrm flipV="1">
          <a:off x="771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622</xdr:row>
      <xdr:rowOff>127000</xdr:rowOff>
    </xdr:from>
    <xdr:to>
      <xdr:col>12</xdr:col>
      <xdr:colOff>495300</xdr:colOff>
      <xdr:row>622</xdr:row>
      <xdr:rowOff>127000</xdr:rowOff>
    </xdr:to>
    <xdr:cxnSp macro="">
      <xdr:nvCxnSpPr>
        <xdr:cNvPr id="173" name="Прямая со стрелкой 172"/>
        <xdr:cNvCxnSpPr/>
      </xdr:nvCxnSpPr>
      <xdr:spPr>
        <a:xfrm>
          <a:off x="739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133350</xdr:colOff>
      <xdr:row>627</xdr:row>
      <xdr:rowOff>0</xdr:rowOff>
    </xdr:from>
    <xdr:to>
      <xdr:col>12</xdr:col>
      <xdr:colOff>539750</xdr:colOff>
      <xdr:row>631</xdr:row>
      <xdr:rowOff>127000</xdr:rowOff>
    </xdr:to>
    <xdr:sp macro="" textlink="">
      <xdr:nvSpPr>
        <xdr:cNvPr id="174" name="Прямоугольник 173"/>
        <xdr:cNvSpPr/>
      </xdr:nvSpPr>
      <xdr:spPr>
        <a:xfrm>
          <a:off x="735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TE5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133350</xdr:colOff>
      <xdr:row>627</xdr:row>
      <xdr:rowOff>0</xdr:rowOff>
    </xdr:from>
    <xdr:to>
      <xdr:col>12</xdr:col>
      <xdr:colOff>336550</xdr:colOff>
      <xdr:row>628</xdr:row>
      <xdr:rowOff>12700</xdr:rowOff>
    </xdr:to>
    <xdr:sp macro="" textlink="">
      <xdr:nvSpPr>
        <xdr:cNvPr id="175" name="Прямоугольник 174"/>
        <xdr:cNvSpPr/>
      </xdr:nvSpPr>
      <xdr:spPr>
        <a:xfrm>
          <a:off x="735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336550</xdr:colOff>
      <xdr:row>627</xdr:row>
      <xdr:rowOff>0</xdr:rowOff>
    </xdr:from>
    <xdr:to>
      <xdr:col>12</xdr:col>
      <xdr:colOff>539750</xdr:colOff>
      <xdr:row>628</xdr:row>
      <xdr:rowOff>12700</xdr:rowOff>
    </xdr:to>
    <xdr:sp macro="" textlink="">
      <xdr:nvSpPr>
        <xdr:cNvPr id="176" name="Прямоугольник 175"/>
        <xdr:cNvSpPr/>
      </xdr:nvSpPr>
      <xdr:spPr>
        <a:xfrm>
          <a:off x="755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234950</xdr:colOff>
      <xdr:row>626</xdr:row>
      <xdr:rowOff>0</xdr:rowOff>
    </xdr:from>
    <xdr:to>
      <xdr:col>12</xdr:col>
      <xdr:colOff>234950</xdr:colOff>
      <xdr:row>627</xdr:row>
      <xdr:rowOff>0</xdr:rowOff>
    </xdr:to>
    <xdr:cxnSp macro="">
      <xdr:nvCxnSpPr>
        <xdr:cNvPr id="177" name="Прямая со стрелкой 176"/>
        <xdr:cNvCxnSpPr/>
      </xdr:nvCxnSpPr>
      <xdr:spPr>
        <a:xfrm flipV="1">
          <a:off x="745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438150</xdr:colOff>
      <xdr:row>626</xdr:row>
      <xdr:rowOff>0</xdr:rowOff>
    </xdr:from>
    <xdr:to>
      <xdr:col>12</xdr:col>
      <xdr:colOff>438150</xdr:colOff>
      <xdr:row>627</xdr:row>
      <xdr:rowOff>0</xdr:rowOff>
    </xdr:to>
    <xdr:cxnSp macro="">
      <xdr:nvCxnSpPr>
        <xdr:cNvPr id="178" name="Прямая со стрелкой 177"/>
        <xdr:cNvCxnSpPr/>
      </xdr:nvCxnSpPr>
      <xdr:spPr>
        <a:xfrm flipV="1">
          <a:off x="765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234950</xdr:colOff>
      <xdr:row>626</xdr:row>
      <xdr:rowOff>0</xdr:rowOff>
    </xdr:from>
    <xdr:to>
      <xdr:col>12</xdr:col>
      <xdr:colOff>438150</xdr:colOff>
      <xdr:row>626</xdr:row>
      <xdr:rowOff>0</xdr:rowOff>
    </xdr:to>
    <xdr:cxnSp macro="">
      <xdr:nvCxnSpPr>
        <xdr:cNvPr id="179" name="Прямая со стрелкой 178"/>
        <xdr:cNvCxnSpPr/>
      </xdr:nvCxnSpPr>
      <xdr:spPr>
        <a:xfrm>
          <a:off x="745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336550</xdr:colOff>
      <xdr:row>622</xdr:row>
      <xdr:rowOff>127000</xdr:rowOff>
    </xdr:from>
    <xdr:to>
      <xdr:col>12</xdr:col>
      <xdr:colOff>336550</xdr:colOff>
      <xdr:row>626</xdr:row>
      <xdr:rowOff>0</xdr:rowOff>
    </xdr:to>
    <xdr:cxnSp macro="">
      <xdr:nvCxnSpPr>
        <xdr:cNvPr id="180" name="Прямая со стрелкой 179"/>
        <xdr:cNvCxnSpPr/>
      </xdr:nvCxnSpPr>
      <xdr:spPr>
        <a:xfrm>
          <a:off x="755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89970</xdr:colOff>
      <xdr:row>622</xdr:row>
      <xdr:rowOff>114300</xdr:rowOff>
    </xdr:from>
    <xdr:ext cx="264560" cy="635000"/>
    <xdr:sp macro="" textlink="">
      <xdr:nvSpPr>
        <xdr:cNvPr id="181" name="TextBox 180"/>
        <xdr:cNvSpPr txBox="1"/>
      </xdr:nvSpPr>
      <xdr:spPr>
        <a:xfrm rot="16200000">
          <a:off x="712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654050</xdr:colOff>
      <xdr:row>613</xdr:row>
      <xdr:rowOff>127000</xdr:rowOff>
    </xdr:from>
    <xdr:to>
      <xdr:col>13</xdr:col>
      <xdr:colOff>266700</xdr:colOff>
      <xdr:row>621</xdr:row>
      <xdr:rowOff>127000</xdr:rowOff>
    </xdr:to>
    <xdr:sp macro="" textlink="">
      <xdr:nvSpPr>
        <xdr:cNvPr id="182" name="Прямоугольник 181"/>
        <xdr:cNvSpPr/>
      </xdr:nvSpPr>
      <xdr:spPr>
        <a:xfrm>
          <a:off x="787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27</a:t>
          </a:r>
        </a:p>
      </xdr:txBody>
    </xdr:sp>
    <xdr:clientData/>
  </xdr:twoCellAnchor>
  <xdr:twoCellAnchor>
    <xdr:from>
      <xdr:col>13</xdr:col>
      <xdr:colOff>266700</xdr:colOff>
      <xdr:row>613</xdr:row>
      <xdr:rowOff>127000</xdr:rowOff>
    </xdr:from>
    <xdr:to>
      <xdr:col>13</xdr:col>
      <xdr:colOff>584200</xdr:colOff>
      <xdr:row>621</xdr:row>
      <xdr:rowOff>127000</xdr:rowOff>
    </xdr:to>
    <xdr:sp macro="" textlink="">
      <xdr:nvSpPr>
        <xdr:cNvPr id="183" name="Прямоугольник 182"/>
        <xdr:cNvSpPr/>
      </xdr:nvSpPr>
      <xdr:spPr>
        <a:xfrm>
          <a:off x="819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28</a:t>
          </a:r>
        </a:p>
      </xdr:txBody>
    </xdr:sp>
    <xdr:clientData/>
  </xdr:twoCellAnchor>
  <xdr:twoCellAnchor>
    <xdr:from>
      <xdr:col>13</xdr:col>
      <xdr:colOff>107950</xdr:colOff>
      <xdr:row>621</xdr:row>
      <xdr:rowOff>127000</xdr:rowOff>
    </xdr:from>
    <xdr:to>
      <xdr:col>13</xdr:col>
      <xdr:colOff>107950</xdr:colOff>
      <xdr:row>622</xdr:row>
      <xdr:rowOff>127000</xdr:rowOff>
    </xdr:to>
    <xdr:cxnSp macro="">
      <xdr:nvCxnSpPr>
        <xdr:cNvPr id="184" name="Прямая со стрелкой 183"/>
        <xdr:cNvCxnSpPr/>
      </xdr:nvCxnSpPr>
      <xdr:spPr>
        <a:xfrm flipV="1">
          <a:off x="803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425450</xdr:colOff>
      <xdr:row>621</xdr:row>
      <xdr:rowOff>127000</xdr:rowOff>
    </xdr:from>
    <xdr:to>
      <xdr:col>13</xdr:col>
      <xdr:colOff>425450</xdr:colOff>
      <xdr:row>622</xdr:row>
      <xdr:rowOff>127000</xdr:rowOff>
    </xdr:to>
    <xdr:cxnSp macro="">
      <xdr:nvCxnSpPr>
        <xdr:cNvPr id="185" name="Прямая со стрелкой 184"/>
        <xdr:cNvCxnSpPr/>
      </xdr:nvCxnSpPr>
      <xdr:spPr>
        <a:xfrm flipV="1">
          <a:off x="835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107950</xdr:colOff>
      <xdr:row>622</xdr:row>
      <xdr:rowOff>127000</xdr:rowOff>
    </xdr:from>
    <xdr:to>
      <xdr:col>13</xdr:col>
      <xdr:colOff>425450</xdr:colOff>
      <xdr:row>622</xdr:row>
      <xdr:rowOff>127000</xdr:rowOff>
    </xdr:to>
    <xdr:cxnSp macro="">
      <xdr:nvCxnSpPr>
        <xdr:cNvPr id="186" name="Прямая со стрелкой 185"/>
        <xdr:cNvCxnSpPr/>
      </xdr:nvCxnSpPr>
      <xdr:spPr>
        <a:xfrm>
          <a:off x="8032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63500</xdr:colOff>
      <xdr:row>627</xdr:row>
      <xdr:rowOff>0</xdr:rowOff>
    </xdr:from>
    <xdr:to>
      <xdr:col>13</xdr:col>
      <xdr:colOff>469900</xdr:colOff>
      <xdr:row>631</xdr:row>
      <xdr:rowOff>127000</xdr:rowOff>
    </xdr:to>
    <xdr:sp macro="" textlink="">
      <xdr:nvSpPr>
        <xdr:cNvPr id="187" name="Прямоугольник 186"/>
        <xdr:cNvSpPr/>
      </xdr:nvSpPr>
      <xdr:spPr>
        <a:xfrm>
          <a:off x="7988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TE6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63500</xdr:colOff>
      <xdr:row>627</xdr:row>
      <xdr:rowOff>0</xdr:rowOff>
    </xdr:from>
    <xdr:to>
      <xdr:col>13</xdr:col>
      <xdr:colOff>266700</xdr:colOff>
      <xdr:row>628</xdr:row>
      <xdr:rowOff>12700</xdr:rowOff>
    </xdr:to>
    <xdr:sp macro="" textlink="">
      <xdr:nvSpPr>
        <xdr:cNvPr id="188" name="Прямоугольник 187"/>
        <xdr:cNvSpPr/>
      </xdr:nvSpPr>
      <xdr:spPr>
        <a:xfrm>
          <a:off x="7988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266700</xdr:colOff>
      <xdr:row>627</xdr:row>
      <xdr:rowOff>0</xdr:rowOff>
    </xdr:from>
    <xdr:to>
      <xdr:col>13</xdr:col>
      <xdr:colOff>469900</xdr:colOff>
      <xdr:row>628</xdr:row>
      <xdr:rowOff>12700</xdr:rowOff>
    </xdr:to>
    <xdr:sp macro="" textlink="">
      <xdr:nvSpPr>
        <xdr:cNvPr id="189" name="Прямоугольник 188"/>
        <xdr:cNvSpPr/>
      </xdr:nvSpPr>
      <xdr:spPr>
        <a:xfrm>
          <a:off x="8191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165100</xdr:colOff>
      <xdr:row>626</xdr:row>
      <xdr:rowOff>0</xdr:rowOff>
    </xdr:from>
    <xdr:to>
      <xdr:col>13</xdr:col>
      <xdr:colOff>165100</xdr:colOff>
      <xdr:row>627</xdr:row>
      <xdr:rowOff>0</xdr:rowOff>
    </xdr:to>
    <xdr:cxnSp macro="">
      <xdr:nvCxnSpPr>
        <xdr:cNvPr id="190" name="Прямая со стрелкой 189"/>
        <xdr:cNvCxnSpPr/>
      </xdr:nvCxnSpPr>
      <xdr:spPr>
        <a:xfrm flipV="1">
          <a:off x="8089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626</xdr:row>
      <xdr:rowOff>0</xdr:rowOff>
    </xdr:from>
    <xdr:to>
      <xdr:col>13</xdr:col>
      <xdr:colOff>368300</xdr:colOff>
      <xdr:row>627</xdr:row>
      <xdr:rowOff>0</xdr:rowOff>
    </xdr:to>
    <xdr:cxnSp macro="">
      <xdr:nvCxnSpPr>
        <xdr:cNvPr id="191" name="Прямая со стрелкой 190"/>
        <xdr:cNvCxnSpPr/>
      </xdr:nvCxnSpPr>
      <xdr:spPr>
        <a:xfrm flipV="1">
          <a:off x="8293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165100</xdr:colOff>
      <xdr:row>626</xdr:row>
      <xdr:rowOff>0</xdr:rowOff>
    </xdr:from>
    <xdr:to>
      <xdr:col>13</xdr:col>
      <xdr:colOff>368300</xdr:colOff>
      <xdr:row>626</xdr:row>
      <xdr:rowOff>0</xdr:rowOff>
    </xdr:to>
    <xdr:cxnSp macro="">
      <xdr:nvCxnSpPr>
        <xdr:cNvPr id="192" name="Прямая со стрелкой 191"/>
        <xdr:cNvCxnSpPr/>
      </xdr:nvCxnSpPr>
      <xdr:spPr>
        <a:xfrm>
          <a:off x="8089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622</xdr:row>
      <xdr:rowOff>127000</xdr:rowOff>
    </xdr:from>
    <xdr:to>
      <xdr:col>13</xdr:col>
      <xdr:colOff>266700</xdr:colOff>
      <xdr:row>626</xdr:row>
      <xdr:rowOff>0</xdr:rowOff>
    </xdr:to>
    <xdr:cxnSp macro="">
      <xdr:nvCxnSpPr>
        <xdr:cNvPr id="193" name="Прямая со стрелкой 192"/>
        <xdr:cNvCxnSpPr/>
      </xdr:nvCxnSpPr>
      <xdr:spPr>
        <a:xfrm>
          <a:off x="8191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20120</xdr:colOff>
      <xdr:row>622</xdr:row>
      <xdr:rowOff>114300</xdr:rowOff>
    </xdr:from>
    <xdr:ext cx="264560" cy="635000"/>
    <xdr:sp macro="" textlink="">
      <xdr:nvSpPr>
        <xdr:cNvPr id="194" name="TextBox 193"/>
        <xdr:cNvSpPr txBox="1"/>
      </xdr:nvSpPr>
      <xdr:spPr>
        <a:xfrm rot="16200000">
          <a:off x="7759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584200</xdr:colOff>
      <xdr:row>613</xdr:row>
      <xdr:rowOff>127000</xdr:rowOff>
    </xdr:from>
    <xdr:to>
      <xdr:col>13</xdr:col>
      <xdr:colOff>901700</xdr:colOff>
      <xdr:row>621</xdr:row>
      <xdr:rowOff>127000</xdr:rowOff>
    </xdr:to>
    <xdr:sp macro="" textlink="">
      <xdr:nvSpPr>
        <xdr:cNvPr id="195" name="Прямоугольник 194"/>
        <xdr:cNvSpPr/>
      </xdr:nvSpPr>
      <xdr:spPr>
        <a:xfrm>
          <a:off x="850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29</a:t>
          </a:r>
        </a:p>
      </xdr:txBody>
    </xdr:sp>
    <xdr:clientData/>
  </xdr:twoCellAnchor>
  <xdr:twoCellAnchor>
    <xdr:from>
      <xdr:col>13</xdr:col>
      <xdr:colOff>901700</xdr:colOff>
      <xdr:row>613</xdr:row>
      <xdr:rowOff>127000</xdr:rowOff>
    </xdr:from>
    <xdr:to>
      <xdr:col>13</xdr:col>
      <xdr:colOff>1219200</xdr:colOff>
      <xdr:row>621</xdr:row>
      <xdr:rowOff>127000</xdr:rowOff>
    </xdr:to>
    <xdr:sp macro="" textlink="">
      <xdr:nvSpPr>
        <xdr:cNvPr id="196" name="Прямоугольник 195"/>
        <xdr:cNvSpPr/>
      </xdr:nvSpPr>
      <xdr:spPr>
        <a:xfrm>
          <a:off x="882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30</a:t>
          </a:r>
        </a:p>
      </xdr:txBody>
    </xdr:sp>
    <xdr:clientData/>
  </xdr:twoCellAnchor>
  <xdr:twoCellAnchor>
    <xdr:from>
      <xdr:col>13</xdr:col>
      <xdr:colOff>742950</xdr:colOff>
      <xdr:row>621</xdr:row>
      <xdr:rowOff>127000</xdr:rowOff>
    </xdr:from>
    <xdr:to>
      <xdr:col>13</xdr:col>
      <xdr:colOff>742950</xdr:colOff>
      <xdr:row>622</xdr:row>
      <xdr:rowOff>127000</xdr:rowOff>
    </xdr:to>
    <xdr:cxnSp macro="">
      <xdr:nvCxnSpPr>
        <xdr:cNvPr id="197" name="Прямая со стрелкой 196"/>
        <xdr:cNvCxnSpPr/>
      </xdr:nvCxnSpPr>
      <xdr:spPr>
        <a:xfrm flipV="1">
          <a:off x="866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1060450</xdr:colOff>
      <xdr:row>621</xdr:row>
      <xdr:rowOff>127000</xdr:rowOff>
    </xdr:from>
    <xdr:to>
      <xdr:col>13</xdr:col>
      <xdr:colOff>1060450</xdr:colOff>
      <xdr:row>622</xdr:row>
      <xdr:rowOff>127000</xdr:rowOff>
    </xdr:to>
    <xdr:cxnSp macro="">
      <xdr:nvCxnSpPr>
        <xdr:cNvPr id="198" name="Прямая со стрелкой 197"/>
        <xdr:cNvCxnSpPr/>
      </xdr:nvCxnSpPr>
      <xdr:spPr>
        <a:xfrm flipV="1">
          <a:off x="898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742950</xdr:colOff>
      <xdr:row>622</xdr:row>
      <xdr:rowOff>127000</xdr:rowOff>
    </xdr:from>
    <xdr:to>
      <xdr:col>13</xdr:col>
      <xdr:colOff>1060450</xdr:colOff>
      <xdr:row>622</xdr:row>
      <xdr:rowOff>127000</xdr:rowOff>
    </xdr:to>
    <xdr:cxnSp macro="">
      <xdr:nvCxnSpPr>
        <xdr:cNvPr id="199" name="Прямая со стрелкой 198"/>
        <xdr:cNvCxnSpPr/>
      </xdr:nvCxnSpPr>
      <xdr:spPr>
        <a:xfrm>
          <a:off x="86677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698500</xdr:colOff>
      <xdr:row>627</xdr:row>
      <xdr:rowOff>0</xdr:rowOff>
    </xdr:from>
    <xdr:to>
      <xdr:col>13</xdr:col>
      <xdr:colOff>1104900</xdr:colOff>
      <xdr:row>631</xdr:row>
      <xdr:rowOff>127000</xdr:rowOff>
    </xdr:to>
    <xdr:sp macro="" textlink="">
      <xdr:nvSpPr>
        <xdr:cNvPr id="200" name="Прямоугольник 199"/>
        <xdr:cNvSpPr/>
      </xdr:nvSpPr>
      <xdr:spPr>
        <a:xfrm>
          <a:off x="8623300" y="1194435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TE7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698500</xdr:colOff>
      <xdr:row>627</xdr:row>
      <xdr:rowOff>0</xdr:rowOff>
    </xdr:from>
    <xdr:to>
      <xdr:col>13</xdr:col>
      <xdr:colOff>901700</xdr:colOff>
      <xdr:row>628</xdr:row>
      <xdr:rowOff>12700</xdr:rowOff>
    </xdr:to>
    <xdr:sp macro="" textlink="">
      <xdr:nvSpPr>
        <xdr:cNvPr id="201" name="Прямоугольник 200"/>
        <xdr:cNvSpPr/>
      </xdr:nvSpPr>
      <xdr:spPr>
        <a:xfrm>
          <a:off x="86233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901700</xdr:colOff>
      <xdr:row>627</xdr:row>
      <xdr:rowOff>0</xdr:rowOff>
    </xdr:from>
    <xdr:to>
      <xdr:col>13</xdr:col>
      <xdr:colOff>1104900</xdr:colOff>
      <xdr:row>628</xdr:row>
      <xdr:rowOff>12700</xdr:rowOff>
    </xdr:to>
    <xdr:sp macro="" textlink="">
      <xdr:nvSpPr>
        <xdr:cNvPr id="202" name="Прямоугольник 201"/>
        <xdr:cNvSpPr/>
      </xdr:nvSpPr>
      <xdr:spPr>
        <a:xfrm>
          <a:off x="882650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800100</xdr:colOff>
      <xdr:row>626</xdr:row>
      <xdr:rowOff>0</xdr:rowOff>
    </xdr:from>
    <xdr:to>
      <xdr:col>13</xdr:col>
      <xdr:colOff>800100</xdr:colOff>
      <xdr:row>627</xdr:row>
      <xdr:rowOff>0</xdr:rowOff>
    </xdr:to>
    <xdr:cxnSp macro="">
      <xdr:nvCxnSpPr>
        <xdr:cNvPr id="203" name="Прямая со стрелкой 202"/>
        <xdr:cNvCxnSpPr/>
      </xdr:nvCxnSpPr>
      <xdr:spPr>
        <a:xfrm flipV="1">
          <a:off x="87249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1003300</xdr:colOff>
      <xdr:row>626</xdr:row>
      <xdr:rowOff>0</xdr:rowOff>
    </xdr:from>
    <xdr:to>
      <xdr:col>13</xdr:col>
      <xdr:colOff>1003300</xdr:colOff>
      <xdr:row>627</xdr:row>
      <xdr:rowOff>0</xdr:rowOff>
    </xdr:to>
    <xdr:cxnSp macro="">
      <xdr:nvCxnSpPr>
        <xdr:cNvPr id="204" name="Прямая со стрелкой 203"/>
        <xdr:cNvCxnSpPr/>
      </xdr:nvCxnSpPr>
      <xdr:spPr>
        <a:xfrm flipV="1">
          <a:off x="892810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800100</xdr:colOff>
      <xdr:row>626</xdr:row>
      <xdr:rowOff>0</xdr:rowOff>
    </xdr:from>
    <xdr:to>
      <xdr:col>13</xdr:col>
      <xdr:colOff>1003300</xdr:colOff>
      <xdr:row>626</xdr:row>
      <xdr:rowOff>0</xdr:rowOff>
    </xdr:to>
    <xdr:cxnSp macro="">
      <xdr:nvCxnSpPr>
        <xdr:cNvPr id="205" name="Прямая со стрелкой 204"/>
        <xdr:cNvCxnSpPr/>
      </xdr:nvCxnSpPr>
      <xdr:spPr>
        <a:xfrm>
          <a:off x="8724900" y="1192530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901700</xdr:colOff>
      <xdr:row>622</xdr:row>
      <xdr:rowOff>127000</xdr:rowOff>
    </xdr:from>
    <xdr:to>
      <xdr:col>13</xdr:col>
      <xdr:colOff>901700</xdr:colOff>
      <xdr:row>626</xdr:row>
      <xdr:rowOff>0</xdr:rowOff>
    </xdr:to>
    <xdr:cxnSp macro="">
      <xdr:nvCxnSpPr>
        <xdr:cNvPr id="206" name="Прямая со стрелкой 205"/>
        <xdr:cNvCxnSpPr/>
      </xdr:nvCxnSpPr>
      <xdr:spPr>
        <a:xfrm>
          <a:off x="882650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655120</xdr:colOff>
      <xdr:row>622</xdr:row>
      <xdr:rowOff>114300</xdr:rowOff>
    </xdr:from>
    <xdr:ext cx="264560" cy="635000"/>
    <xdr:sp macro="" textlink="">
      <xdr:nvSpPr>
        <xdr:cNvPr id="207" name="TextBox 206"/>
        <xdr:cNvSpPr txBox="1"/>
      </xdr:nvSpPr>
      <xdr:spPr>
        <a:xfrm rot="16200000">
          <a:off x="839470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1219200</xdr:colOff>
      <xdr:row>613</xdr:row>
      <xdr:rowOff>127000</xdr:rowOff>
    </xdr:from>
    <xdr:to>
      <xdr:col>14</xdr:col>
      <xdr:colOff>136525</xdr:colOff>
      <xdr:row>621</xdr:row>
      <xdr:rowOff>127000</xdr:rowOff>
    </xdr:to>
    <xdr:sp macro="" textlink="">
      <xdr:nvSpPr>
        <xdr:cNvPr id="208" name="Прямоугольник 207"/>
        <xdr:cNvSpPr/>
      </xdr:nvSpPr>
      <xdr:spPr>
        <a:xfrm>
          <a:off x="914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31</a:t>
          </a:r>
        </a:p>
      </xdr:txBody>
    </xdr:sp>
    <xdr:clientData/>
  </xdr:twoCellAnchor>
  <xdr:twoCellAnchor>
    <xdr:from>
      <xdr:col>14</xdr:col>
      <xdr:colOff>136525</xdr:colOff>
      <xdr:row>613</xdr:row>
      <xdr:rowOff>127000</xdr:rowOff>
    </xdr:from>
    <xdr:to>
      <xdr:col>14</xdr:col>
      <xdr:colOff>454025</xdr:colOff>
      <xdr:row>621</xdr:row>
      <xdr:rowOff>127000</xdr:rowOff>
    </xdr:to>
    <xdr:sp macro="" textlink="">
      <xdr:nvSpPr>
        <xdr:cNvPr id="209" name="Прямоугольник 208"/>
        <xdr:cNvSpPr/>
      </xdr:nvSpPr>
      <xdr:spPr>
        <a:xfrm>
          <a:off x="9461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32</a:t>
          </a:r>
        </a:p>
      </xdr:txBody>
    </xdr:sp>
    <xdr:clientData/>
  </xdr:twoCellAnchor>
  <xdr:twoCellAnchor>
    <xdr:from>
      <xdr:col>14</xdr:col>
      <xdr:colOff>454025</xdr:colOff>
      <xdr:row>613</xdr:row>
      <xdr:rowOff>127000</xdr:rowOff>
    </xdr:from>
    <xdr:to>
      <xdr:col>14</xdr:col>
      <xdr:colOff>771525</xdr:colOff>
      <xdr:row>621</xdr:row>
      <xdr:rowOff>127000</xdr:rowOff>
    </xdr:to>
    <xdr:sp macro="" textlink="">
      <xdr:nvSpPr>
        <xdr:cNvPr id="210" name="Прямоугольник 209"/>
        <xdr:cNvSpPr/>
      </xdr:nvSpPr>
      <xdr:spPr>
        <a:xfrm>
          <a:off x="977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33</a:t>
          </a:r>
        </a:p>
      </xdr:txBody>
    </xdr:sp>
    <xdr:clientData/>
  </xdr:twoCellAnchor>
  <xdr:twoCellAnchor>
    <xdr:from>
      <xdr:col>14</xdr:col>
      <xdr:colOff>771525</xdr:colOff>
      <xdr:row>613</xdr:row>
      <xdr:rowOff>127000</xdr:rowOff>
    </xdr:from>
    <xdr:to>
      <xdr:col>14</xdr:col>
      <xdr:colOff>1089025</xdr:colOff>
      <xdr:row>621</xdr:row>
      <xdr:rowOff>127000</xdr:rowOff>
    </xdr:to>
    <xdr:sp macro="" textlink="">
      <xdr:nvSpPr>
        <xdr:cNvPr id="211" name="Прямоугольник 210"/>
        <xdr:cNvSpPr/>
      </xdr:nvSpPr>
      <xdr:spPr>
        <a:xfrm>
          <a:off x="1009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34</a:t>
          </a:r>
        </a:p>
      </xdr:txBody>
    </xdr:sp>
    <xdr:clientData/>
  </xdr:twoCellAnchor>
  <xdr:twoCellAnchor>
    <xdr:from>
      <xdr:col>14</xdr:col>
      <xdr:colOff>1089025</xdr:colOff>
      <xdr:row>613</xdr:row>
      <xdr:rowOff>127000</xdr:rowOff>
    </xdr:from>
    <xdr:to>
      <xdr:col>15</xdr:col>
      <xdr:colOff>177800</xdr:colOff>
      <xdr:row>621</xdr:row>
      <xdr:rowOff>127000</xdr:rowOff>
    </xdr:to>
    <xdr:sp macro="" textlink="">
      <xdr:nvSpPr>
        <xdr:cNvPr id="212" name="Прямоугольник 211"/>
        <xdr:cNvSpPr/>
      </xdr:nvSpPr>
      <xdr:spPr>
        <a:xfrm>
          <a:off x="10414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35</a:t>
          </a:r>
        </a:p>
      </xdr:txBody>
    </xdr:sp>
    <xdr:clientData/>
  </xdr:twoCellAnchor>
  <xdr:twoCellAnchor>
    <xdr:from>
      <xdr:col>15</xdr:col>
      <xdr:colOff>177800</xdr:colOff>
      <xdr:row>613</xdr:row>
      <xdr:rowOff>127000</xdr:rowOff>
    </xdr:from>
    <xdr:to>
      <xdr:col>15</xdr:col>
      <xdr:colOff>495300</xdr:colOff>
      <xdr:row>621</xdr:row>
      <xdr:rowOff>127000</xdr:rowOff>
    </xdr:to>
    <xdr:sp macro="" textlink="">
      <xdr:nvSpPr>
        <xdr:cNvPr id="213" name="Прямоугольник 212"/>
        <xdr:cNvSpPr/>
      </xdr:nvSpPr>
      <xdr:spPr>
        <a:xfrm>
          <a:off x="1073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36</a:t>
          </a:r>
        </a:p>
      </xdr:txBody>
    </xdr:sp>
    <xdr:clientData/>
  </xdr:twoCellAnchor>
  <xdr:twoCellAnchor>
    <xdr:from>
      <xdr:col>15</xdr:col>
      <xdr:colOff>495300</xdr:colOff>
      <xdr:row>613</xdr:row>
      <xdr:rowOff>127000</xdr:rowOff>
    </xdr:from>
    <xdr:to>
      <xdr:col>15</xdr:col>
      <xdr:colOff>812800</xdr:colOff>
      <xdr:row>621</xdr:row>
      <xdr:rowOff>127000</xdr:rowOff>
    </xdr:to>
    <xdr:sp macro="" textlink="">
      <xdr:nvSpPr>
        <xdr:cNvPr id="214" name="Прямоугольник 213"/>
        <xdr:cNvSpPr/>
      </xdr:nvSpPr>
      <xdr:spPr>
        <a:xfrm>
          <a:off x="1104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37</a:t>
          </a:r>
        </a:p>
      </xdr:txBody>
    </xdr:sp>
    <xdr:clientData/>
  </xdr:twoCellAnchor>
  <xdr:twoCellAnchor>
    <xdr:from>
      <xdr:col>15</xdr:col>
      <xdr:colOff>812800</xdr:colOff>
      <xdr:row>613</xdr:row>
      <xdr:rowOff>127000</xdr:rowOff>
    </xdr:from>
    <xdr:to>
      <xdr:col>15</xdr:col>
      <xdr:colOff>1130300</xdr:colOff>
      <xdr:row>621</xdr:row>
      <xdr:rowOff>127000</xdr:rowOff>
    </xdr:to>
    <xdr:sp macro="" textlink="">
      <xdr:nvSpPr>
        <xdr:cNvPr id="215" name="Прямоугольник 214"/>
        <xdr:cNvSpPr/>
      </xdr:nvSpPr>
      <xdr:spPr>
        <a:xfrm>
          <a:off x="11366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38</a:t>
          </a:r>
        </a:p>
      </xdr:txBody>
    </xdr:sp>
    <xdr:clientData/>
  </xdr:twoCellAnchor>
  <xdr:twoCellAnchor>
    <xdr:from>
      <xdr:col>15</xdr:col>
      <xdr:colOff>1130300</xdr:colOff>
      <xdr:row>613</xdr:row>
      <xdr:rowOff>127000</xdr:rowOff>
    </xdr:from>
    <xdr:to>
      <xdr:col>15</xdr:col>
      <xdr:colOff>1447800</xdr:colOff>
      <xdr:row>621</xdr:row>
      <xdr:rowOff>127000</xdr:rowOff>
    </xdr:to>
    <xdr:sp macro="" textlink="">
      <xdr:nvSpPr>
        <xdr:cNvPr id="216" name="Прямоугольник 215"/>
        <xdr:cNvSpPr/>
      </xdr:nvSpPr>
      <xdr:spPr>
        <a:xfrm>
          <a:off x="1168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39</a:t>
          </a:r>
        </a:p>
      </xdr:txBody>
    </xdr:sp>
    <xdr:clientData/>
  </xdr:twoCellAnchor>
  <xdr:twoCellAnchor>
    <xdr:from>
      <xdr:col>15</xdr:col>
      <xdr:colOff>1447800</xdr:colOff>
      <xdr:row>613</xdr:row>
      <xdr:rowOff>127000</xdr:rowOff>
    </xdr:from>
    <xdr:to>
      <xdr:col>16</xdr:col>
      <xdr:colOff>212725</xdr:colOff>
      <xdr:row>621</xdr:row>
      <xdr:rowOff>127000</xdr:rowOff>
    </xdr:to>
    <xdr:sp macro="" textlink="">
      <xdr:nvSpPr>
        <xdr:cNvPr id="217" name="Прямоугольник 216"/>
        <xdr:cNvSpPr/>
      </xdr:nvSpPr>
      <xdr:spPr>
        <a:xfrm>
          <a:off x="1200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40</a:t>
          </a:r>
        </a:p>
      </xdr:txBody>
    </xdr:sp>
    <xdr:clientData/>
  </xdr:twoCellAnchor>
  <xdr:twoCellAnchor>
    <xdr:from>
      <xdr:col>16</xdr:col>
      <xdr:colOff>212725</xdr:colOff>
      <xdr:row>613</xdr:row>
      <xdr:rowOff>127000</xdr:rowOff>
    </xdr:from>
    <xdr:to>
      <xdr:col>16</xdr:col>
      <xdr:colOff>530225</xdr:colOff>
      <xdr:row>621</xdr:row>
      <xdr:rowOff>127000</xdr:rowOff>
    </xdr:to>
    <xdr:sp macro="" textlink="">
      <xdr:nvSpPr>
        <xdr:cNvPr id="218" name="Прямоугольник 217"/>
        <xdr:cNvSpPr/>
      </xdr:nvSpPr>
      <xdr:spPr>
        <a:xfrm>
          <a:off x="12319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41</a:t>
          </a:r>
        </a:p>
      </xdr:txBody>
    </xdr:sp>
    <xdr:clientData/>
  </xdr:twoCellAnchor>
  <xdr:twoCellAnchor>
    <xdr:from>
      <xdr:col>16</xdr:col>
      <xdr:colOff>530225</xdr:colOff>
      <xdr:row>613</xdr:row>
      <xdr:rowOff>127000</xdr:rowOff>
    </xdr:from>
    <xdr:to>
      <xdr:col>16</xdr:col>
      <xdr:colOff>847725</xdr:colOff>
      <xdr:row>621</xdr:row>
      <xdr:rowOff>127000</xdr:rowOff>
    </xdr:to>
    <xdr:sp macro="" textlink="">
      <xdr:nvSpPr>
        <xdr:cNvPr id="219" name="Прямоугольник 218"/>
        <xdr:cNvSpPr/>
      </xdr:nvSpPr>
      <xdr:spPr>
        <a:xfrm>
          <a:off x="1263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42</a:t>
          </a:r>
        </a:p>
      </xdr:txBody>
    </xdr:sp>
    <xdr:clientData/>
  </xdr:twoCellAnchor>
  <xdr:twoCellAnchor>
    <xdr:from>
      <xdr:col>16</xdr:col>
      <xdr:colOff>847725</xdr:colOff>
      <xdr:row>613</xdr:row>
      <xdr:rowOff>127000</xdr:rowOff>
    </xdr:from>
    <xdr:to>
      <xdr:col>16</xdr:col>
      <xdr:colOff>1165225</xdr:colOff>
      <xdr:row>621</xdr:row>
      <xdr:rowOff>127000</xdr:rowOff>
    </xdr:to>
    <xdr:sp macro="" textlink="">
      <xdr:nvSpPr>
        <xdr:cNvPr id="220" name="Прямоугольник 219"/>
        <xdr:cNvSpPr/>
      </xdr:nvSpPr>
      <xdr:spPr>
        <a:xfrm>
          <a:off x="12954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43</a:t>
          </a:r>
        </a:p>
      </xdr:txBody>
    </xdr:sp>
    <xdr:clientData/>
  </xdr:twoCellAnchor>
  <xdr:twoCellAnchor>
    <xdr:from>
      <xdr:col>16</xdr:col>
      <xdr:colOff>1165225</xdr:colOff>
      <xdr:row>613</xdr:row>
      <xdr:rowOff>127000</xdr:rowOff>
    </xdr:from>
    <xdr:to>
      <xdr:col>16</xdr:col>
      <xdr:colOff>1482725</xdr:colOff>
      <xdr:row>621</xdr:row>
      <xdr:rowOff>127000</xdr:rowOff>
    </xdr:to>
    <xdr:sp macro="" textlink="">
      <xdr:nvSpPr>
        <xdr:cNvPr id="221" name="Прямоугольник 220"/>
        <xdr:cNvSpPr/>
      </xdr:nvSpPr>
      <xdr:spPr>
        <a:xfrm>
          <a:off x="132715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44</a:t>
          </a:r>
        </a:p>
      </xdr:txBody>
    </xdr:sp>
    <xdr:clientData/>
  </xdr:twoCellAnchor>
  <xdr:twoCellAnchor>
    <xdr:from>
      <xdr:col>16</xdr:col>
      <xdr:colOff>1482725</xdr:colOff>
      <xdr:row>613</xdr:row>
      <xdr:rowOff>127000</xdr:rowOff>
    </xdr:from>
    <xdr:to>
      <xdr:col>16</xdr:col>
      <xdr:colOff>1800225</xdr:colOff>
      <xdr:row>621</xdr:row>
      <xdr:rowOff>127000</xdr:rowOff>
    </xdr:to>
    <xdr:sp macro="" textlink="">
      <xdr:nvSpPr>
        <xdr:cNvPr id="222" name="Прямоугольник 221"/>
        <xdr:cNvSpPr/>
      </xdr:nvSpPr>
      <xdr:spPr>
        <a:xfrm>
          <a:off x="135890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45</a:t>
          </a:r>
        </a:p>
      </xdr:txBody>
    </xdr:sp>
    <xdr:clientData/>
  </xdr:twoCellAnchor>
  <xdr:twoCellAnchor>
    <xdr:from>
      <xdr:col>16</xdr:col>
      <xdr:colOff>1006475</xdr:colOff>
      <xdr:row>621</xdr:row>
      <xdr:rowOff>127000</xdr:rowOff>
    </xdr:from>
    <xdr:to>
      <xdr:col>16</xdr:col>
      <xdr:colOff>1006475</xdr:colOff>
      <xdr:row>622</xdr:row>
      <xdr:rowOff>127000</xdr:rowOff>
    </xdr:to>
    <xdr:cxnSp macro="">
      <xdr:nvCxnSpPr>
        <xdr:cNvPr id="223" name="Прямая со стрелкой 222"/>
        <xdr:cNvCxnSpPr/>
      </xdr:nvCxnSpPr>
      <xdr:spPr>
        <a:xfrm flipV="1">
          <a:off x="1311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621</xdr:row>
      <xdr:rowOff>127000</xdr:rowOff>
    </xdr:from>
    <xdr:to>
      <xdr:col>16</xdr:col>
      <xdr:colOff>1323975</xdr:colOff>
      <xdr:row>622</xdr:row>
      <xdr:rowOff>127000</xdr:rowOff>
    </xdr:to>
    <xdr:cxnSp macro="">
      <xdr:nvCxnSpPr>
        <xdr:cNvPr id="224" name="Прямая со стрелкой 223"/>
        <xdr:cNvCxnSpPr/>
      </xdr:nvCxnSpPr>
      <xdr:spPr>
        <a:xfrm flipV="1">
          <a:off x="13430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1641475</xdr:colOff>
      <xdr:row>621</xdr:row>
      <xdr:rowOff>127000</xdr:rowOff>
    </xdr:from>
    <xdr:to>
      <xdr:col>16</xdr:col>
      <xdr:colOff>1641475</xdr:colOff>
      <xdr:row>622</xdr:row>
      <xdr:rowOff>127000</xdr:rowOff>
    </xdr:to>
    <xdr:cxnSp macro="">
      <xdr:nvCxnSpPr>
        <xdr:cNvPr id="225" name="Прямая со стрелкой 224"/>
        <xdr:cNvCxnSpPr/>
      </xdr:nvCxnSpPr>
      <xdr:spPr>
        <a:xfrm flipV="1">
          <a:off x="13747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1006475</xdr:colOff>
      <xdr:row>622</xdr:row>
      <xdr:rowOff>127000</xdr:rowOff>
    </xdr:from>
    <xdr:to>
      <xdr:col>16</xdr:col>
      <xdr:colOff>1641475</xdr:colOff>
      <xdr:row>622</xdr:row>
      <xdr:rowOff>127000</xdr:rowOff>
    </xdr:to>
    <xdr:cxnSp macro="">
      <xdr:nvCxnSpPr>
        <xdr:cNvPr id="226" name="Прямая со стрелкой 225"/>
        <xdr:cNvCxnSpPr/>
      </xdr:nvCxnSpPr>
      <xdr:spPr>
        <a:xfrm>
          <a:off x="13112750" y="118618000"/>
          <a:ext cx="635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1019175</xdr:colOff>
      <xdr:row>627</xdr:row>
      <xdr:rowOff>0</xdr:rowOff>
    </xdr:from>
    <xdr:to>
      <xdr:col>16</xdr:col>
      <xdr:colOff>1628775</xdr:colOff>
      <xdr:row>631</xdr:row>
      <xdr:rowOff>127000</xdr:rowOff>
    </xdr:to>
    <xdr:sp macro="" textlink="">
      <xdr:nvSpPr>
        <xdr:cNvPr id="227" name="Прямоугольник 226"/>
        <xdr:cNvSpPr/>
      </xdr:nvSpPr>
      <xdr:spPr>
        <a:xfrm>
          <a:off x="13125450" y="1194435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1019175</xdr:colOff>
      <xdr:row>627</xdr:row>
      <xdr:rowOff>0</xdr:rowOff>
    </xdr:from>
    <xdr:to>
      <xdr:col>16</xdr:col>
      <xdr:colOff>1222375</xdr:colOff>
      <xdr:row>628</xdr:row>
      <xdr:rowOff>12700</xdr:rowOff>
    </xdr:to>
    <xdr:sp macro="" textlink="">
      <xdr:nvSpPr>
        <xdr:cNvPr id="228" name="Прямоугольник 227"/>
        <xdr:cNvSpPr/>
      </xdr:nvSpPr>
      <xdr:spPr>
        <a:xfrm>
          <a:off x="131254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1222375</xdr:colOff>
      <xdr:row>627</xdr:row>
      <xdr:rowOff>0</xdr:rowOff>
    </xdr:from>
    <xdr:to>
      <xdr:col>16</xdr:col>
      <xdr:colOff>1425575</xdr:colOff>
      <xdr:row>628</xdr:row>
      <xdr:rowOff>12700</xdr:rowOff>
    </xdr:to>
    <xdr:sp macro="" textlink="">
      <xdr:nvSpPr>
        <xdr:cNvPr id="229" name="Прямоугольник 228"/>
        <xdr:cNvSpPr/>
      </xdr:nvSpPr>
      <xdr:spPr>
        <a:xfrm>
          <a:off x="133286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1425575</xdr:colOff>
      <xdr:row>627</xdr:row>
      <xdr:rowOff>0</xdr:rowOff>
    </xdr:from>
    <xdr:to>
      <xdr:col>16</xdr:col>
      <xdr:colOff>1628775</xdr:colOff>
      <xdr:row>628</xdr:row>
      <xdr:rowOff>12700</xdr:rowOff>
    </xdr:to>
    <xdr:sp macro="" textlink="">
      <xdr:nvSpPr>
        <xdr:cNvPr id="230" name="Прямоугольник 229"/>
        <xdr:cNvSpPr/>
      </xdr:nvSpPr>
      <xdr:spPr>
        <a:xfrm>
          <a:off x="135318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1120775</xdr:colOff>
      <xdr:row>626</xdr:row>
      <xdr:rowOff>0</xdr:rowOff>
    </xdr:from>
    <xdr:to>
      <xdr:col>16</xdr:col>
      <xdr:colOff>1120775</xdr:colOff>
      <xdr:row>627</xdr:row>
      <xdr:rowOff>0</xdr:rowOff>
    </xdr:to>
    <xdr:cxnSp macro="">
      <xdr:nvCxnSpPr>
        <xdr:cNvPr id="231" name="Прямая со стрелкой 230"/>
        <xdr:cNvCxnSpPr/>
      </xdr:nvCxnSpPr>
      <xdr:spPr>
        <a:xfrm flipV="1">
          <a:off x="132270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626</xdr:row>
      <xdr:rowOff>0</xdr:rowOff>
    </xdr:from>
    <xdr:to>
      <xdr:col>16</xdr:col>
      <xdr:colOff>1323975</xdr:colOff>
      <xdr:row>627</xdr:row>
      <xdr:rowOff>0</xdr:rowOff>
    </xdr:to>
    <xdr:cxnSp macro="">
      <xdr:nvCxnSpPr>
        <xdr:cNvPr id="232" name="Прямая со стрелкой 231"/>
        <xdr:cNvCxnSpPr/>
      </xdr:nvCxnSpPr>
      <xdr:spPr>
        <a:xfrm flipV="1">
          <a:off x="134302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1527175</xdr:colOff>
      <xdr:row>626</xdr:row>
      <xdr:rowOff>0</xdr:rowOff>
    </xdr:from>
    <xdr:to>
      <xdr:col>16</xdr:col>
      <xdr:colOff>1527175</xdr:colOff>
      <xdr:row>627</xdr:row>
      <xdr:rowOff>0</xdr:rowOff>
    </xdr:to>
    <xdr:cxnSp macro="">
      <xdr:nvCxnSpPr>
        <xdr:cNvPr id="233" name="Прямая со стрелкой 232"/>
        <xdr:cNvCxnSpPr/>
      </xdr:nvCxnSpPr>
      <xdr:spPr>
        <a:xfrm flipV="1">
          <a:off x="136334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1120775</xdr:colOff>
      <xdr:row>626</xdr:row>
      <xdr:rowOff>0</xdr:rowOff>
    </xdr:from>
    <xdr:to>
      <xdr:col>16</xdr:col>
      <xdr:colOff>1527175</xdr:colOff>
      <xdr:row>626</xdr:row>
      <xdr:rowOff>0</xdr:rowOff>
    </xdr:to>
    <xdr:cxnSp macro="">
      <xdr:nvCxnSpPr>
        <xdr:cNvPr id="234" name="Прямая со стрелкой 233"/>
        <xdr:cNvCxnSpPr/>
      </xdr:nvCxnSpPr>
      <xdr:spPr>
        <a:xfrm>
          <a:off x="13227050" y="1192530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622</xdr:row>
      <xdr:rowOff>127000</xdr:rowOff>
    </xdr:from>
    <xdr:to>
      <xdr:col>16</xdr:col>
      <xdr:colOff>1323975</xdr:colOff>
      <xdr:row>626</xdr:row>
      <xdr:rowOff>0</xdr:rowOff>
    </xdr:to>
    <xdr:cxnSp macro="">
      <xdr:nvCxnSpPr>
        <xdr:cNvPr id="235" name="Прямая со стрелкой 234"/>
        <xdr:cNvCxnSpPr/>
      </xdr:nvCxnSpPr>
      <xdr:spPr>
        <a:xfrm>
          <a:off x="1343025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1077395</xdr:colOff>
      <xdr:row>622</xdr:row>
      <xdr:rowOff>114300</xdr:rowOff>
    </xdr:from>
    <xdr:ext cx="264560" cy="635000"/>
    <xdr:sp macro="" textlink="">
      <xdr:nvSpPr>
        <xdr:cNvPr id="236" name="TextBox 235"/>
        <xdr:cNvSpPr txBox="1"/>
      </xdr:nvSpPr>
      <xdr:spPr>
        <a:xfrm rot="16200000">
          <a:off x="1299845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twoCellAnchor>
    <xdr:from>
      <xdr:col>16</xdr:col>
      <xdr:colOff>1800225</xdr:colOff>
      <xdr:row>613</xdr:row>
      <xdr:rowOff>127000</xdr:rowOff>
    </xdr:from>
    <xdr:to>
      <xdr:col>16</xdr:col>
      <xdr:colOff>2117725</xdr:colOff>
      <xdr:row>621</xdr:row>
      <xdr:rowOff>127000</xdr:rowOff>
    </xdr:to>
    <xdr:sp macro="" textlink="">
      <xdr:nvSpPr>
        <xdr:cNvPr id="237" name="Прямоугольник 236"/>
        <xdr:cNvSpPr/>
      </xdr:nvSpPr>
      <xdr:spPr>
        <a:xfrm>
          <a:off x="13906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46</a:t>
          </a:r>
        </a:p>
      </xdr:txBody>
    </xdr:sp>
    <xdr:clientData/>
  </xdr:twoCellAnchor>
  <xdr:twoCellAnchor>
    <xdr:from>
      <xdr:col>16</xdr:col>
      <xdr:colOff>2117725</xdr:colOff>
      <xdr:row>613</xdr:row>
      <xdr:rowOff>127000</xdr:rowOff>
    </xdr:from>
    <xdr:to>
      <xdr:col>17</xdr:col>
      <xdr:colOff>34925</xdr:colOff>
      <xdr:row>621</xdr:row>
      <xdr:rowOff>127000</xdr:rowOff>
    </xdr:to>
    <xdr:sp macro="" textlink="">
      <xdr:nvSpPr>
        <xdr:cNvPr id="238" name="Прямоугольник 237"/>
        <xdr:cNvSpPr/>
      </xdr:nvSpPr>
      <xdr:spPr>
        <a:xfrm>
          <a:off x="14224000" y="11690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47</a:t>
          </a:r>
        </a:p>
      </xdr:txBody>
    </xdr:sp>
    <xdr:clientData/>
  </xdr:twoCellAnchor>
  <xdr:twoCellAnchor>
    <xdr:from>
      <xdr:col>17</xdr:col>
      <xdr:colOff>34925</xdr:colOff>
      <xdr:row>613</xdr:row>
      <xdr:rowOff>127000</xdr:rowOff>
    </xdr:from>
    <xdr:to>
      <xdr:col>17</xdr:col>
      <xdr:colOff>352425</xdr:colOff>
      <xdr:row>621</xdr:row>
      <xdr:rowOff>127000</xdr:rowOff>
    </xdr:to>
    <xdr:sp macro="" textlink="">
      <xdr:nvSpPr>
        <xdr:cNvPr id="239" name="Прямоугольник 238"/>
        <xdr:cNvSpPr/>
      </xdr:nvSpPr>
      <xdr:spPr>
        <a:xfrm>
          <a:off x="14541500" y="11690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48</a:t>
          </a:r>
        </a:p>
      </xdr:txBody>
    </xdr:sp>
    <xdr:clientData/>
  </xdr:twoCellAnchor>
  <xdr:twoCellAnchor>
    <xdr:from>
      <xdr:col>16</xdr:col>
      <xdr:colOff>1958975</xdr:colOff>
      <xdr:row>621</xdr:row>
      <xdr:rowOff>127000</xdr:rowOff>
    </xdr:from>
    <xdr:to>
      <xdr:col>16</xdr:col>
      <xdr:colOff>1958975</xdr:colOff>
      <xdr:row>622</xdr:row>
      <xdr:rowOff>127000</xdr:rowOff>
    </xdr:to>
    <xdr:cxnSp macro="">
      <xdr:nvCxnSpPr>
        <xdr:cNvPr id="240" name="Прямая со стрелкой 239"/>
        <xdr:cNvCxnSpPr/>
      </xdr:nvCxnSpPr>
      <xdr:spPr>
        <a:xfrm flipV="1">
          <a:off x="140652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621</xdr:row>
      <xdr:rowOff>127000</xdr:rowOff>
    </xdr:from>
    <xdr:to>
      <xdr:col>16</xdr:col>
      <xdr:colOff>2276475</xdr:colOff>
      <xdr:row>622</xdr:row>
      <xdr:rowOff>127000</xdr:rowOff>
    </xdr:to>
    <xdr:cxnSp macro="">
      <xdr:nvCxnSpPr>
        <xdr:cNvPr id="241" name="Прямая со стрелкой 240"/>
        <xdr:cNvCxnSpPr/>
      </xdr:nvCxnSpPr>
      <xdr:spPr>
        <a:xfrm flipV="1">
          <a:off x="14382750" y="118427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1958975</xdr:colOff>
      <xdr:row>622</xdr:row>
      <xdr:rowOff>127000</xdr:rowOff>
    </xdr:from>
    <xdr:to>
      <xdr:col>16</xdr:col>
      <xdr:colOff>2276475</xdr:colOff>
      <xdr:row>622</xdr:row>
      <xdr:rowOff>127000</xdr:rowOff>
    </xdr:to>
    <xdr:cxnSp macro="">
      <xdr:nvCxnSpPr>
        <xdr:cNvPr id="242" name="Прямая со стрелкой 241"/>
        <xdr:cNvCxnSpPr/>
      </xdr:nvCxnSpPr>
      <xdr:spPr>
        <a:xfrm>
          <a:off x="14065250" y="1186180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1971675</xdr:colOff>
      <xdr:row>627</xdr:row>
      <xdr:rowOff>0</xdr:rowOff>
    </xdr:from>
    <xdr:to>
      <xdr:col>17</xdr:col>
      <xdr:colOff>180975</xdr:colOff>
      <xdr:row>631</xdr:row>
      <xdr:rowOff>127000</xdr:rowOff>
    </xdr:to>
    <xdr:sp macro="" textlink="">
      <xdr:nvSpPr>
        <xdr:cNvPr id="243" name="Прямоугольник 242"/>
        <xdr:cNvSpPr/>
      </xdr:nvSpPr>
      <xdr:spPr>
        <a:xfrm>
          <a:off x="14077950" y="1194435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1971675</xdr:colOff>
      <xdr:row>627</xdr:row>
      <xdr:rowOff>0</xdr:rowOff>
    </xdr:from>
    <xdr:to>
      <xdr:col>16</xdr:col>
      <xdr:colOff>2174875</xdr:colOff>
      <xdr:row>628</xdr:row>
      <xdr:rowOff>12700</xdr:rowOff>
    </xdr:to>
    <xdr:sp macro="" textlink="">
      <xdr:nvSpPr>
        <xdr:cNvPr id="244" name="Прямоугольник 243"/>
        <xdr:cNvSpPr/>
      </xdr:nvSpPr>
      <xdr:spPr>
        <a:xfrm>
          <a:off x="140779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2174875</xdr:colOff>
      <xdr:row>627</xdr:row>
      <xdr:rowOff>0</xdr:rowOff>
    </xdr:from>
    <xdr:to>
      <xdr:col>16</xdr:col>
      <xdr:colOff>2378075</xdr:colOff>
      <xdr:row>628</xdr:row>
      <xdr:rowOff>12700</xdr:rowOff>
    </xdr:to>
    <xdr:sp macro="" textlink="">
      <xdr:nvSpPr>
        <xdr:cNvPr id="245" name="Прямоугольник 244"/>
        <xdr:cNvSpPr/>
      </xdr:nvSpPr>
      <xdr:spPr>
        <a:xfrm>
          <a:off x="142811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2378075</xdr:colOff>
      <xdr:row>627</xdr:row>
      <xdr:rowOff>0</xdr:rowOff>
    </xdr:from>
    <xdr:to>
      <xdr:col>17</xdr:col>
      <xdr:colOff>180975</xdr:colOff>
      <xdr:row>628</xdr:row>
      <xdr:rowOff>12700</xdr:rowOff>
    </xdr:to>
    <xdr:sp macro="" textlink="">
      <xdr:nvSpPr>
        <xdr:cNvPr id="246" name="Прямоугольник 245"/>
        <xdr:cNvSpPr/>
      </xdr:nvSpPr>
      <xdr:spPr>
        <a:xfrm>
          <a:off x="14484350" y="1194435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2073275</xdr:colOff>
      <xdr:row>626</xdr:row>
      <xdr:rowOff>0</xdr:rowOff>
    </xdr:from>
    <xdr:to>
      <xdr:col>16</xdr:col>
      <xdr:colOff>2073275</xdr:colOff>
      <xdr:row>627</xdr:row>
      <xdr:rowOff>0</xdr:rowOff>
    </xdr:to>
    <xdr:cxnSp macro="">
      <xdr:nvCxnSpPr>
        <xdr:cNvPr id="247" name="Прямая со стрелкой 246"/>
        <xdr:cNvCxnSpPr/>
      </xdr:nvCxnSpPr>
      <xdr:spPr>
        <a:xfrm flipV="1">
          <a:off x="141795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626</xdr:row>
      <xdr:rowOff>0</xdr:rowOff>
    </xdr:from>
    <xdr:to>
      <xdr:col>16</xdr:col>
      <xdr:colOff>2276475</xdr:colOff>
      <xdr:row>627</xdr:row>
      <xdr:rowOff>0</xdr:rowOff>
    </xdr:to>
    <xdr:cxnSp macro="">
      <xdr:nvCxnSpPr>
        <xdr:cNvPr id="248" name="Прямая со стрелкой 247"/>
        <xdr:cNvCxnSpPr/>
      </xdr:nvCxnSpPr>
      <xdr:spPr>
        <a:xfrm flipV="1">
          <a:off x="143827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79375</xdr:colOff>
      <xdr:row>626</xdr:row>
      <xdr:rowOff>0</xdr:rowOff>
    </xdr:from>
    <xdr:to>
      <xdr:col>17</xdr:col>
      <xdr:colOff>79375</xdr:colOff>
      <xdr:row>627</xdr:row>
      <xdr:rowOff>0</xdr:rowOff>
    </xdr:to>
    <xdr:cxnSp macro="">
      <xdr:nvCxnSpPr>
        <xdr:cNvPr id="249" name="Прямая со стрелкой 248"/>
        <xdr:cNvCxnSpPr/>
      </xdr:nvCxnSpPr>
      <xdr:spPr>
        <a:xfrm flipV="1">
          <a:off x="14585950" y="119253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2073275</xdr:colOff>
      <xdr:row>626</xdr:row>
      <xdr:rowOff>0</xdr:rowOff>
    </xdr:from>
    <xdr:to>
      <xdr:col>17</xdr:col>
      <xdr:colOff>79375</xdr:colOff>
      <xdr:row>626</xdr:row>
      <xdr:rowOff>0</xdr:rowOff>
    </xdr:to>
    <xdr:cxnSp macro="">
      <xdr:nvCxnSpPr>
        <xdr:cNvPr id="250" name="Прямая со стрелкой 249"/>
        <xdr:cNvCxnSpPr/>
      </xdr:nvCxnSpPr>
      <xdr:spPr>
        <a:xfrm>
          <a:off x="14179550" y="1192530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622</xdr:row>
      <xdr:rowOff>127000</xdr:rowOff>
    </xdr:from>
    <xdr:to>
      <xdr:col>16</xdr:col>
      <xdr:colOff>2276475</xdr:colOff>
      <xdr:row>626</xdr:row>
      <xdr:rowOff>0</xdr:rowOff>
    </xdr:to>
    <xdr:cxnSp macro="">
      <xdr:nvCxnSpPr>
        <xdr:cNvPr id="251" name="Прямая со стрелкой 250"/>
        <xdr:cNvCxnSpPr/>
      </xdr:nvCxnSpPr>
      <xdr:spPr>
        <a:xfrm>
          <a:off x="14382750" y="118618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2029895</xdr:colOff>
      <xdr:row>622</xdr:row>
      <xdr:rowOff>114300</xdr:rowOff>
    </xdr:from>
    <xdr:ext cx="264560" cy="635000"/>
    <xdr:sp macro="" textlink="">
      <xdr:nvSpPr>
        <xdr:cNvPr id="252" name="TextBox 251"/>
        <xdr:cNvSpPr txBox="1"/>
      </xdr:nvSpPr>
      <xdr:spPr>
        <a:xfrm rot="16200000">
          <a:off x="13950950" y="1187905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643</xdr:row>
      <xdr:rowOff>0</xdr:rowOff>
    </xdr:from>
    <xdr:ext cx="6985000" cy="264560"/>
    <xdr:sp macro="" textlink="">
      <xdr:nvSpPr>
        <xdr:cNvPr id="253" name="TextBox 252"/>
        <xdr:cNvSpPr txBox="1"/>
      </xdr:nvSpPr>
      <xdr:spPr>
        <a:xfrm>
          <a:off x="1270000" y="12249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TS1 - </a:t>
          </a:r>
          <a:r>
            <a:rPr lang="ru-RU" sz="1100"/>
            <a:t>Капиллярный термостат</a:t>
          </a:r>
        </a:p>
      </xdr:txBody>
    </xdr:sp>
    <xdr:clientData/>
  </xdr:oneCellAnchor>
  <xdr:oneCellAnchor>
    <xdr:from>
      <xdr:col>3</xdr:col>
      <xdr:colOff>469900</xdr:colOff>
      <xdr:row>644</xdr:row>
      <xdr:rowOff>63500</xdr:rowOff>
    </xdr:from>
    <xdr:ext cx="6985000" cy="264560"/>
    <xdr:sp macro="" textlink="">
      <xdr:nvSpPr>
        <xdr:cNvPr id="254" name="TextBox 253"/>
        <xdr:cNvSpPr txBox="1"/>
      </xdr:nvSpPr>
      <xdr:spPr>
        <a:xfrm>
          <a:off x="1270000" y="12274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TS2 - </a:t>
          </a:r>
          <a:r>
            <a:rPr lang="ru-RU" sz="1100"/>
            <a:t>Термостат электронагревателя</a:t>
          </a:r>
        </a:p>
      </xdr:txBody>
    </xdr:sp>
    <xdr:clientData/>
  </xdr:oneCellAnchor>
  <xdr:oneCellAnchor>
    <xdr:from>
      <xdr:col>3</xdr:col>
      <xdr:colOff>469900</xdr:colOff>
      <xdr:row>645</xdr:row>
      <xdr:rowOff>127000</xdr:rowOff>
    </xdr:from>
    <xdr:ext cx="6985000" cy="264560"/>
    <xdr:sp macro="" textlink="">
      <xdr:nvSpPr>
        <xdr:cNvPr id="255" name="TextBox 254"/>
        <xdr:cNvSpPr txBox="1"/>
      </xdr:nvSpPr>
      <xdr:spPr>
        <a:xfrm>
          <a:off x="1270000" y="12299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FS - </a:t>
          </a:r>
          <a:r>
            <a:rPr lang="ru-RU" sz="1100"/>
            <a:t>Пожарная сигнализация</a:t>
          </a:r>
        </a:p>
      </xdr:txBody>
    </xdr:sp>
    <xdr:clientData/>
  </xdr:oneCellAnchor>
  <xdr:oneCellAnchor>
    <xdr:from>
      <xdr:col>3</xdr:col>
      <xdr:colOff>469900</xdr:colOff>
      <xdr:row>647</xdr:row>
      <xdr:rowOff>0</xdr:rowOff>
    </xdr:from>
    <xdr:ext cx="6985000" cy="264560"/>
    <xdr:sp macro="" textlink="">
      <xdr:nvSpPr>
        <xdr:cNvPr id="256" name="TextBox 255"/>
        <xdr:cNvSpPr txBox="1"/>
      </xdr:nvSpPr>
      <xdr:spPr>
        <a:xfrm>
          <a:off x="1270000" y="12325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TE1 - </a:t>
          </a:r>
          <a:r>
            <a:rPr lang="ru-RU" sz="1100"/>
            <a:t>Канальный датчик температуры №1</a:t>
          </a:r>
        </a:p>
      </xdr:txBody>
    </xdr:sp>
    <xdr:clientData/>
  </xdr:oneCellAnchor>
  <xdr:oneCellAnchor>
    <xdr:from>
      <xdr:col>3</xdr:col>
      <xdr:colOff>469900</xdr:colOff>
      <xdr:row>648</xdr:row>
      <xdr:rowOff>63500</xdr:rowOff>
    </xdr:from>
    <xdr:ext cx="6985000" cy="264560"/>
    <xdr:sp macro="" textlink="">
      <xdr:nvSpPr>
        <xdr:cNvPr id="257" name="TextBox 256"/>
        <xdr:cNvSpPr txBox="1"/>
      </xdr:nvSpPr>
      <xdr:spPr>
        <a:xfrm>
          <a:off x="1270000" y="123507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TE2 - </a:t>
          </a:r>
          <a:r>
            <a:rPr lang="ru-RU" sz="1100"/>
            <a:t>Канальный датчик температуры №2</a:t>
          </a:r>
        </a:p>
      </xdr:txBody>
    </xdr:sp>
    <xdr:clientData/>
  </xdr:oneCellAnchor>
  <xdr:oneCellAnchor>
    <xdr:from>
      <xdr:col>3</xdr:col>
      <xdr:colOff>469900</xdr:colOff>
      <xdr:row>649</xdr:row>
      <xdr:rowOff>127000</xdr:rowOff>
    </xdr:from>
    <xdr:ext cx="6985000" cy="264560"/>
    <xdr:sp macro="" textlink="">
      <xdr:nvSpPr>
        <xdr:cNvPr id="258" name="TextBox 257"/>
        <xdr:cNvSpPr txBox="1"/>
      </xdr:nvSpPr>
      <xdr:spPr>
        <a:xfrm>
          <a:off x="1270000" y="123761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TE3 - </a:t>
          </a:r>
          <a:r>
            <a:rPr lang="ru-RU" sz="1100"/>
            <a:t>Канальный датчик температуры №3</a:t>
          </a:r>
        </a:p>
      </xdr:txBody>
    </xdr:sp>
    <xdr:clientData/>
  </xdr:oneCellAnchor>
  <xdr:oneCellAnchor>
    <xdr:from>
      <xdr:col>3</xdr:col>
      <xdr:colOff>469900</xdr:colOff>
      <xdr:row>651</xdr:row>
      <xdr:rowOff>0</xdr:rowOff>
    </xdr:from>
    <xdr:ext cx="6985000" cy="264560"/>
    <xdr:sp macro="" textlink="">
      <xdr:nvSpPr>
        <xdr:cNvPr id="259" name="TextBox 258"/>
        <xdr:cNvSpPr txBox="1"/>
      </xdr:nvSpPr>
      <xdr:spPr>
        <a:xfrm>
          <a:off x="1270000" y="124015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TE4 - </a:t>
          </a:r>
          <a:r>
            <a:rPr lang="ru-RU" sz="1100"/>
            <a:t>Канальный датчик температуры №4</a:t>
          </a:r>
        </a:p>
      </xdr:txBody>
    </xdr:sp>
    <xdr:clientData/>
  </xdr:oneCellAnchor>
  <xdr:oneCellAnchor>
    <xdr:from>
      <xdr:col>3</xdr:col>
      <xdr:colOff>469900</xdr:colOff>
      <xdr:row>652</xdr:row>
      <xdr:rowOff>63500</xdr:rowOff>
    </xdr:from>
    <xdr:ext cx="6985000" cy="264560"/>
    <xdr:sp macro="" textlink="">
      <xdr:nvSpPr>
        <xdr:cNvPr id="260" name="TextBox 259"/>
        <xdr:cNvSpPr txBox="1"/>
      </xdr:nvSpPr>
      <xdr:spPr>
        <a:xfrm>
          <a:off x="1270000" y="124269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TE5 - </a:t>
          </a:r>
          <a:r>
            <a:rPr lang="ru-RU" sz="1100"/>
            <a:t>Канальный датчик температуры №5</a:t>
          </a:r>
        </a:p>
      </xdr:txBody>
    </xdr:sp>
    <xdr:clientData/>
  </xdr:oneCellAnchor>
  <xdr:oneCellAnchor>
    <xdr:from>
      <xdr:col>3</xdr:col>
      <xdr:colOff>469900</xdr:colOff>
      <xdr:row>653</xdr:row>
      <xdr:rowOff>127000</xdr:rowOff>
    </xdr:from>
    <xdr:ext cx="6985000" cy="264560"/>
    <xdr:sp macro="" textlink="">
      <xdr:nvSpPr>
        <xdr:cNvPr id="261" name="TextBox 260"/>
        <xdr:cNvSpPr txBox="1"/>
      </xdr:nvSpPr>
      <xdr:spPr>
        <a:xfrm>
          <a:off x="1270000" y="1245235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TE6 - </a:t>
          </a:r>
          <a:r>
            <a:rPr lang="ru-RU" sz="1100"/>
            <a:t>Уличный датччик температуры</a:t>
          </a:r>
        </a:p>
      </xdr:txBody>
    </xdr:sp>
    <xdr:clientData/>
  </xdr:oneCellAnchor>
  <xdr:oneCellAnchor>
    <xdr:from>
      <xdr:col>12</xdr:col>
      <xdr:colOff>400050</xdr:colOff>
      <xdr:row>651</xdr:row>
      <xdr:rowOff>0</xdr:rowOff>
    </xdr:from>
    <xdr:ext cx="3810000" cy="264560"/>
    <xdr:sp macro="" textlink="">
      <xdr:nvSpPr>
        <xdr:cNvPr id="262" name="TextBox 261"/>
        <xdr:cNvSpPr txBox="1"/>
      </xdr:nvSpPr>
      <xdr:spPr>
        <a:xfrm>
          <a:off x="7620000" y="124015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TE7 - </a:t>
          </a:r>
          <a:r>
            <a:rPr lang="ru-RU" sz="1100"/>
            <a:t>Комнатный датчик температуры</a:t>
          </a:r>
        </a:p>
      </xdr:txBody>
    </xdr:sp>
    <xdr:clientData/>
  </xdr:oneCellAnchor>
  <xdr:oneCellAnchor>
    <xdr:from>
      <xdr:col>12</xdr:col>
      <xdr:colOff>400050</xdr:colOff>
      <xdr:row>649</xdr:row>
      <xdr:rowOff>127000</xdr:rowOff>
    </xdr:from>
    <xdr:ext cx="3810000" cy="264560"/>
    <xdr:sp macro="" textlink="">
      <xdr:nvSpPr>
        <xdr:cNvPr id="263" name="TextBox 262"/>
        <xdr:cNvSpPr txBox="1"/>
      </xdr:nvSpPr>
      <xdr:spPr>
        <a:xfrm>
          <a:off x="7620000" y="123761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Y1- </a:t>
          </a:r>
          <a:r>
            <a:rPr lang="ru-RU" sz="1100"/>
            <a:t>сигнал управления привода кл. </a:t>
          </a:r>
          <a:r>
            <a:rPr lang="en-US" sz="1100"/>
            <a:t>AKM 1-</a:t>
          </a:r>
          <a:r>
            <a:rPr lang="ru-RU" sz="1100"/>
            <a:t>го охладителя.</a:t>
          </a:r>
        </a:p>
      </xdr:txBody>
    </xdr:sp>
    <xdr:clientData/>
  </xdr:oneCellAnchor>
  <xdr:oneCellAnchor>
    <xdr:from>
      <xdr:col>12</xdr:col>
      <xdr:colOff>400050</xdr:colOff>
      <xdr:row>648</xdr:row>
      <xdr:rowOff>63500</xdr:rowOff>
    </xdr:from>
    <xdr:ext cx="3810000" cy="264560"/>
    <xdr:sp macro="" textlink="">
      <xdr:nvSpPr>
        <xdr:cNvPr id="264" name="TextBox 263"/>
        <xdr:cNvSpPr txBox="1"/>
      </xdr:nvSpPr>
      <xdr:spPr>
        <a:xfrm>
          <a:off x="7620000" y="1235075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Y2- </a:t>
          </a:r>
          <a:r>
            <a:rPr lang="ru-RU" sz="1100"/>
            <a:t>сигнал управления эл. НАГРЕВ (0-10</a:t>
          </a:r>
          <a:r>
            <a:rPr lang="en-US" sz="1100"/>
            <a:t>V/5V-PWM)</a:t>
          </a:r>
          <a:endParaRPr lang="ru-RU" sz="1100"/>
        </a:p>
      </xdr:txBody>
    </xdr:sp>
    <xdr:clientData/>
  </xdr:oneCellAnchor>
  <xdr:twoCellAnchor>
    <xdr:from>
      <xdr:col>3</xdr:col>
      <xdr:colOff>596900</xdr:colOff>
      <xdr:row>675</xdr:row>
      <xdr:rowOff>127000</xdr:rowOff>
    </xdr:from>
    <xdr:to>
      <xdr:col>4</xdr:col>
      <xdr:colOff>314325</xdr:colOff>
      <xdr:row>679</xdr:row>
      <xdr:rowOff>127000</xdr:rowOff>
    </xdr:to>
    <xdr:sp macro="" textlink="">
      <xdr:nvSpPr>
        <xdr:cNvPr id="265" name="Прямоугольник 264"/>
        <xdr:cNvSpPr/>
      </xdr:nvSpPr>
      <xdr:spPr>
        <a:xfrm>
          <a:off x="1397000" y="1287145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673</xdr:row>
      <xdr:rowOff>127000</xdr:rowOff>
    </xdr:from>
    <xdr:to>
      <xdr:col>5</xdr:col>
      <xdr:colOff>95250</xdr:colOff>
      <xdr:row>681</xdr:row>
      <xdr:rowOff>127000</xdr:rowOff>
    </xdr:to>
    <xdr:sp macro="" textlink="">
      <xdr:nvSpPr>
        <xdr:cNvPr id="266" name="Прямоугольник 265"/>
        <xdr:cNvSpPr/>
      </xdr:nvSpPr>
      <xdr:spPr>
        <a:xfrm>
          <a:off x="21590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49</a:t>
          </a:r>
        </a:p>
      </xdr:txBody>
    </xdr:sp>
    <xdr:clientData/>
  </xdr:twoCellAnchor>
  <xdr:twoCellAnchor>
    <xdr:from>
      <xdr:col>5</xdr:col>
      <xdr:colOff>95250</xdr:colOff>
      <xdr:row>673</xdr:row>
      <xdr:rowOff>127000</xdr:rowOff>
    </xdr:from>
    <xdr:to>
      <xdr:col>5</xdr:col>
      <xdr:colOff>412750</xdr:colOff>
      <xdr:row>681</xdr:row>
      <xdr:rowOff>127000</xdr:rowOff>
    </xdr:to>
    <xdr:sp macro="" textlink="">
      <xdr:nvSpPr>
        <xdr:cNvPr id="267" name="Прямоугольник 266"/>
        <xdr:cNvSpPr/>
      </xdr:nvSpPr>
      <xdr:spPr>
        <a:xfrm>
          <a:off x="2476500" y="12833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50</a:t>
          </a:r>
        </a:p>
      </xdr:txBody>
    </xdr:sp>
    <xdr:clientData/>
  </xdr:twoCellAnchor>
  <xdr:twoCellAnchor>
    <xdr:from>
      <xdr:col>5</xdr:col>
      <xdr:colOff>412750</xdr:colOff>
      <xdr:row>673</xdr:row>
      <xdr:rowOff>127000</xdr:rowOff>
    </xdr:from>
    <xdr:to>
      <xdr:col>6</xdr:col>
      <xdr:colOff>6350</xdr:colOff>
      <xdr:row>681</xdr:row>
      <xdr:rowOff>127000</xdr:rowOff>
    </xdr:to>
    <xdr:sp macro="" textlink="">
      <xdr:nvSpPr>
        <xdr:cNvPr id="268" name="Прямоугольник 267"/>
        <xdr:cNvSpPr/>
      </xdr:nvSpPr>
      <xdr:spPr>
        <a:xfrm>
          <a:off x="27940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51</a:t>
          </a:r>
        </a:p>
      </xdr:txBody>
    </xdr:sp>
    <xdr:clientData/>
  </xdr:twoCellAnchor>
  <xdr:twoCellAnchor>
    <xdr:from>
      <xdr:col>6</xdr:col>
      <xdr:colOff>6350</xdr:colOff>
      <xdr:row>673</xdr:row>
      <xdr:rowOff>127000</xdr:rowOff>
    </xdr:from>
    <xdr:to>
      <xdr:col>6</xdr:col>
      <xdr:colOff>323850</xdr:colOff>
      <xdr:row>681</xdr:row>
      <xdr:rowOff>127000</xdr:rowOff>
    </xdr:to>
    <xdr:sp macro="" textlink="">
      <xdr:nvSpPr>
        <xdr:cNvPr id="269" name="Прямоугольник 268"/>
        <xdr:cNvSpPr/>
      </xdr:nvSpPr>
      <xdr:spPr>
        <a:xfrm>
          <a:off x="31115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52</a:t>
          </a:r>
        </a:p>
      </xdr:txBody>
    </xdr:sp>
    <xdr:clientData/>
  </xdr:twoCellAnchor>
  <xdr:twoCellAnchor>
    <xdr:from>
      <xdr:col>6</xdr:col>
      <xdr:colOff>323850</xdr:colOff>
      <xdr:row>673</xdr:row>
      <xdr:rowOff>127000</xdr:rowOff>
    </xdr:from>
    <xdr:to>
      <xdr:col>7</xdr:col>
      <xdr:colOff>127000</xdr:colOff>
      <xdr:row>681</xdr:row>
      <xdr:rowOff>127000</xdr:rowOff>
    </xdr:to>
    <xdr:sp macro="" textlink="">
      <xdr:nvSpPr>
        <xdr:cNvPr id="270" name="Прямоугольник 269"/>
        <xdr:cNvSpPr/>
      </xdr:nvSpPr>
      <xdr:spPr>
        <a:xfrm>
          <a:off x="3429000" y="1283335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53</a:t>
          </a:r>
        </a:p>
      </xdr:txBody>
    </xdr:sp>
    <xdr:clientData/>
  </xdr:twoCellAnchor>
  <xdr:twoCellAnchor>
    <xdr:from>
      <xdr:col>7</xdr:col>
      <xdr:colOff>127000</xdr:colOff>
      <xdr:row>673</xdr:row>
      <xdr:rowOff>127000</xdr:rowOff>
    </xdr:from>
    <xdr:to>
      <xdr:col>7</xdr:col>
      <xdr:colOff>444500</xdr:colOff>
      <xdr:row>681</xdr:row>
      <xdr:rowOff>127000</xdr:rowOff>
    </xdr:to>
    <xdr:sp macro="" textlink="">
      <xdr:nvSpPr>
        <xdr:cNvPr id="271" name="Прямоугольник 270"/>
        <xdr:cNvSpPr/>
      </xdr:nvSpPr>
      <xdr:spPr>
        <a:xfrm>
          <a:off x="3746500" y="1283335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54</a:t>
          </a:r>
        </a:p>
      </xdr:txBody>
    </xdr:sp>
    <xdr:clientData/>
  </xdr:twoCellAnchor>
  <xdr:twoCellAnchor>
    <xdr:from>
      <xdr:col>9</xdr:col>
      <xdr:colOff>701675</xdr:colOff>
      <xdr:row>669</xdr:row>
      <xdr:rowOff>127000</xdr:rowOff>
    </xdr:from>
    <xdr:to>
      <xdr:col>12</xdr:col>
      <xdr:colOff>19050</xdr:colOff>
      <xdr:row>671</xdr:row>
      <xdr:rowOff>0</xdr:rowOff>
    </xdr:to>
    <xdr:sp macro="" textlink="">
      <xdr:nvSpPr>
        <xdr:cNvPr id="272" name="Прямоугольник 271"/>
        <xdr:cNvSpPr/>
      </xdr:nvSpPr>
      <xdr:spPr>
        <a:xfrm>
          <a:off x="5969000" y="1275715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RT1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671</xdr:row>
      <xdr:rowOff>0</xdr:rowOff>
    </xdr:from>
    <xdr:to>
      <xdr:col>12</xdr:col>
      <xdr:colOff>19050</xdr:colOff>
      <xdr:row>672</xdr:row>
      <xdr:rowOff>63500</xdr:rowOff>
    </xdr:to>
    <xdr:sp macro="" textlink="">
      <xdr:nvSpPr>
        <xdr:cNvPr id="273" name="Прямоугольник 272"/>
        <xdr:cNvSpPr/>
      </xdr:nvSpPr>
      <xdr:spPr>
        <a:xfrm>
          <a:off x="5969000" y="1278255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MBS1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672</xdr:row>
      <xdr:rowOff>63500</xdr:rowOff>
    </xdr:from>
    <xdr:to>
      <xdr:col>10</xdr:col>
      <xdr:colOff>241300</xdr:colOff>
      <xdr:row>673</xdr:row>
      <xdr:rowOff>127000</xdr:rowOff>
    </xdr:to>
    <xdr:sp macro="" textlink="">
      <xdr:nvSpPr>
        <xdr:cNvPr id="274" name="Прямоугольник 273"/>
        <xdr:cNvSpPr/>
      </xdr:nvSpPr>
      <xdr:spPr>
        <a:xfrm>
          <a:off x="5969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10</xdr:col>
      <xdr:colOff>114300</xdr:colOff>
      <xdr:row>673</xdr:row>
      <xdr:rowOff>127000</xdr:rowOff>
    </xdr:from>
    <xdr:to>
      <xdr:col>10</xdr:col>
      <xdr:colOff>114300</xdr:colOff>
      <xdr:row>675</xdr:row>
      <xdr:rowOff>127000</xdr:rowOff>
    </xdr:to>
    <xdr:cxnSp macro="">
      <xdr:nvCxnSpPr>
        <xdr:cNvPr id="275" name="Прямая со стрелкой 274"/>
        <xdr:cNvCxnSpPr/>
      </xdr:nvCxnSpPr>
      <xdr:spPr>
        <a:xfrm>
          <a:off x="6096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672</xdr:row>
      <xdr:rowOff>63500</xdr:rowOff>
    </xdr:from>
    <xdr:to>
      <xdr:col>10</xdr:col>
      <xdr:colOff>495300</xdr:colOff>
      <xdr:row>673</xdr:row>
      <xdr:rowOff>127000</xdr:rowOff>
    </xdr:to>
    <xdr:sp macro="" textlink="">
      <xdr:nvSpPr>
        <xdr:cNvPr id="276" name="Прямоугольник 275"/>
        <xdr:cNvSpPr/>
      </xdr:nvSpPr>
      <xdr:spPr>
        <a:xfrm>
          <a:off x="6223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10</xdr:col>
      <xdr:colOff>368300</xdr:colOff>
      <xdr:row>673</xdr:row>
      <xdr:rowOff>127000</xdr:rowOff>
    </xdr:from>
    <xdr:to>
      <xdr:col>10</xdr:col>
      <xdr:colOff>368300</xdr:colOff>
      <xdr:row>675</xdr:row>
      <xdr:rowOff>127000</xdr:rowOff>
    </xdr:to>
    <xdr:cxnSp macro="">
      <xdr:nvCxnSpPr>
        <xdr:cNvPr id="277" name="Прямая со стрелкой 276"/>
        <xdr:cNvCxnSpPr/>
      </xdr:nvCxnSpPr>
      <xdr:spPr>
        <a:xfrm>
          <a:off x="6350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672</xdr:row>
      <xdr:rowOff>63500</xdr:rowOff>
    </xdr:from>
    <xdr:to>
      <xdr:col>11</xdr:col>
      <xdr:colOff>25400</xdr:colOff>
      <xdr:row>673</xdr:row>
      <xdr:rowOff>127000</xdr:rowOff>
    </xdr:to>
    <xdr:sp macro="" textlink="">
      <xdr:nvSpPr>
        <xdr:cNvPr id="278" name="Прямоугольник 277"/>
        <xdr:cNvSpPr/>
      </xdr:nvSpPr>
      <xdr:spPr>
        <a:xfrm>
          <a:off x="6477000" y="128079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10</xdr:col>
      <xdr:colOff>622300</xdr:colOff>
      <xdr:row>673</xdr:row>
      <xdr:rowOff>127000</xdr:rowOff>
    </xdr:from>
    <xdr:to>
      <xdr:col>10</xdr:col>
      <xdr:colOff>622300</xdr:colOff>
      <xdr:row>675</xdr:row>
      <xdr:rowOff>127000</xdr:rowOff>
    </xdr:to>
    <xdr:cxnSp macro="">
      <xdr:nvCxnSpPr>
        <xdr:cNvPr id="279" name="Прямая со стрелкой 278"/>
        <xdr:cNvCxnSpPr/>
      </xdr:nvCxnSpPr>
      <xdr:spPr>
        <a:xfrm>
          <a:off x="6604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672</xdr:row>
      <xdr:rowOff>63500</xdr:rowOff>
    </xdr:from>
    <xdr:to>
      <xdr:col>12</xdr:col>
      <xdr:colOff>19050</xdr:colOff>
      <xdr:row>673</xdr:row>
      <xdr:rowOff>127000</xdr:rowOff>
    </xdr:to>
    <xdr:sp macro="" textlink="">
      <xdr:nvSpPr>
        <xdr:cNvPr id="280" name="Прямоугольник 279"/>
        <xdr:cNvSpPr/>
      </xdr:nvSpPr>
      <xdr:spPr>
        <a:xfrm>
          <a:off x="6731000" y="128079500"/>
          <a:ext cx="508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Shield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279400</xdr:colOff>
      <xdr:row>673</xdr:row>
      <xdr:rowOff>127000</xdr:rowOff>
    </xdr:from>
    <xdr:to>
      <xdr:col>11</xdr:col>
      <xdr:colOff>279400</xdr:colOff>
      <xdr:row>675</xdr:row>
      <xdr:rowOff>127000</xdr:rowOff>
    </xdr:to>
    <xdr:cxnSp macro="">
      <xdr:nvCxnSpPr>
        <xdr:cNvPr id="281" name="Прямая со стрелкой 280"/>
        <xdr:cNvCxnSpPr/>
      </xdr:nvCxnSpPr>
      <xdr:spPr>
        <a:xfrm>
          <a:off x="6985000" y="128333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675</xdr:row>
      <xdr:rowOff>127000</xdr:rowOff>
    </xdr:from>
    <xdr:to>
      <xdr:col>11</xdr:col>
      <xdr:colOff>279400</xdr:colOff>
      <xdr:row>675</xdr:row>
      <xdr:rowOff>127000</xdr:rowOff>
    </xdr:to>
    <xdr:cxnSp macro="">
      <xdr:nvCxnSpPr>
        <xdr:cNvPr id="282" name="Прямая со стрелкой 281"/>
        <xdr:cNvCxnSpPr/>
      </xdr:nvCxnSpPr>
      <xdr:spPr>
        <a:xfrm>
          <a:off x="6096000" y="128714500"/>
          <a:ext cx="889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558800</xdr:colOff>
      <xdr:row>675</xdr:row>
      <xdr:rowOff>127000</xdr:rowOff>
    </xdr:from>
    <xdr:to>
      <xdr:col>10</xdr:col>
      <xdr:colOff>558800</xdr:colOff>
      <xdr:row>683</xdr:row>
      <xdr:rowOff>127000</xdr:rowOff>
    </xdr:to>
    <xdr:cxnSp macro="">
      <xdr:nvCxnSpPr>
        <xdr:cNvPr id="283" name="Прямая со стрелкой 282"/>
        <xdr:cNvCxnSpPr/>
      </xdr:nvCxnSpPr>
      <xdr:spPr>
        <a:xfrm>
          <a:off x="6540500" y="128714500"/>
          <a:ext cx="0" cy="152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687</xdr:row>
      <xdr:rowOff>0</xdr:rowOff>
    </xdr:from>
    <xdr:to>
      <xdr:col>10</xdr:col>
      <xdr:colOff>241300</xdr:colOff>
      <xdr:row>688</xdr:row>
      <xdr:rowOff>63500</xdr:rowOff>
    </xdr:to>
    <xdr:sp macro="" textlink="">
      <xdr:nvSpPr>
        <xdr:cNvPr id="284" name="Прямоугольник 283"/>
        <xdr:cNvSpPr/>
      </xdr:nvSpPr>
      <xdr:spPr>
        <a:xfrm>
          <a:off x="5969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114300</xdr:colOff>
      <xdr:row>683</xdr:row>
      <xdr:rowOff>127000</xdr:rowOff>
    </xdr:from>
    <xdr:to>
      <xdr:col>10</xdr:col>
      <xdr:colOff>114300</xdr:colOff>
      <xdr:row>687</xdr:row>
      <xdr:rowOff>0</xdr:rowOff>
    </xdr:to>
    <xdr:cxnSp macro="">
      <xdr:nvCxnSpPr>
        <xdr:cNvPr id="285" name="Прямая со стрелкой 284"/>
        <xdr:cNvCxnSpPr/>
      </xdr:nvCxnSpPr>
      <xdr:spPr>
        <a:xfrm>
          <a:off x="60960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687</xdr:row>
      <xdr:rowOff>0</xdr:rowOff>
    </xdr:from>
    <xdr:to>
      <xdr:col>10</xdr:col>
      <xdr:colOff>495300</xdr:colOff>
      <xdr:row>688</xdr:row>
      <xdr:rowOff>63500</xdr:rowOff>
    </xdr:to>
    <xdr:sp macro="" textlink="">
      <xdr:nvSpPr>
        <xdr:cNvPr id="286" name="Прямоугольник 285"/>
        <xdr:cNvSpPr/>
      </xdr:nvSpPr>
      <xdr:spPr>
        <a:xfrm>
          <a:off x="6223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368300</xdr:colOff>
      <xdr:row>683</xdr:row>
      <xdr:rowOff>127000</xdr:rowOff>
    </xdr:from>
    <xdr:to>
      <xdr:col>10</xdr:col>
      <xdr:colOff>368300</xdr:colOff>
      <xdr:row>687</xdr:row>
      <xdr:rowOff>0</xdr:rowOff>
    </xdr:to>
    <xdr:cxnSp macro="">
      <xdr:nvCxnSpPr>
        <xdr:cNvPr id="287" name="Прямая со стрелкой 286"/>
        <xdr:cNvCxnSpPr/>
      </xdr:nvCxnSpPr>
      <xdr:spPr>
        <a:xfrm>
          <a:off x="63500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687</xdr:row>
      <xdr:rowOff>0</xdr:rowOff>
    </xdr:from>
    <xdr:to>
      <xdr:col>11</xdr:col>
      <xdr:colOff>152400</xdr:colOff>
      <xdr:row>688</xdr:row>
      <xdr:rowOff>63500</xdr:rowOff>
    </xdr:to>
    <xdr:sp macro="" textlink="">
      <xdr:nvSpPr>
        <xdr:cNvPr id="288" name="Прямоугольник 287"/>
        <xdr:cNvSpPr/>
      </xdr:nvSpPr>
      <xdr:spPr>
        <a:xfrm>
          <a:off x="6477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685800</xdr:colOff>
      <xdr:row>683</xdr:row>
      <xdr:rowOff>127000</xdr:rowOff>
    </xdr:from>
    <xdr:to>
      <xdr:col>10</xdr:col>
      <xdr:colOff>685800</xdr:colOff>
      <xdr:row>687</xdr:row>
      <xdr:rowOff>0</xdr:rowOff>
    </xdr:to>
    <xdr:cxnSp macro="">
      <xdr:nvCxnSpPr>
        <xdr:cNvPr id="289" name="Прямая со стрелкой 288"/>
        <xdr:cNvCxnSpPr/>
      </xdr:nvCxnSpPr>
      <xdr:spPr>
        <a:xfrm>
          <a:off x="66675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687</xdr:row>
      <xdr:rowOff>0</xdr:rowOff>
    </xdr:from>
    <xdr:to>
      <xdr:col>12</xdr:col>
      <xdr:colOff>19050</xdr:colOff>
      <xdr:row>688</xdr:row>
      <xdr:rowOff>63500</xdr:rowOff>
    </xdr:to>
    <xdr:sp macro="" textlink="">
      <xdr:nvSpPr>
        <xdr:cNvPr id="290" name="Прямоугольник 289"/>
        <xdr:cNvSpPr/>
      </xdr:nvSpPr>
      <xdr:spPr>
        <a:xfrm>
          <a:off x="6858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342900</xdr:colOff>
      <xdr:row>683</xdr:row>
      <xdr:rowOff>127000</xdr:rowOff>
    </xdr:from>
    <xdr:to>
      <xdr:col>11</xdr:col>
      <xdr:colOff>342900</xdr:colOff>
      <xdr:row>687</xdr:row>
      <xdr:rowOff>0</xdr:rowOff>
    </xdr:to>
    <xdr:cxnSp macro="">
      <xdr:nvCxnSpPr>
        <xdr:cNvPr id="291" name="Прямая со стрелкой 290"/>
        <xdr:cNvCxnSpPr/>
      </xdr:nvCxnSpPr>
      <xdr:spPr>
        <a:xfrm>
          <a:off x="7048500" y="130238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683</xdr:row>
      <xdr:rowOff>127000</xdr:rowOff>
    </xdr:from>
    <xdr:to>
      <xdr:col>11</xdr:col>
      <xdr:colOff>342900</xdr:colOff>
      <xdr:row>683</xdr:row>
      <xdr:rowOff>127000</xdr:rowOff>
    </xdr:to>
    <xdr:cxnSp macro="">
      <xdr:nvCxnSpPr>
        <xdr:cNvPr id="292" name="Прямая со стрелкой 291"/>
        <xdr:cNvCxnSpPr/>
      </xdr:nvCxnSpPr>
      <xdr:spPr>
        <a:xfrm>
          <a:off x="6096000" y="130238500"/>
          <a:ext cx="952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688</xdr:row>
      <xdr:rowOff>63500</xdr:rowOff>
    </xdr:from>
    <xdr:to>
      <xdr:col>12</xdr:col>
      <xdr:colOff>19050</xdr:colOff>
      <xdr:row>690</xdr:row>
      <xdr:rowOff>63500</xdr:rowOff>
    </xdr:to>
    <xdr:sp macro="" textlink="">
      <xdr:nvSpPr>
        <xdr:cNvPr id="293" name="Прямоугольник 292"/>
        <xdr:cNvSpPr/>
      </xdr:nvSpPr>
      <xdr:spPr>
        <a:xfrm>
          <a:off x="5969000" y="1311275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687</xdr:row>
      <xdr:rowOff>0</xdr:rowOff>
    </xdr:from>
    <xdr:to>
      <xdr:col>12</xdr:col>
      <xdr:colOff>527050</xdr:colOff>
      <xdr:row>688</xdr:row>
      <xdr:rowOff>63500</xdr:rowOff>
    </xdr:to>
    <xdr:sp macro="" textlink="">
      <xdr:nvSpPr>
        <xdr:cNvPr id="294" name="Прямоугольник 293"/>
        <xdr:cNvSpPr/>
      </xdr:nvSpPr>
      <xdr:spPr>
        <a:xfrm>
          <a:off x="7493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527050</xdr:colOff>
      <xdr:row>687</xdr:row>
      <xdr:rowOff>0</xdr:rowOff>
    </xdr:from>
    <xdr:to>
      <xdr:col>13</xdr:col>
      <xdr:colOff>76200</xdr:colOff>
      <xdr:row>688</xdr:row>
      <xdr:rowOff>63500</xdr:rowOff>
    </xdr:to>
    <xdr:sp macro="" textlink="">
      <xdr:nvSpPr>
        <xdr:cNvPr id="295" name="Прямоугольник 294"/>
        <xdr:cNvSpPr/>
      </xdr:nvSpPr>
      <xdr:spPr>
        <a:xfrm>
          <a:off x="7747000" y="1308735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76200</xdr:colOff>
      <xdr:row>687</xdr:row>
      <xdr:rowOff>0</xdr:rowOff>
    </xdr:from>
    <xdr:to>
      <xdr:col>13</xdr:col>
      <xdr:colOff>457200</xdr:colOff>
      <xdr:row>688</xdr:row>
      <xdr:rowOff>63500</xdr:rowOff>
    </xdr:to>
    <xdr:sp macro="" textlink="">
      <xdr:nvSpPr>
        <xdr:cNvPr id="296" name="Прямоугольник 295"/>
        <xdr:cNvSpPr/>
      </xdr:nvSpPr>
      <xdr:spPr>
        <a:xfrm>
          <a:off x="8001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457200</xdr:colOff>
      <xdr:row>687</xdr:row>
      <xdr:rowOff>0</xdr:rowOff>
    </xdr:from>
    <xdr:to>
      <xdr:col>13</xdr:col>
      <xdr:colOff>838200</xdr:colOff>
      <xdr:row>688</xdr:row>
      <xdr:rowOff>63500</xdr:rowOff>
    </xdr:to>
    <xdr:sp macro="" textlink="">
      <xdr:nvSpPr>
        <xdr:cNvPr id="297" name="Прямоугольник 296"/>
        <xdr:cNvSpPr/>
      </xdr:nvSpPr>
      <xdr:spPr>
        <a:xfrm>
          <a:off x="8382000" y="1308735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688</xdr:row>
      <xdr:rowOff>63500</xdr:rowOff>
    </xdr:from>
    <xdr:to>
      <xdr:col>13</xdr:col>
      <xdr:colOff>838200</xdr:colOff>
      <xdr:row>690</xdr:row>
      <xdr:rowOff>63500</xdr:rowOff>
    </xdr:to>
    <xdr:sp macro="" textlink="">
      <xdr:nvSpPr>
        <xdr:cNvPr id="298" name="Прямоугольник 297"/>
        <xdr:cNvSpPr/>
      </xdr:nvSpPr>
      <xdr:spPr>
        <a:xfrm>
          <a:off x="7493000" y="1311275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241300</xdr:colOff>
      <xdr:row>684</xdr:row>
      <xdr:rowOff>63500</xdr:rowOff>
    </xdr:from>
    <xdr:to>
      <xdr:col>12</xdr:col>
      <xdr:colOff>400050</xdr:colOff>
      <xdr:row>684</xdr:row>
      <xdr:rowOff>63500</xdr:rowOff>
    </xdr:to>
    <xdr:cxnSp macro="">
      <xdr:nvCxnSpPr>
        <xdr:cNvPr id="299" name="Прямая со стрелкой 298"/>
        <xdr:cNvCxnSpPr/>
      </xdr:nvCxnSpPr>
      <xdr:spPr>
        <a:xfrm>
          <a:off x="6223000" y="130365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684</xdr:row>
      <xdr:rowOff>63500</xdr:rowOff>
    </xdr:from>
    <xdr:to>
      <xdr:col>10</xdr:col>
      <xdr:colOff>241300</xdr:colOff>
      <xdr:row>687</xdr:row>
      <xdr:rowOff>0</xdr:rowOff>
    </xdr:to>
    <xdr:cxnSp macro="">
      <xdr:nvCxnSpPr>
        <xdr:cNvPr id="300" name="Прямая со стрелкой 299"/>
        <xdr:cNvCxnSpPr/>
      </xdr:nvCxnSpPr>
      <xdr:spPr>
        <a:xfrm flipH="1">
          <a:off x="6096000" y="130365500"/>
          <a:ext cx="12700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684</xdr:row>
      <xdr:rowOff>63500</xdr:rowOff>
    </xdr:from>
    <xdr:to>
      <xdr:col>12</xdr:col>
      <xdr:colOff>400050</xdr:colOff>
      <xdr:row>687</xdr:row>
      <xdr:rowOff>0</xdr:rowOff>
    </xdr:to>
    <xdr:cxnSp macro="">
      <xdr:nvCxnSpPr>
        <xdr:cNvPr id="301" name="Прямая со стрелкой 300"/>
        <xdr:cNvCxnSpPr/>
      </xdr:nvCxnSpPr>
      <xdr:spPr>
        <a:xfrm>
          <a:off x="7620000" y="130365500"/>
          <a:ext cx="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685</xdr:row>
      <xdr:rowOff>0</xdr:rowOff>
    </xdr:from>
    <xdr:to>
      <xdr:col>12</xdr:col>
      <xdr:colOff>654050</xdr:colOff>
      <xdr:row>685</xdr:row>
      <xdr:rowOff>0</xdr:rowOff>
    </xdr:to>
    <xdr:cxnSp macro="">
      <xdr:nvCxnSpPr>
        <xdr:cNvPr id="302" name="Прямая со стрелкой 301"/>
        <xdr:cNvCxnSpPr/>
      </xdr:nvCxnSpPr>
      <xdr:spPr>
        <a:xfrm>
          <a:off x="6477000" y="130492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368300</xdr:colOff>
      <xdr:row>685</xdr:row>
      <xdr:rowOff>0</xdr:rowOff>
    </xdr:from>
    <xdr:to>
      <xdr:col>10</xdr:col>
      <xdr:colOff>495300</xdr:colOff>
      <xdr:row>687</xdr:row>
      <xdr:rowOff>0</xdr:rowOff>
    </xdr:to>
    <xdr:cxnSp macro="">
      <xdr:nvCxnSpPr>
        <xdr:cNvPr id="303" name="Прямая со стрелкой 302"/>
        <xdr:cNvCxnSpPr/>
      </xdr:nvCxnSpPr>
      <xdr:spPr>
        <a:xfrm flipH="1">
          <a:off x="6350000" y="130492500"/>
          <a:ext cx="12700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654050</xdr:colOff>
      <xdr:row>685</xdr:row>
      <xdr:rowOff>0</xdr:rowOff>
    </xdr:from>
    <xdr:to>
      <xdr:col>12</xdr:col>
      <xdr:colOff>654050</xdr:colOff>
      <xdr:row>687</xdr:row>
      <xdr:rowOff>0</xdr:rowOff>
    </xdr:to>
    <xdr:cxnSp macro="">
      <xdr:nvCxnSpPr>
        <xdr:cNvPr id="304" name="Прямая со стрелкой 303"/>
        <xdr:cNvCxnSpPr/>
      </xdr:nvCxnSpPr>
      <xdr:spPr>
        <a:xfrm>
          <a:off x="7874000" y="1304925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685</xdr:row>
      <xdr:rowOff>127000</xdr:rowOff>
    </xdr:from>
    <xdr:to>
      <xdr:col>13</xdr:col>
      <xdr:colOff>330200</xdr:colOff>
      <xdr:row>685</xdr:row>
      <xdr:rowOff>127000</xdr:rowOff>
    </xdr:to>
    <xdr:cxnSp macro="">
      <xdr:nvCxnSpPr>
        <xdr:cNvPr id="305" name="Прямая со стрелкой 304"/>
        <xdr:cNvCxnSpPr/>
      </xdr:nvCxnSpPr>
      <xdr:spPr>
        <a:xfrm>
          <a:off x="6858000" y="130619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685800</xdr:colOff>
      <xdr:row>685</xdr:row>
      <xdr:rowOff>127000</xdr:rowOff>
    </xdr:from>
    <xdr:to>
      <xdr:col>11</xdr:col>
      <xdr:colOff>152400</xdr:colOff>
      <xdr:row>687</xdr:row>
      <xdr:rowOff>0</xdr:rowOff>
    </xdr:to>
    <xdr:cxnSp macro="">
      <xdr:nvCxnSpPr>
        <xdr:cNvPr id="306" name="Прямая со стрелкой 305"/>
        <xdr:cNvCxnSpPr/>
      </xdr:nvCxnSpPr>
      <xdr:spPr>
        <a:xfrm flipH="1">
          <a:off x="6667500" y="130619500"/>
          <a:ext cx="19050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685</xdr:row>
      <xdr:rowOff>127000</xdr:rowOff>
    </xdr:from>
    <xdr:to>
      <xdr:col>13</xdr:col>
      <xdr:colOff>330200</xdr:colOff>
      <xdr:row>687</xdr:row>
      <xdr:rowOff>0</xdr:rowOff>
    </xdr:to>
    <xdr:cxnSp macro="">
      <xdr:nvCxnSpPr>
        <xdr:cNvPr id="307" name="Прямая со стрелкой 306"/>
        <xdr:cNvCxnSpPr/>
      </xdr:nvCxnSpPr>
      <xdr:spPr>
        <a:xfrm>
          <a:off x="8255000" y="130619500"/>
          <a:ext cx="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686</xdr:row>
      <xdr:rowOff>63500</xdr:rowOff>
    </xdr:from>
    <xdr:to>
      <xdr:col>13</xdr:col>
      <xdr:colOff>711200</xdr:colOff>
      <xdr:row>686</xdr:row>
      <xdr:rowOff>63500</xdr:rowOff>
    </xdr:to>
    <xdr:cxnSp macro="">
      <xdr:nvCxnSpPr>
        <xdr:cNvPr id="308" name="Прямая со стрелкой 307"/>
        <xdr:cNvCxnSpPr/>
      </xdr:nvCxnSpPr>
      <xdr:spPr>
        <a:xfrm>
          <a:off x="7239000" y="1307465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686</xdr:row>
      <xdr:rowOff>63500</xdr:rowOff>
    </xdr:from>
    <xdr:to>
      <xdr:col>12</xdr:col>
      <xdr:colOff>19050</xdr:colOff>
      <xdr:row>687</xdr:row>
      <xdr:rowOff>0</xdr:rowOff>
    </xdr:to>
    <xdr:cxnSp macro="">
      <xdr:nvCxnSpPr>
        <xdr:cNvPr id="309" name="Прямая со стрелкой 308"/>
        <xdr:cNvCxnSpPr/>
      </xdr:nvCxnSpPr>
      <xdr:spPr>
        <a:xfrm flipH="1">
          <a:off x="7048500" y="130746500"/>
          <a:ext cx="19050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711200</xdr:colOff>
      <xdr:row>686</xdr:row>
      <xdr:rowOff>63500</xdr:rowOff>
    </xdr:from>
    <xdr:to>
      <xdr:col>13</xdr:col>
      <xdr:colOff>711200</xdr:colOff>
      <xdr:row>687</xdr:row>
      <xdr:rowOff>0</xdr:rowOff>
    </xdr:to>
    <xdr:cxnSp macro="">
      <xdr:nvCxnSpPr>
        <xdr:cNvPr id="310" name="Прямая со стрелкой 309"/>
        <xdr:cNvCxnSpPr/>
      </xdr:nvCxnSpPr>
      <xdr:spPr>
        <a:xfrm>
          <a:off x="8636000" y="130746500"/>
          <a:ext cx="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876300</xdr:colOff>
      <xdr:row>710</xdr:row>
      <xdr:rowOff>101600</xdr:rowOff>
    </xdr:from>
    <xdr:ext cx="3810000" cy="561949"/>
    <xdr:sp macro="" textlink="">
      <xdr:nvSpPr>
        <xdr:cNvPr id="33001" name="TextBox 33000"/>
        <xdr:cNvSpPr txBox="1"/>
      </xdr:nvSpPr>
      <xdr:spPr>
        <a:xfrm>
          <a:off x="11430000" y="1477391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xdr:oneCellAnchor>
    <xdr:from>
      <xdr:col>15</xdr:col>
      <xdr:colOff>876300</xdr:colOff>
      <xdr:row>650</xdr:row>
      <xdr:rowOff>101600</xdr:rowOff>
    </xdr:from>
    <xdr:ext cx="3810000" cy="561949"/>
    <xdr:sp macro="" textlink="">
      <xdr:nvSpPr>
        <xdr:cNvPr id="32805" name="TextBox 32804"/>
        <xdr:cNvSpPr txBox="1"/>
      </xdr:nvSpPr>
      <xdr:spPr>
        <a:xfrm>
          <a:off x="11430000" y="136309100"/>
          <a:ext cx="38100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3000"/>
            <a:t>CB15PL1MTPL</a:t>
          </a:r>
          <a:endParaRPr lang="ru-RU" sz="30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2</xdr:row>
          <xdr:rowOff>9525</xdr:rowOff>
        </xdr:from>
        <xdr:to>
          <xdr:col>15</xdr:col>
          <xdr:colOff>1371600</xdr:colOff>
          <xdr:row>3</xdr:row>
          <xdr:rowOff>114300</xdr:rowOff>
        </xdr:to>
        <xdr:sp macro="" textlink="">
          <xdr:nvSpPr>
            <xdr:cNvPr id="32782" name="CommandButton1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14</xdr:col>
      <xdr:colOff>683695</xdr:colOff>
      <xdr:row>560</xdr:row>
      <xdr:rowOff>114300</xdr:rowOff>
    </xdr:from>
    <xdr:ext cx="264560" cy="635000"/>
    <xdr:sp macro="" textlink="">
      <xdr:nvSpPr>
        <xdr:cNvPr id="2" name="TextBox 1"/>
        <xdr:cNvSpPr txBox="1"/>
      </xdr:nvSpPr>
      <xdr:spPr>
        <a:xfrm rot="16200000">
          <a:off x="982345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4x6</a:t>
          </a:r>
          <a:endParaRPr lang="ru-RU" sz="1100"/>
        </a:p>
      </xdr:txBody>
    </xdr:sp>
    <xdr:clientData/>
  </xdr:oneCellAnchor>
  <xdr:twoCellAnchor>
    <xdr:from>
      <xdr:col>15</xdr:col>
      <xdr:colOff>812800</xdr:colOff>
      <xdr:row>553</xdr:row>
      <xdr:rowOff>127000</xdr:rowOff>
    </xdr:from>
    <xdr:to>
      <xdr:col>15</xdr:col>
      <xdr:colOff>1320800</xdr:colOff>
      <xdr:row>557</xdr:row>
      <xdr:rowOff>127000</xdr:rowOff>
    </xdr:to>
    <xdr:sp macro="" textlink="">
      <xdr:nvSpPr>
        <xdr:cNvPr id="3" name="Прямоугольник 2"/>
        <xdr:cNvSpPr/>
      </xdr:nvSpPr>
      <xdr:spPr>
        <a:xfrm>
          <a:off x="11366500" y="11785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22225</xdr:colOff>
      <xdr:row>551</xdr:row>
      <xdr:rowOff>127000</xdr:rowOff>
    </xdr:from>
    <xdr:to>
      <xdr:col>16</xdr:col>
      <xdr:colOff>339725</xdr:colOff>
      <xdr:row>559</xdr:row>
      <xdr:rowOff>127000</xdr:rowOff>
    </xdr:to>
    <xdr:sp macro="" textlink="">
      <xdr:nvSpPr>
        <xdr:cNvPr id="4" name="Прямоугольник 3"/>
        <xdr:cNvSpPr/>
      </xdr:nvSpPr>
      <xdr:spPr>
        <a:xfrm>
          <a:off x="12128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</a:t>
          </a:r>
        </a:p>
      </xdr:txBody>
    </xdr:sp>
    <xdr:clientData/>
  </xdr:twoCellAnchor>
  <xdr:twoCellAnchor>
    <xdr:from>
      <xdr:col>16</xdr:col>
      <xdr:colOff>339725</xdr:colOff>
      <xdr:row>551</xdr:row>
      <xdr:rowOff>127000</xdr:rowOff>
    </xdr:from>
    <xdr:to>
      <xdr:col>16</xdr:col>
      <xdr:colOff>657225</xdr:colOff>
      <xdr:row>559</xdr:row>
      <xdr:rowOff>127000</xdr:rowOff>
    </xdr:to>
    <xdr:sp macro="" textlink="">
      <xdr:nvSpPr>
        <xdr:cNvPr id="5" name="Прямоугольник 4"/>
        <xdr:cNvSpPr/>
      </xdr:nvSpPr>
      <xdr:spPr>
        <a:xfrm>
          <a:off x="12446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</a:t>
          </a:r>
        </a:p>
      </xdr:txBody>
    </xdr:sp>
    <xdr:clientData/>
  </xdr:twoCellAnchor>
  <xdr:twoCellAnchor>
    <xdr:from>
      <xdr:col>16</xdr:col>
      <xdr:colOff>180975</xdr:colOff>
      <xdr:row>559</xdr:row>
      <xdr:rowOff>127000</xdr:rowOff>
    </xdr:from>
    <xdr:to>
      <xdr:col>16</xdr:col>
      <xdr:colOff>180975</xdr:colOff>
      <xdr:row>560</xdr:row>
      <xdr:rowOff>127000</xdr:rowOff>
    </xdr:to>
    <xdr:cxnSp macro="">
      <xdr:nvCxnSpPr>
        <xdr:cNvPr id="6" name="Прямая со стрелкой 5"/>
        <xdr:cNvCxnSpPr/>
      </xdr:nvCxnSpPr>
      <xdr:spPr>
        <a:xfrm flipV="1">
          <a:off x="12287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498475</xdr:colOff>
      <xdr:row>559</xdr:row>
      <xdr:rowOff>127000</xdr:rowOff>
    </xdr:from>
    <xdr:to>
      <xdr:col>16</xdr:col>
      <xdr:colOff>498475</xdr:colOff>
      <xdr:row>560</xdr:row>
      <xdr:rowOff>127000</xdr:rowOff>
    </xdr:to>
    <xdr:cxnSp macro="">
      <xdr:nvCxnSpPr>
        <xdr:cNvPr id="7" name="Прямая со стрелкой 6"/>
        <xdr:cNvCxnSpPr/>
      </xdr:nvCxnSpPr>
      <xdr:spPr>
        <a:xfrm flipV="1">
          <a:off x="12604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180975</xdr:colOff>
      <xdr:row>560</xdr:row>
      <xdr:rowOff>127000</xdr:rowOff>
    </xdr:from>
    <xdr:to>
      <xdr:col>16</xdr:col>
      <xdr:colOff>498475</xdr:colOff>
      <xdr:row>560</xdr:row>
      <xdr:rowOff>127000</xdr:rowOff>
    </xdr:to>
    <xdr:cxnSp macro="">
      <xdr:nvCxnSpPr>
        <xdr:cNvPr id="8" name="Прямая со стрелкой 7"/>
        <xdr:cNvCxnSpPr/>
      </xdr:nvCxnSpPr>
      <xdr:spPr>
        <a:xfrm>
          <a:off x="12287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136525</xdr:colOff>
      <xdr:row>565</xdr:row>
      <xdr:rowOff>0</xdr:rowOff>
    </xdr:from>
    <xdr:to>
      <xdr:col>16</xdr:col>
      <xdr:colOff>542925</xdr:colOff>
      <xdr:row>569</xdr:row>
      <xdr:rowOff>127000</xdr:rowOff>
    </xdr:to>
    <xdr:sp macro="" textlink="">
      <xdr:nvSpPr>
        <xdr:cNvPr id="9" name="Прямоугольник 8"/>
        <xdr:cNvSpPr/>
      </xdr:nvSpPr>
      <xdr:spPr>
        <a:xfrm>
          <a:off x="12242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136525</xdr:colOff>
      <xdr:row>565</xdr:row>
      <xdr:rowOff>0</xdr:rowOff>
    </xdr:from>
    <xdr:to>
      <xdr:col>16</xdr:col>
      <xdr:colOff>339725</xdr:colOff>
      <xdr:row>566</xdr:row>
      <xdr:rowOff>12700</xdr:rowOff>
    </xdr:to>
    <xdr:sp macro="" textlink="">
      <xdr:nvSpPr>
        <xdr:cNvPr id="10" name="Прямоугольник 9"/>
        <xdr:cNvSpPr/>
      </xdr:nvSpPr>
      <xdr:spPr>
        <a:xfrm>
          <a:off x="12242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339725</xdr:colOff>
      <xdr:row>565</xdr:row>
      <xdr:rowOff>0</xdr:rowOff>
    </xdr:from>
    <xdr:to>
      <xdr:col>16</xdr:col>
      <xdr:colOff>542925</xdr:colOff>
      <xdr:row>566</xdr:row>
      <xdr:rowOff>12700</xdr:rowOff>
    </xdr:to>
    <xdr:sp macro="" textlink="">
      <xdr:nvSpPr>
        <xdr:cNvPr id="11" name="Прямоугольник 10"/>
        <xdr:cNvSpPr/>
      </xdr:nvSpPr>
      <xdr:spPr>
        <a:xfrm>
          <a:off x="12446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238125</xdr:colOff>
      <xdr:row>564</xdr:row>
      <xdr:rowOff>0</xdr:rowOff>
    </xdr:from>
    <xdr:to>
      <xdr:col>16</xdr:col>
      <xdr:colOff>238125</xdr:colOff>
      <xdr:row>565</xdr:row>
      <xdr:rowOff>0</xdr:rowOff>
    </xdr:to>
    <xdr:cxnSp macro="">
      <xdr:nvCxnSpPr>
        <xdr:cNvPr id="12" name="Прямая со стрелкой 11"/>
        <xdr:cNvCxnSpPr/>
      </xdr:nvCxnSpPr>
      <xdr:spPr>
        <a:xfrm flipV="1">
          <a:off x="12344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441325</xdr:colOff>
      <xdr:row>564</xdr:row>
      <xdr:rowOff>0</xdr:rowOff>
    </xdr:from>
    <xdr:to>
      <xdr:col>16</xdr:col>
      <xdr:colOff>441325</xdr:colOff>
      <xdr:row>565</xdr:row>
      <xdr:rowOff>0</xdr:rowOff>
    </xdr:to>
    <xdr:cxnSp macro="">
      <xdr:nvCxnSpPr>
        <xdr:cNvPr id="13" name="Прямая со стрелкой 12"/>
        <xdr:cNvCxnSpPr/>
      </xdr:nvCxnSpPr>
      <xdr:spPr>
        <a:xfrm flipV="1">
          <a:off x="12547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238125</xdr:colOff>
      <xdr:row>564</xdr:row>
      <xdr:rowOff>0</xdr:rowOff>
    </xdr:from>
    <xdr:to>
      <xdr:col>16</xdr:col>
      <xdr:colOff>441325</xdr:colOff>
      <xdr:row>564</xdr:row>
      <xdr:rowOff>0</xdr:rowOff>
    </xdr:to>
    <xdr:cxnSp macro="">
      <xdr:nvCxnSpPr>
        <xdr:cNvPr id="14" name="Прямая со стрелкой 13"/>
        <xdr:cNvCxnSpPr/>
      </xdr:nvCxnSpPr>
      <xdr:spPr>
        <a:xfrm>
          <a:off x="12344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339725</xdr:colOff>
      <xdr:row>560</xdr:row>
      <xdr:rowOff>127000</xdr:rowOff>
    </xdr:from>
    <xdr:to>
      <xdr:col>16</xdr:col>
      <xdr:colOff>339725</xdr:colOff>
      <xdr:row>564</xdr:row>
      <xdr:rowOff>0</xdr:rowOff>
    </xdr:to>
    <xdr:cxnSp macro="">
      <xdr:nvCxnSpPr>
        <xdr:cNvPr id="15" name="Прямая со стрелкой 14"/>
        <xdr:cNvCxnSpPr/>
      </xdr:nvCxnSpPr>
      <xdr:spPr>
        <a:xfrm>
          <a:off x="12446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93145</xdr:colOff>
      <xdr:row>560</xdr:row>
      <xdr:rowOff>114300</xdr:rowOff>
    </xdr:from>
    <xdr:ext cx="264560" cy="635000"/>
    <xdr:sp macro="" textlink="">
      <xdr:nvSpPr>
        <xdr:cNvPr id="16" name="TextBox 15"/>
        <xdr:cNvSpPr txBox="1"/>
      </xdr:nvSpPr>
      <xdr:spPr>
        <a:xfrm rot="16200000">
          <a:off x="12014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657225</xdr:colOff>
      <xdr:row>551</xdr:row>
      <xdr:rowOff>127000</xdr:rowOff>
    </xdr:from>
    <xdr:to>
      <xdr:col>16</xdr:col>
      <xdr:colOff>974725</xdr:colOff>
      <xdr:row>559</xdr:row>
      <xdr:rowOff>127000</xdr:rowOff>
    </xdr:to>
    <xdr:sp macro="" textlink="">
      <xdr:nvSpPr>
        <xdr:cNvPr id="17" name="Прямоугольник 16"/>
        <xdr:cNvSpPr/>
      </xdr:nvSpPr>
      <xdr:spPr>
        <a:xfrm>
          <a:off x="12763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</a:t>
          </a:r>
        </a:p>
      </xdr:txBody>
    </xdr:sp>
    <xdr:clientData/>
  </xdr:twoCellAnchor>
  <xdr:twoCellAnchor>
    <xdr:from>
      <xdr:col>16</xdr:col>
      <xdr:colOff>974725</xdr:colOff>
      <xdr:row>551</xdr:row>
      <xdr:rowOff>127000</xdr:rowOff>
    </xdr:from>
    <xdr:to>
      <xdr:col>16</xdr:col>
      <xdr:colOff>1292225</xdr:colOff>
      <xdr:row>559</xdr:row>
      <xdr:rowOff>127000</xdr:rowOff>
    </xdr:to>
    <xdr:sp macro="" textlink="">
      <xdr:nvSpPr>
        <xdr:cNvPr id="18" name="Прямоугольник 17"/>
        <xdr:cNvSpPr/>
      </xdr:nvSpPr>
      <xdr:spPr>
        <a:xfrm>
          <a:off x="13081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16</xdr:col>
      <xdr:colOff>815975</xdr:colOff>
      <xdr:row>559</xdr:row>
      <xdr:rowOff>127000</xdr:rowOff>
    </xdr:from>
    <xdr:to>
      <xdr:col>16</xdr:col>
      <xdr:colOff>815975</xdr:colOff>
      <xdr:row>560</xdr:row>
      <xdr:rowOff>127000</xdr:rowOff>
    </xdr:to>
    <xdr:cxnSp macro="">
      <xdr:nvCxnSpPr>
        <xdr:cNvPr id="19" name="Прямая со стрелкой 18"/>
        <xdr:cNvCxnSpPr/>
      </xdr:nvCxnSpPr>
      <xdr:spPr>
        <a:xfrm flipV="1">
          <a:off x="12922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1133475</xdr:colOff>
      <xdr:row>559</xdr:row>
      <xdr:rowOff>127000</xdr:rowOff>
    </xdr:from>
    <xdr:to>
      <xdr:col>16</xdr:col>
      <xdr:colOff>1133475</xdr:colOff>
      <xdr:row>560</xdr:row>
      <xdr:rowOff>127000</xdr:rowOff>
    </xdr:to>
    <xdr:cxnSp macro="">
      <xdr:nvCxnSpPr>
        <xdr:cNvPr id="20" name="Прямая со стрелкой 19"/>
        <xdr:cNvCxnSpPr/>
      </xdr:nvCxnSpPr>
      <xdr:spPr>
        <a:xfrm flipV="1">
          <a:off x="13239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815975</xdr:colOff>
      <xdr:row>560</xdr:row>
      <xdr:rowOff>127000</xdr:rowOff>
    </xdr:from>
    <xdr:to>
      <xdr:col>16</xdr:col>
      <xdr:colOff>1133475</xdr:colOff>
      <xdr:row>560</xdr:row>
      <xdr:rowOff>127000</xdr:rowOff>
    </xdr:to>
    <xdr:cxnSp macro="">
      <xdr:nvCxnSpPr>
        <xdr:cNvPr id="21" name="Прямая со стрелкой 20"/>
        <xdr:cNvCxnSpPr/>
      </xdr:nvCxnSpPr>
      <xdr:spPr>
        <a:xfrm>
          <a:off x="12922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771525</xdr:colOff>
      <xdr:row>565</xdr:row>
      <xdr:rowOff>0</xdr:rowOff>
    </xdr:from>
    <xdr:to>
      <xdr:col>16</xdr:col>
      <xdr:colOff>1177925</xdr:colOff>
      <xdr:row>569</xdr:row>
      <xdr:rowOff>127000</xdr:rowOff>
    </xdr:to>
    <xdr:sp macro="" textlink="">
      <xdr:nvSpPr>
        <xdr:cNvPr id="22" name="Прямоугольник 21"/>
        <xdr:cNvSpPr/>
      </xdr:nvSpPr>
      <xdr:spPr>
        <a:xfrm>
          <a:off x="12877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771525</xdr:colOff>
      <xdr:row>565</xdr:row>
      <xdr:rowOff>0</xdr:rowOff>
    </xdr:from>
    <xdr:to>
      <xdr:col>16</xdr:col>
      <xdr:colOff>974725</xdr:colOff>
      <xdr:row>566</xdr:row>
      <xdr:rowOff>12700</xdr:rowOff>
    </xdr:to>
    <xdr:sp macro="" textlink="">
      <xdr:nvSpPr>
        <xdr:cNvPr id="23" name="Прямоугольник 22"/>
        <xdr:cNvSpPr/>
      </xdr:nvSpPr>
      <xdr:spPr>
        <a:xfrm>
          <a:off x="12877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974725</xdr:colOff>
      <xdr:row>565</xdr:row>
      <xdr:rowOff>0</xdr:rowOff>
    </xdr:from>
    <xdr:to>
      <xdr:col>16</xdr:col>
      <xdr:colOff>1177925</xdr:colOff>
      <xdr:row>566</xdr:row>
      <xdr:rowOff>12700</xdr:rowOff>
    </xdr:to>
    <xdr:sp macro="" textlink="">
      <xdr:nvSpPr>
        <xdr:cNvPr id="24" name="Прямоугольник 23"/>
        <xdr:cNvSpPr/>
      </xdr:nvSpPr>
      <xdr:spPr>
        <a:xfrm>
          <a:off x="13081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873125</xdr:colOff>
      <xdr:row>564</xdr:row>
      <xdr:rowOff>0</xdr:rowOff>
    </xdr:from>
    <xdr:to>
      <xdr:col>16</xdr:col>
      <xdr:colOff>873125</xdr:colOff>
      <xdr:row>565</xdr:row>
      <xdr:rowOff>0</xdr:rowOff>
    </xdr:to>
    <xdr:cxnSp macro="">
      <xdr:nvCxnSpPr>
        <xdr:cNvPr id="25" name="Прямая со стрелкой 24"/>
        <xdr:cNvCxnSpPr/>
      </xdr:nvCxnSpPr>
      <xdr:spPr>
        <a:xfrm flipV="1">
          <a:off x="12979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1076325</xdr:colOff>
      <xdr:row>564</xdr:row>
      <xdr:rowOff>0</xdr:rowOff>
    </xdr:from>
    <xdr:to>
      <xdr:col>16</xdr:col>
      <xdr:colOff>1076325</xdr:colOff>
      <xdr:row>565</xdr:row>
      <xdr:rowOff>0</xdr:rowOff>
    </xdr:to>
    <xdr:cxnSp macro="">
      <xdr:nvCxnSpPr>
        <xdr:cNvPr id="26" name="Прямая со стрелкой 25"/>
        <xdr:cNvCxnSpPr/>
      </xdr:nvCxnSpPr>
      <xdr:spPr>
        <a:xfrm flipV="1">
          <a:off x="13182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873125</xdr:colOff>
      <xdr:row>564</xdr:row>
      <xdr:rowOff>0</xdr:rowOff>
    </xdr:from>
    <xdr:to>
      <xdr:col>16</xdr:col>
      <xdr:colOff>1076325</xdr:colOff>
      <xdr:row>564</xdr:row>
      <xdr:rowOff>0</xdr:rowOff>
    </xdr:to>
    <xdr:cxnSp macro="">
      <xdr:nvCxnSpPr>
        <xdr:cNvPr id="27" name="Прямая со стрелкой 26"/>
        <xdr:cNvCxnSpPr/>
      </xdr:nvCxnSpPr>
      <xdr:spPr>
        <a:xfrm>
          <a:off x="12979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974725</xdr:colOff>
      <xdr:row>560</xdr:row>
      <xdr:rowOff>127000</xdr:rowOff>
    </xdr:from>
    <xdr:to>
      <xdr:col>16</xdr:col>
      <xdr:colOff>974725</xdr:colOff>
      <xdr:row>564</xdr:row>
      <xdr:rowOff>0</xdr:rowOff>
    </xdr:to>
    <xdr:cxnSp macro="">
      <xdr:nvCxnSpPr>
        <xdr:cNvPr id="28" name="Прямая со стрелкой 27"/>
        <xdr:cNvCxnSpPr/>
      </xdr:nvCxnSpPr>
      <xdr:spPr>
        <a:xfrm>
          <a:off x="13081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728145</xdr:colOff>
      <xdr:row>560</xdr:row>
      <xdr:rowOff>114300</xdr:rowOff>
    </xdr:from>
    <xdr:ext cx="264560" cy="635000"/>
    <xdr:sp macro="" textlink="">
      <xdr:nvSpPr>
        <xdr:cNvPr id="29" name="TextBox 28"/>
        <xdr:cNvSpPr txBox="1"/>
      </xdr:nvSpPr>
      <xdr:spPr>
        <a:xfrm rot="16200000">
          <a:off x="12649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1292225</xdr:colOff>
      <xdr:row>551</xdr:row>
      <xdr:rowOff>127000</xdr:rowOff>
    </xdr:from>
    <xdr:to>
      <xdr:col>16</xdr:col>
      <xdr:colOff>1609725</xdr:colOff>
      <xdr:row>559</xdr:row>
      <xdr:rowOff>127000</xdr:rowOff>
    </xdr:to>
    <xdr:sp macro="" textlink="">
      <xdr:nvSpPr>
        <xdr:cNvPr id="30" name="Прямоугольник 29"/>
        <xdr:cNvSpPr/>
      </xdr:nvSpPr>
      <xdr:spPr>
        <a:xfrm>
          <a:off x="13398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16</xdr:col>
      <xdr:colOff>1609725</xdr:colOff>
      <xdr:row>551</xdr:row>
      <xdr:rowOff>127000</xdr:rowOff>
    </xdr:from>
    <xdr:to>
      <xdr:col>16</xdr:col>
      <xdr:colOff>1927225</xdr:colOff>
      <xdr:row>559</xdr:row>
      <xdr:rowOff>127000</xdr:rowOff>
    </xdr:to>
    <xdr:sp macro="" textlink="">
      <xdr:nvSpPr>
        <xdr:cNvPr id="31" name="Прямоугольник 30"/>
        <xdr:cNvSpPr/>
      </xdr:nvSpPr>
      <xdr:spPr>
        <a:xfrm>
          <a:off x="13716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6</a:t>
          </a:r>
        </a:p>
      </xdr:txBody>
    </xdr:sp>
    <xdr:clientData/>
  </xdr:twoCellAnchor>
  <xdr:twoCellAnchor>
    <xdr:from>
      <xdr:col>16</xdr:col>
      <xdr:colOff>1450975</xdr:colOff>
      <xdr:row>559</xdr:row>
      <xdr:rowOff>127000</xdr:rowOff>
    </xdr:from>
    <xdr:to>
      <xdr:col>16</xdr:col>
      <xdr:colOff>1450975</xdr:colOff>
      <xdr:row>560</xdr:row>
      <xdr:rowOff>127000</xdr:rowOff>
    </xdr:to>
    <xdr:cxnSp macro="">
      <xdr:nvCxnSpPr>
        <xdr:cNvPr id="32768" name="Прямая со стрелкой 32767"/>
        <xdr:cNvCxnSpPr/>
      </xdr:nvCxnSpPr>
      <xdr:spPr>
        <a:xfrm flipV="1">
          <a:off x="13557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1768475</xdr:colOff>
      <xdr:row>559</xdr:row>
      <xdr:rowOff>127000</xdr:rowOff>
    </xdr:from>
    <xdr:to>
      <xdr:col>16</xdr:col>
      <xdr:colOff>1768475</xdr:colOff>
      <xdr:row>560</xdr:row>
      <xdr:rowOff>127000</xdr:rowOff>
    </xdr:to>
    <xdr:cxnSp macro="">
      <xdr:nvCxnSpPr>
        <xdr:cNvPr id="32769" name="Прямая со стрелкой 32768"/>
        <xdr:cNvCxnSpPr/>
      </xdr:nvCxnSpPr>
      <xdr:spPr>
        <a:xfrm flipV="1">
          <a:off x="13874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1450975</xdr:colOff>
      <xdr:row>560</xdr:row>
      <xdr:rowOff>127000</xdr:rowOff>
    </xdr:from>
    <xdr:to>
      <xdr:col>16</xdr:col>
      <xdr:colOff>1768475</xdr:colOff>
      <xdr:row>560</xdr:row>
      <xdr:rowOff>127000</xdr:rowOff>
    </xdr:to>
    <xdr:cxnSp macro="">
      <xdr:nvCxnSpPr>
        <xdr:cNvPr id="32770" name="Прямая со стрелкой 32769"/>
        <xdr:cNvCxnSpPr/>
      </xdr:nvCxnSpPr>
      <xdr:spPr>
        <a:xfrm>
          <a:off x="13557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1406525</xdr:colOff>
      <xdr:row>565</xdr:row>
      <xdr:rowOff>0</xdr:rowOff>
    </xdr:from>
    <xdr:to>
      <xdr:col>16</xdr:col>
      <xdr:colOff>1812925</xdr:colOff>
      <xdr:row>569</xdr:row>
      <xdr:rowOff>127000</xdr:rowOff>
    </xdr:to>
    <xdr:sp macro="" textlink="">
      <xdr:nvSpPr>
        <xdr:cNvPr id="32771" name="Прямоугольник 32770"/>
        <xdr:cNvSpPr/>
      </xdr:nvSpPr>
      <xdr:spPr>
        <a:xfrm>
          <a:off x="13512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1406525</xdr:colOff>
      <xdr:row>565</xdr:row>
      <xdr:rowOff>0</xdr:rowOff>
    </xdr:from>
    <xdr:to>
      <xdr:col>16</xdr:col>
      <xdr:colOff>1609725</xdr:colOff>
      <xdr:row>566</xdr:row>
      <xdr:rowOff>12700</xdr:rowOff>
    </xdr:to>
    <xdr:sp macro="" textlink="">
      <xdr:nvSpPr>
        <xdr:cNvPr id="32772" name="Прямоугольник 32771"/>
        <xdr:cNvSpPr/>
      </xdr:nvSpPr>
      <xdr:spPr>
        <a:xfrm>
          <a:off x="13512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1609725</xdr:colOff>
      <xdr:row>565</xdr:row>
      <xdr:rowOff>0</xdr:rowOff>
    </xdr:from>
    <xdr:to>
      <xdr:col>16</xdr:col>
      <xdr:colOff>1812925</xdr:colOff>
      <xdr:row>566</xdr:row>
      <xdr:rowOff>12700</xdr:rowOff>
    </xdr:to>
    <xdr:sp macro="" textlink="">
      <xdr:nvSpPr>
        <xdr:cNvPr id="32773" name="Прямоугольник 32772"/>
        <xdr:cNvSpPr/>
      </xdr:nvSpPr>
      <xdr:spPr>
        <a:xfrm>
          <a:off x="13716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1508125</xdr:colOff>
      <xdr:row>564</xdr:row>
      <xdr:rowOff>0</xdr:rowOff>
    </xdr:from>
    <xdr:to>
      <xdr:col>16</xdr:col>
      <xdr:colOff>1508125</xdr:colOff>
      <xdr:row>565</xdr:row>
      <xdr:rowOff>0</xdr:rowOff>
    </xdr:to>
    <xdr:cxnSp macro="">
      <xdr:nvCxnSpPr>
        <xdr:cNvPr id="32774" name="Прямая со стрелкой 32773"/>
        <xdr:cNvCxnSpPr/>
      </xdr:nvCxnSpPr>
      <xdr:spPr>
        <a:xfrm flipV="1">
          <a:off x="13614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1711325</xdr:colOff>
      <xdr:row>564</xdr:row>
      <xdr:rowOff>0</xdr:rowOff>
    </xdr:from>
    <xdr:to>
      <xdr:col>16</xdr:col>
      <xdr:colOff>1711325</xdr:colOff>
      <xdr:row>565</xdr:row>
      <xdr:rowOff>0</xdr:rowOff>
    </xdr:to>
    <xdr:cxnSp macro="">
      <xdr:nvCxnSpPr>
        <xdr:cNvPr id="32775" name="Прямая со стрелкой 32774"/>
        <xdr:cNvCxnSpPr/>
      </xdr:nvCxnSpPr>
      <xdr:spPr>
        <a:xfrm flipV="1">
          <a:off x="13817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1508125</xdr:colOff>
      <xdr:row>564</xdr:row>
      <xdr:rowOff>0</xdr:rowOff>
    </xdr:from>
    <xdr:to>
      <xdr:col>16</xdr:col>
      <xdr:colOff>1711325</xdr:colOff>
      <xdr:row>564</xdr:row>
      <xdr:rowOff>0</xdr:rowOff>
    </xdr:to>
    <xdr:cxnSp macro="">
      <xdr:nvCxnSpPr>
        <xdr:cNvPr id="32776" name="Прямая со стрелкой 32775"/>
        <xdr:cNvCxnSpPr/>
      </xdr:nvCxnSpPr>
      <xdr:spPr>
        <a:xfrm>
          <a:off x="13614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1609725</xdr:colOff>
      <xdr:row>560</xdr:row>
      <xdr:rowOff>127000</xdr:rowOff>
    </xdr:from>
    <xdr:to>
      <xdr:col>16</xdr:col>
      <xdr:colOff>1609725</xdr:colOff>
      <xdr:row>564</xdr:row>
      <xdr:rowOff>0</xdr:rowOff>
    </xdr:to>
    <xdr:cxnSp macro="">
      <xdr:nvCxnSpPr>
        <xdr:cNvPr id="32777" name="Прямая со стрелкой 32776"/>
        <xdr:cNvCxnSpPr/>
      </xdr:nvCxnSpPr>
      <xdr:spPr>
        <a:xfrm>
          <a:off x="13716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1363145</xdr:colOff>
      <xdr:row>560</xdr:row>
      <xdr:rowOff>114300</xdr:rowOff>
    </xdr:from>
    <xdr:ext cx="264560" cy="635000"/>
    <xdr:sp macro="" textlink="">
      <xdr:nvSpPr>
        <xdr:cNvPr id="32778" name="TextBox 32777"/>
        <xdr:cNvSpPr txBox="1"/>
      </xdr:nvSpPr>
      <xdr:spPr>
        <a:xfrm rot="16200000">
          <a:off x="13284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16</xdr:col>
      <xdr:colOff>1927225</xdr:colOff>
      <xdr:row>551</xdr:row>
      <xdr:rowOff>127000</xdr:rowOff>
    </xdr:from>
    <xdr:to>
      <xdr:col>16</xdr:col>
      <xdr:colOff>2244725</xdr:colOff>
      <xdr:row>559</xdr:row>
      <xdr:rowOff>127000</xdr:rowOff>
    </xdr:to>
    <xdr:sp macro="" textlink="">
      <xdr:nvSpPr>
        <xdr:cNvPr id="32779" name="Прямоугольник 32778"/>
        <xdr:cNvSpPr/>
      </xdr:nvSpPr>
      <xdr:spPr>
        <a:xfrm>
          <a:off x="140335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7</a:t>
          </a:r>
        </a:p>
      </xdr:txBody>
    </xdr:sp>
    <xdr:clientData/>
  </xdr:twoCellAnchor>
  <xdr:twoCellAnchor>
    <xdr:from>
      <xdr:col>16</xdr:col>
      <xdr:colOff>2244725</xdr:colOff>
      <xdr:row>551</xdr:row>
      <xdr:rowOff>127000</xdr:rowOff>
    </xdr:from>
    <xdr:to>
      <xdr:col>17</xdr:col>
      <xdr:colOff>161925</xdr:colOff>
      <xdr:row>559</xdr:row>
      <xdr:rowOff>127000</xdr:rowOff>
    </xdr:to>
    <xdr:sp macro="" textlink="">
      <xdr:nvSpPr>
        <xdr:cNvPr id="32780" name="Прямоугольник 32779"/>
        <xdr:cNvSpPr/>
      </xdr:nvSpPr>
      <xdr:spPr>
        <a:xfrm>
          <a:off x="14351000" y="11747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16</xdr:col>
      <xdr:colOff>2085975</xdr:colOff>
      <xdr:row>559</xdr:row>
      <xdr:rowOff>127000</xdr:rowOff>
    </xdr:from>
    <xdr:to>
      <xdr:col>16</xdr:col>
      <xdr:colOff>2085975</xdr:colOff>
      <xdr:row>560</xdr:row>
      <xdr:rowOff>127000</xdr:rowOff>
    </xdr:to>
    <xdr:cxnSp macro="">
      <xdr:nvCxnSpPr>
        <xdr:cNvPr id="32781" name="Прямая со стрелкой 32780"/>
        <xdr:cNvCxnSpPr/>
      </xdr:nvCxnSpPr>
      <xdr:spPr>
        <a:xfrm flipV="1">
          <a:off x="141922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3175</xdr:colOff>
      <xdr:row>559</xdr:row>
      <xdr:rowOff>127000</xdr:rowOff>
    </xdr:from>
    <xdr:to>
      <xdr:col>17</xdr:col>
      <xdr:colOff>3175</xdr:colOff>
      <xdr:row>560</xdr:row>
      <xdr:rowOff>127000</xdr:rowOff>
    </xdr:to>
    <xdr:cxnSp macro="">
      <xdr:nvCxnSpPr>
        <xdr:cNvPr id="32783" name="Прямая со стрелкой 32782"/>
        <xdr:cNvCxnSpPr/>
      </xdr:nvCxnSpPr>
      <xdr:spPr>
        <a:xfrm flipV="1">
          <a:off x="14509750" y="11899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2085975</xdr:colOff>
      <xdr:row>560</xdr:row>
      <xdr:rowOff>127000</xdr:rowOff>
    </xdr:from>
    <xdr:to>
      <xdr:col>17</xdr:col>
      <xdr:colOff>3175</xdr:colOff>
      <xdr:row>560</xdr:row>
      <xdr:rowOff>127000</xdr:rowOff>
    </xdr:to>
    <xdr:cxnSp macro="">
      <xdr:nvCxnSpPr>
        <xdr:cNvPr id="32784" name="Прямая со стрелкой 32783"/>
        <xdr:cNvCxnSpPr/>
      </xdr:nvCxnSpPr>
      <xdr:spPr>
        <a:xfrm>
          <a:off x="14192250" y="11918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2041525</xdr:colOff>
      <xdr:row>565</xdr:row>
      <xdr:rowOff>0</xdr:rowOff>
    </xdr:from>
    <xdr:to>
      <xdr:col>17</xdr:col>
      <xdr:colOff>47625</xdr:colOff>
      <xdr:row>569</xdr:row>
      <xdr:rowOff>127000</xdr:rowOff>
    </xdr:to>
    <xdr:sp macro="" textlink="">
      <xdr:nvSpPr>
        <xdr:cNvPr id="32785" name="Прямоугольник 32784"/>
        <xdr:cNvSpPr/>
      </xdr:nvSpPr>
      <xdr:spPr>
        <a:xfrm>
          <a:off x="14147800" y="12001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PD4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2041525</xdr:colOff>
      <xdr:row>565</xdr:row>
      <xdr:rowOff>0</xdr:rowOff>
    </xdr:from>
    <xdr:to>
      <xdr:col>16</xdr:col>
      <xdr:colOff>2244725</xdr:colOff>
      <xdr:row>566</xdr:row>
      <xdr:rowOff>12700</xdr:rowOff>
    </xdr:to>
    <xdr:sp macro="" textlink="">
      <xdr:nvSpPr>
        <xdr:cNvPr id="32786" name="Прямоугольник 32785"/>
        <xdr:cNvSpPr/>
      </xdr:nvSpPr>
      <xdr:spPr>
        <a:xfrm>
          <a:off x="141478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2244725</xdr:colOff>
      <xdr:row>565</xdr:row>
      <xdr:rowOff>0</xdr:rowOff>
    </xdr:from>
    <xdr:to>
      <xdr:col>17</xdr:col>
      <xdr:colOff>47625</xdr:colOff>
      <xdr:row>566</xdr:row>
      <xdr:rowOff>12700</xdr:rowOff>
    </xdr:to>
    <xdr:sp macro="" textlink="">
      <xdr:nvSpPr>
        <xdr:cNvPr id="32787" name="Прямоугольник 32786"/>
        <xdr:cNvSpPr/>
      </xdr:nvSpPr>
      <xdr:spPr>
        <a:xfrm>
          <a:off x="14351000" y="12001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2143125</xdr:colOff>
      <xdr:row>564</xdr:row>
      <xdr:rowOff>0</xdr:rowOff>
    </xdr:from>
    <xdr:to>
      <xdr:col>16</xdr:col>
      <xdr:colOff>2143125</xdr:colOff>
      <xdr:row>565</xdr:row>
      <xdr:rowOff>0</xdr:rowOff>
    </xdr:to>
    <xdr:cxnSp macro="">
      <xdr:nvCxnSpPr>
        <xdr:cNvPr id="32788" name="Прямая со стрелкой 32787"/>
        <xdr:cNvCxnSpPr/>
      </xdr:nvCxnSpPr>
      <xdr:spPr>
        <a:xfrm flipV="1">
          <a:off x="142494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2346325</xdr:colOff>
      <xdr:row>564</xdr:row>
      <xdr:rowOff>0</xdr:rowOff>
    </xdr:from>
    <xdr:to>
      <xdr:col>16</xdr:col>
      <xdr:colOff>2346325</xdr:colOff>
      <xdr:row>565</xdr:row>
      <xdr:rowOff>0</xdr:rowOff>
    </xdr:to>
    <xdr:cxnSp macro="">
      <xdr:nvCxnSpPr>
        <xdr:cNvPr id="32789" name="Прямая со стрелкой 32788"/>
        <xdr:cNvCxnSpPr/>
      </xdr:nvCxnSpPr>
      <xdr:spPr>
        <a:xfrm flipV="1">
          <a:off x="14452600" y="11982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2143125</xdr:colOff>
      <xdr:row>564</xdr:row>
      <xdr:rowOff>0</xdr:rowOff>
    </xdr:from>
    <xdr:to>
      <xdr:col>16</xdr:col>
      <xdr:colOff>2346325</xdr:colOff>
      <xdr:row>564</xdr:row>
      <xdr:rowOff>0</xdr:rowOff>
    </xdr:to>
    <xdr:cxnSp macro="">
      <xdr:nvCxnSpPr>
        <xdr:cNvPr id="32790" name="Прямая со стрелкой 32789"/>
        <xdr:cNvCxnSpPr/>
      </xdr:nvCxnSpPr>
      <xdr:spPr>
        <a:xfrm>
          <a:off x="14249400" y="11982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2244725</xdr:colOff>
      <xdr:row>560</xdr:row>
      <xdr:rowOff>127000</xdr:rowOff>
    </xdr:from>
    <xdr:to>
      <xdr:col>16</xdr:col>
      <xdr:colOff>2244725</xdr:colOff>
      <xdr:row>564</xdr:row>
      <xdr:rowOff>0</xdr:rowOff>
    </xdr:to>
    <xdr:cxnSp macro="">
      <xdr:nvCxnSpPr>
        <xdr:cNvPr id="32791" name="Прямая со стрелкой 32790"/>
        <xdr:cNvCxnSpPr/>
      </xdr:nvCxnSpPr>
      <xdr:spPr>
        <a:xfrm>
          <a:off x="14351000" y="11918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1998145</xdr:colOff>
      <xdr:row>560</xdr:row>
      <xdr:rowOff>114300</xdr:rowOff>
    </xdr:from>
    <xdr:ext cx="264560" cy="635000"/>
    <xdr:sp macro="" textlink="">
      <xdr:nvSpPr>
        <xdr:cNvPr id="32792" name="TextBox 32791"/>
        <xdr:cNvSpPr txBox="1"/>
      </xdr:nvSpPr>
      <xdr:spPr>
        <a:xfrm rot="16200000">
          <a:off x="13919200" y="11936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581</xdr:row>
      <xdr:rowOff>0</xdr:rowOff>
    </xdr:from>
    <xdr:ext cx="6985000" cy="264560"/>
    <xdr:sp macro="" textlink="">
      <xdr:nvSpPr>
        <xdr:cNvPr id="32793" name="TextBox 32792"/>
        <xdr:cNvSpPr txBox="1"/>
      </xdr:nvSpPr>
      <xdr:spPr>
        <a:xfrm>
          <a:off x="1270000" y="12306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RS1- </a:t>
          </a:r>
          <a:r>
            <a:rPr lang="ru-RU" sz="1100"/>
            <a:t>частотный преобразователь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582</xdr:row>
      <xdr:rowOff>63500</xdr:rowOff>
    </xdr:from>
    <xdr:ext cx="6985000" cy="264560"/>
    <xdr:sp macro="" textlink="">
      <xdr:nvSpPr>
        <xdr:cNvPr id="32794" name="TextBox 32793"/>
        <xdr:cNvSpPr txBox="1"/>
      </xdr:nvSpPr>
      <xdr:spPr>
        <a:xfrm>
          <a:off x="1270000" y="12331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M1- </a:t>
          </a:r>
          <a:r>
            <a:rPr lang="ru-RU" sz="1100"/>
            <a:t>двигатель Приточного вентилятора</a:t>
          </a:r>
        </a:p>
      </xdr:txBody>
    </xdr:sp>
    <xdr:clientData/>
  </xdr:oneCellAnchor>
  <xdr:oneCellAnchor>
    <xdr:from>
      <xdr:col>3</xdr:col>
      <xdr:colOff>469900</xdr:colOff>
      <xdr:row>583</xdr:row>
      <xdr:rowOff>127000</xdr:rowOff>
    </xdr:from>
    <xdr:ext cx="6985000" cy="264560"/>
    <xdr:sp macro="" textlink="">
      <xdr:nvSpPr>
        <xdr:cNvPr id="32795" name="TextBox 32794"/>
        <xdr:cNvSpPr txBox="1"/>
      </xdr:nvSpPr>
      <xdr:spPr>
        <a:xfrm>
          <a:off x="1270000" y="12357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RS2- </a:t>
          </a:r>
          <a:r>
            <a:rPr lang="ru-RU" sz="1100"/>
            <a:t>частотный преобразователь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585</xdr:row>
      <xdr:rowOff>0</xdr:rowOff>
    </xdr:from>
    <xdr:ext cx="6985000" cy="264560"/>
    <xdr:sp macro="" textlink="">
      <xdr:nvSpPr>
        <xdr:cNvPr id="32796" name="TextBox 32795"/>
        <xdr:cNvSpPr txBox="1"/>
      </xdr:nvSpPr>
      <xdr:spPr>
        <a:xfrm>
          <a:off x="1270000" y="12382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M2- </a:t>
          </a:r>
          <a:r>
            <a:rPr lang="ru-RU" sz="1100"/>
            <a:t>двигатель Вытяжного вентилятора</a:t>
          </a:r>
        </a:p>
      </xdr:txBody>
    </xdr:sp>
    <xdr:clientData/>
  </xdr:oneCellAnchor>
  <xdr:oneCellAnchor>
    <xdr:from>
      <xdr:col>3</xdr:col>
      <xdr:colOff>469900</xdr:colOff>
      <xdr:row>586</xdr:row>
      <xdr:rowOff>63500</xdr:rowOff>
    </xdr:from>
    <xdr:ext cx="6985000" cy="264560"/>
    <xdr:sp macro="" textlink="">
      <xdr:nvSpPr>
        <xdr:cNvPr id="32797" name="TextBox 32796"/>
        <xdr:cNvSpPr txBox="1"/>
      </xdr:nvSpPr>
      <xdr:spPr>
        <a:xfrm>
          <a:off x="1270000" y="124079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BS1 - </a:t>
          </a:r>
          <a:r>
            <a:rPr lang="ru-RU" sz="1100"/>
            <a:t>регулятор 1-я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587</xdr:row>
      <xdr:rowOff>127000</xdr:rowOff>
    </xdr:from>
    <xdr:ext cx="6985000" cy="264560"/>
    <xdr:sp macro="" textlink="">
      <xdr:nvSpPr>
        <xdr:cNvPr id="32798" name="TextBox 32797"/>
        <xdr:cNvSpPr txBox="1"/>
      </xdr:nvSpPr>
      <xdr:spPr>
        <a:xfrm>
          <a:off x="1270000" y="12433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NK1 - 1-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589</xdr:row>
      <xdr:rowOff>0</xdr:rowOff>
    </xdr:from>
    <xdr:ext cx="6985000" cy="264560"/>
    <xdr:sp macro="" textlink="">
      <xdr:nvSpPr>
        <xdr:cNvPr id="32799" name="TextBox 32798"/>
        <xdr:cNvSpPr txBox="1"/>
      </xdr:nvSpPr>
      <xdr:spPr>
        <a:xfrm>
          <a:off x="1270000" y="12458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NK2 - 2-</a:t>
          </a:r>
          <a:r>
            <a:rPr lang="ru-RU" sz="1100"/>
            <a:t>я ступень электрического нагревателя</a:t>
          </a:r>
        </a:p>
      </xdr:txBody>
    </xdr:sp>
    <xdr:clientData/>
  </xdr:oneCellAnchor>
  <xdr:oneCellAnchor>
    <xdr:from>
      <xdr:col>3</xdr:col>
      <xdr:colOff>469900</xdr:colOff>
      <xdr:row>590</xdr:row>
      <xdr:rowOff>63500</xdr:rowOff>
    </xdr:from>
    <xdr:ext cx="6985000" cy="264560"/>
    <xdr:sp macro="" textlink="">
      <xdr:nvSpPr>
        <xdr:cNvPr id="32800" name="TextBox 32799"/>
        <xdr:cNvSpPr txBox="1"/>
      </xdr:nvSpPr>
      <xdr:spPr>
        <a:xfrm>
          <a:off x="1270000" y="12484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PD1 - </a:t>
          </a:r>
          <a:r>
            <a:rPr lang="ru-RU" sz="1100"/>
            <a:t>Прессостат фильтра №1</a:t>
          </a:r>
        </a:p>
      </xdr:txBody>
    </xdr:sp>
    <xdr:clientData/>
  </xdr:oneCellAnchor>
  <xdr:oneCellAnchor>
    <xdr:from>
      <xdr:col>3</xdr:col>
      <xdr:colOff>469900</xdr:colOff>
      <xdr:row>591</xdr:row>
      <xdr:rowOff>127000</xdr:rowOff>
    </xdr:from>
    <xdr:ext cx="6985000" cy="264560"/>
    <xdr:sp macro="" textlink="">
      <xdr:nvSpPr>
        <xdr:cNvPr id="32801" name="TextBox 32800"/>
        <xdr:cNvSpPr txBox="1"/>
      </xdr:nvSpPr>
      <xdr:spPr>
        <a:xfrm>
          <a:off x="1270000" y="12509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PD2 - </a:t>
          </a:r>
          <a:r>
            <a:rPr lang="ru-RU" sz="1100"/>
            <a:t>Прессостат фильтра №2</a:t>
          </a:r>
        </a:p>
      </xdr:txBody>
    </xdr:sp>
    <xdr:clientData/>
  </xdr:oneCellAnchor>
  <xdr:oneCellAnchor>
    <xdr:from>
      <xdr:col>15</xdr:col>
      <xdr:colOff>876300</xdr:colOff>
      <xdr:row>579</xdr:row>
      <xdr:rowOff>127000</xdr:rowOff>
    </xdr:from>
    <xdr:ext cx="3810000" cy="264560"/>
    <xdr:sp macro="" textlink="">
      <xdr:nvSpPr>
        <xdr:cNvPr id="32802" name="TextBox 32801"/>
        <xdr:cNvSpPr txBox="1"/>
      </xdr:nvSpPr>
      <xdr:spPr>
        <a:xfrm>
          <a:off x="11430000" y="122809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PD3 - </a:t>
          </a:r>
          <a:r>
            <a:rPr lang="ru-RU" sz="1100"/>
            <a:t>Прессостат приточного вентилятора</a:t>
          </a:r>
        </a:p>
      </xdr:txBody>
    </xdr:sp>
    <xdr:clientData/>
  </xdr:oneCellAnchor>
  <xdr:oneCellAnchor>
    <xdr:from>
      <xdr:col>15</xdr:col>
      <xdr:colOff>876300</xdr:colOff>
      <xdr:row>578</xdr:row>
      <xdr:rowOff>63500</xdr:rowOff>
    </xdr:from>
    <xdr:ext cx="3810000" cy="264560"/>
    <xdr:sp macro="" textlink="">
      <xdr:nvSpPr>
        <xdr:cNvPr id="32803" name="TextBox 32802"/>
        <xdr:cNvSpPr txBox="1"/>
      </xdr:nvSpPr>
      <xdr:spPr>
        <a:xfrm>
          <a:off x="11430000" y="122555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PD4 - </a:t>
          </a:r>
          <a:r>
            <a:rPr lang="ru-RU" sz="1100"/>
            <a:t>Прессостат вытяжного вентилятора</a:t>
          </a:r>
        </a:p>
      </xdr:txBody>
    </xdr:sp>
    <xdr:clientData/>
  </xdr:oneCellAnchor>
  <xdr:twoCellAnchor>
    <xdr:from>
      <xdr:col>3</xdr:col>
      <xdr:colOff>596900</xdr:colOff>
      <xdr:row>613</xdr:row>
      <xdr:rowOff>127000</xdr:rowOff>
    </xdr:from>
    <xdr:to>
      <xdr:col>4</xdr:col>
      <xdr:colOff>314325</xdr:colOff>
      <xdr:row>617</xdr:row>
      <xdr:rowOff>127000</xdr:rowOff>
    </xdr:to>
    <xdr:sp macro="" textlink="">
      <xdr:nvSpPr>
        <xdr:cNvPr id="32804" name="Прямоугольник 32803"/>
        <xdr:cNvSpPr/>
      </xdr:nvSpPr>
      <xdr:spPr>
        <a:xfrm>
          <a:off x="1397000" y="12928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611</xdr:row>
      <xdr:rowOff>127000</xdr:rowOff>
    </xdr:from>
    <xdr:to>
      <xdr:col>5</xdr:col>
      <xdr:colOff>95250</xdr:colOff>
      <xdr:row>619</xdr:row>
      <xdr:rowOff>127000</xdr:rowOff>
    </xdr:to>
    <xdr:sp macro="" textlink="">
      <xdr:nvSpPr>
        <xdr:cNvPr id="32806" name="Прямоугольник 32805"/>
        <xdr:cNvSpPr/>
      </xdr:nvSpPr>
      <xdr:spPr>
        <a:xfrm>
          <a:off x="215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9</a:t>
          </a:r>
        </a:p>
      </xdr:txBody>
    </xdr:sp>
    <xdr:clientData/>
  </xdr:twoCellAnchor>
  <xdr:twoCellAnchor>
    <xdr:from>
      <xdr:col>5</xdr:col>
      <xdr:colOff>95250</xdr:colOff>
      <xdr:row>611</xdr:row>
      <xdr:rowOff>127000</xdr:rowOff>
    </xdr:from>
    <xdr:to>
      <xdr:col>5</xdr:col>
      <xdr:colOff>412750</xdr:colOff>
      <xdr:row>619</xdr:row>
      <xdr:rowOff>127000</xdr:rowOff>
    </xdr:to>
    <xdr:sp macro="" textlink="">
      <xdr:nvSpPr>
        <xdr:cNvPr id="32807" name="Прямоугольник 32806"/>
        <xdr:cNvSpPr/>
      </xdr:nvSpPr>
      <xdr:spPr>
        <a:xfrm>
          <a:off x="247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10</a:t>
          </a:r>
        </a:p>
      </xdr:txBody>
    </xdr:sp>
    <xdr:clientData/>
  </xdr:twoCellAnchor>
  <xdr:twoCellAnchor>
    <xdr:from>
      <xdr:col>4</xdr:col>
      <xdr:colOff>727075</xdr:colOff>
      <xdr:row>619</xdr:row>
      <xdr:rowOff>127000</xdr:rowOff>
    </xdr:from>
    <xdr:to>
      <xdr:col>4</xdr:col>
      <xdr:colOff>727075</xdr:colOff>
      <xdr:row>620</xdr:row>
      <xdr:rowOff>127000</xdr:rowOff>
    </xdr:to>
    <xdr:cxnSp macro="">
      <xdr:nvCxnSpPr>
        <xdr:cNvPr id="32808" name="Прямая со стрелкой 32807"/>
        <xdr:cNvCxnSpPr/>
      </xdr:nvCxnSpPr>
      <xdr:spPr>
        <a:xfrm flipV="1">
          <a:off x="231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254000</xdr:colOff>
      <xdr:row>619</xdr:row>
      <xdr:rowOff>127000</xdr:rowOff>
    </xdr:from>
    <xdr:to>
      <xdr:col>5</xdr:col>
      <xdr:colOff>254000</xdr:colOff>
      <xdr:row>620</xdr:row>
      <xdr:rowOff>127000</xdr:rowOff>
    </xdr:to>
    <xdr:cxnSp macro="">
      <xdr:nvCxnSpPr>
        <xdr:cNvPr id="32809" name="Прямая со стрелкой 32808"/>
        <xdr:cNvCxnSpPr/>
      </xdr:nvCxnSpPr>
      <xdr:spPr>
        <a:xfrm flipV="1">
          <a:off x="263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727075</xdr:colOff>
      <xdr:row>620</xdr:row>
      <xdr:rowOff>127000</xdr:rowOff>
    </xdr:from>
    <xdr:to>
      <xdr:col>5</xdr:col>
      <xdr:colOff>254000</xdr:colOff>
      <xdr:row>620</xdr:row>
      <xdr:rowOff>127000</xdr:rowOff>
    </xdr:to>
    <xdr:cxnSp macro="">
      <xdr:nvCxnSpPr>
        <xdr:cNvPr id="32810" name="Прямая со стрелкой 32809"/>
        <xdr:cNvCxnSpPr/>
      </xdr:nvCxnSpPr>
      <xdr:spPr>
        <a:xfrm>
          <a:off x="231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682625</xdr:colOff>
      <xdr:row>625</xdr:row>
      <xdr:rowOff>0</xdr:rowOff>
    </xdr:from>
    <xdr:to>
      <xdr:col>5</xdr:col>
      <xdr:colOff>298450</xdr:colOff>
      <xdr:row>629</xdr:row>
      <xdr:rowOff>127000</xdr:rowOff>
    </xdr:to>
    <xdr:sp macro="" textlink="">
      <xdr:nvSpPr>
        <xdr:cNvPr id="32811" name="Прямоугольник 32810"/>
        <xdr:cNvSpPr/>
      </xdr:nvSpPr>
      <xdr:spPr>
        <a:xfrm>
          <a:off x="227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682625</xdr:colOff>
      <xdr:row>625</xdr:row>
      <xdr:rowOff>0</xdr:rowOff>
    </xdr:from>
    <xdr:to>
      <xdr:col>5</xdr:col>
      <xdr:colOff>95250</xdr:colOff>
      <xdr:row>626</xdr:row>
      <xdr:rowOff>12700</xdr:rowOff>
    </xdr:to>
    <xdr:sp macro="" textlink="">
      <xdr:nvSpPr>
        <xdr:cNvPr id="32812" name="Прямоугольник 32811"/>
        <xdr:cNvSpPr/>
      </xdr:nvSpPr>
      <xdr:spPr>
        <a:xfrm>
          <a:off x="227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95250</xdr:colOff>
      <xdr:row>625</xdr:row>
      <xdr:rowOff>0</xdr:rowOff>
    </xdr:from>
    <xdr:to>
      <xdr:col>5</xdr:col>
      <xdr:colOff>298450</xdr:colOff>
      <xdr:row>626</xdr:row>
      <xdr:rowOff>12700</xdr:rowOff>
    </xdr:to>
    <xdr:sp macro="" textlink="">
      <xdr:nvSpPr>
        <xdr:cNvPr id="32813" name="Прямоугольник 32812"/>
        <xdr:cNvSpPr/>
      </xdr:nvSpPr>
      <xdr:spPr>
        <a:xfrm>
          <a:off x="247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784225</xdr:colOff>
      <xdr:row>624</xdr:row>
      <xdr:rowOff>0</xdr:rowOff>
    </xdr:from>
    <xdr:to>
      <xdr:col>4</xdr:col>
      <xdr:colOff>784225</xdr:colOff>
      <xdr:row>625</xdr:row>
      <xdr:rowOff>0</xdr:rowOff>
    </xdr:to>
    <xdr:cxnSp macro="">
      <xdr:nvCxnSpPr>
        <xdr:cNvPr id="32814" name="Прямая со стрелкой 32813"/>
        <xdr:cNvCxnSpPr/>
      </xdr:nvCxnSpPr>
      <xdr:spPr>
        <a:xfrm flipV="1">
          <a:off x="237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196850</xdr:colOff>
      <xdr:row>624</xdr:row>
      <xdr:rowOff>0</xdr:rowOff>
    </xdr:from>
    <xdr:to>
      <xdr:col>5</xdr:col>
      <xdr:colOff>196850</xdr:colOff>
      <xdr:row>625</xdr:row>
      <xdr:rowOff>0</xdr:rowOff>
    </xdr:to>
    <xdr:cxnSp macro="">
      <xdr:nvCxnSpPr>
        <xdr:cNvPr id="32815" name="Прямая со стрелкой 32814"/>
        <xdr:cNvCxnSpPr/>
      </xdr:nvCxnSpPr>
      <xdr:spPr>
        <a:xfrm flipV="1">
          <a:off x="257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784225</xdr:colOff>
      <xdr:row>624</xdr:row>
      <xdr:rowOff>0</xdr:rowOff>
    </xdr:from>
    <xdr:to>
      <xdr:col>5</xdr:col>
      <xdr:colOff>196850</xdr:colOff>
      <xdr:row>624</xdr:row>
      <xdr:rowOff>0</xdr:rowOff>
    </xdr:to>
    <xdr:cxnSp macro="">
      <xdr:nvCxnSpPr>
        <xdr:cNvPr id="32816" name="Прямая со стрелкой 32815"/>
        <xdr:cNvCxnSpPr/>
      </xdr:nvCxnSpPr>
      <xdr:spPr>
        <a:xfrm>
          <a:off x="237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95250</xdr:colOff>
      <xdr:row>620</xdr:row>
      <xdr:rowOff>127000</xdr:rowOff>
    </xdr:from>
    <xdr:to>
      <xdr:col>5</xdr:col>
      <xdr:colOff>95250</xdr:colOff>
      <xdr:row>624</xdr:row>
      <xdr:rowOff>0</xdr:rowOff>
    </xdr:to>
    <xdr:cxnSp macro="">
      <xdr:nvCxnSpPr>
        <xdr:cNvPr id="32817" name="Прямая со стрелкой 32816"/>
        <xdr:cNvCxnSpPr/>
      </xdr:nvCxnSpPr>
      <xdr:spPr>
        <a:xfrm>
          <a:off x="247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639245</xdr:colOff>
      <xdr:row>620</xdr:row>
      <xdr:rowOff>114300</xdr:rowOff>
    </xdr:from>
    <xdr:ext cx="264560" cy="635000"/>
    <xdr:sp macro="" textlink="">
      <xdr:nvSpPr>
        <xdr:cNvPr id="32818" name="TextBox 32817"/>
        <xdr:cNvSpPr txBox="1"/>
      </xdr:nvSpPr>
      <xdr:spPr>
        <a:xfrm rot="16200000">
          <a:off x="204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5</xdr:col>
      <xdr:colOff>412750</xdr:colOff>
      <xdr:row>611</xdr:row>
      <xdr:rowOff>127000</xdr:rowOff>
    </xdr:from>
    <xdr:to>
      <xdr:col>6</xdr:col>
      <xdr:colOff>6350</xdr:colOff>
      <xdr:row>619</xdr:row>
      <xdr:rowOff>127000</xdr:rowOff>
    </xdr:to>
    <xdr:sp macro="" textlink="">
      <xdr:nvSpPr>
        <xdr:cNvPr id="32819" name="Прямоугольник 32818"/>
        <xdr:cNvSpPr/>
      </xdr:nvSpPr>
      <xdr:spPr>
        <a:xfrm>
          <a:off x="279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11</a:t>
          </a:r>
        </a:p>
      </xdr:txBody>
    </xdr:sp>
    <xdr:clientData/>
  </xdr:twoCellAnchor>
  <xdr:twoCellAnchor>
    <xdr:from>
      <xdr:col>6</xdr:col>
      <xdr:colOff>6350</xdr:colOff>
      <xdr:row>611</xdr:row>
      <xdr:rowOff>127000</xdr:rowOff>
    </xdr:from>
    <xdr:to>
      <xdr:col>6</xdr:col>
      <xdr:colOff>323850</xdr:colOff>
      <xdr:row>619</xdr:row>
      <xdr:rowOff>127000</xdr:rowOff>
    </xdr:to>
    <xdr:sp macro="" textlink="">
      <xdr:nvSpPr>
        <xdr:cNvPr id="32820" name="Прямоугольник 32819"/>
        <xdr:cNvSpPr/>
      </xdr:nvSpPr>
      <xdr:spPr>
        <a:xfrm>
          <a:off x="311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12</a:t>
          </a:r>
        </a:p>
      </xdr:txBody>
    </xdr:sp>
    <xdr:clientData/>
  </xdr:twoCellAnchor>
  <xdr:twoCellAnchor>
    <xdr:from>
      <xdr:col>5</xdr:col>
      <xdr:colOff>571500</xdr:colOff>
      <xdr:row>619</xdr:row>
      <xdr:rowOff>127000</xdr:rowOff>
    </xdr:from>
    <xdr:to>
      <xdr:col>5</xdr:col>
      <xdr:colOff>571500</xdr:colOff>
      <xdr:row>620</xdr:row>
      <xdr:rowOff>127000</xdr:rowOff>
    </xdr:to>
    <xdr:cxnSp macro="">
      <xdr:nvCxnSpPr>
        <xdr:cNvPr id="32821" name="Прямая со стрелкой 32820"/>
        <xdr:cNvCxnSpPr/>
      </xdr:nvCxnSpPr>
      <xdr:spPr>
        <a:xfrm flipV="1">
          <a:off x="295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165100</xdr:colOff>
      <xdr:row>619</xdr:row>
      <xdr:rowOff>127000</xdr:rowOff>
    </xdr:from>
    <xdr:to>
      <xdr:col>6</xdr:col>
      <xdr:colOff>165100</xdr:colOff>
      <xdr:row>620</xdr:row>
      <xdr:rowOff>127000</xdr:rowOff>
    </xdr:to>
    <xdr:cxnSp macro="">
      <xdr:nvCxnSpPr>
        <xdr:cNvPr id="32822" name="Прямая со стрелкой 32821"/>
        <xdr:cNvCxnSpPr/>
      </xdr:nvCxnSpPr>
      <xdr:spPr>
        <a:xfrm flipV="1">
          <a:off x="327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571500</xdr:colOff>
      <xdr:row>620</xdr:row>
      <xdr:rowOff>127000</xdr:rowOff>
    </xdr:from>
    <xdr:to>
      <xdr:col>6</xdr:col>
      <xdr:colOff>165100</xdr:colOff>
      <xdr:row>620</xdr:row>
      <xdr:rowOff>127000</xdr:rowOff>
    </xdr:to>
    <xdr:cxnSp macro="">
      <xdr:nvCxnSpPr>
        <xdr:cNvPr id="32823" name="Прямая со стрелкой 32822"/>
        <xdr:cNvCxnSpPr/>
      </xdr:nvCxnSpPr>
      <xdr:spPr>
        <a:xfrm>
          <a:off x="295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527050</xdr:colOff>
      <xdr:row>625</xdr:row>
      <xdr:rowOff>0</xdr:rowOff>
    </xdr:from>
    <xdr:to>
      <xdr:col>6</xdr:col>
      <xdr:colOff>209550</xdr:colOff>
      <xdr:row>629</xdr:row>
      <xdr:rowOff>127000</xdr:rowOff>
    </xdr:to>
    <xdr:sp macro="" textlink="">
      <xdr:nvSpPr>
        <xdr:cNvPr id="32824" name="Прямоугольник 32823"/>
        <xdr:cNvSpPr/>
      </xdr:nvSpPr>
      <xdr:spPr>
        <a:xfrm>
          <a:off x="290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527050</xdr:colOff>
      <xdr:row>625</xdr:row>
      <xdr:rowOff>0</xdr:rowOff>
    </xdr:from>
    <xdr:to>
      <xdr:col>6</xdr:col>
      <xdr:colOff>6350</xdr:colOff>
      <xdr:row>626</xdr:row>
      <xdr:rowOff>12700</xdr:rowOff>
    </xdr:to>
    <xdr:sp macro="" textlink="">
      <xdr:nvSpPr>
        <xdr:cNvPr id="32825" name="Прямоугольник 32824"/>
        <xdr:cNvSpPr/>
      </xdr:nvSpPr>
      <xdr:spPr>
        <a:xfrm>
          <a:off x="290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6350</xdr:colOff>
      <xdr:row>625</xdr:row>
      <xdr:rowOff>0</xdr:rowOff>
    </xdr:from>
    <xdr:to>
      <xdr:col>6</xdr:col>
      <xdr:colOff>209550</xdr:colOff>
      <xdr:row>626</xdr:row>
      <xdr:rowOff>12700</xdr:rowOff>
    </xdr:to>
    <xdr:sp macro="" textlink="">
      <xdr:nvSpPr>
        <xdr:cNvPr id="32826" name="Прямоугольник 32825"/>
        <xdr:cNvSpPr/>
      </xdr:nvSpPr>
      <xdr:spPr>
        <a:xfrm>
          <a:off x="311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5</xdr:col>
      <xdr:colOff>628650</xdr:colOff>
      <xdr:row>624</xdr:row>
      <xdr:rowOff>0</xdr:rowOff>
    </xdr:from>
    <xdr:to>
      <xdr:col>5</xdr:col>
      <xdr:colOff>628650</xdr:colOff>
      <xdr:row>625</xdr:row>
      <xdr:rowOff>0</xdr:rowOff>
    </xdr:to>
    <xdr:cxnSp macro="">
      <xdr:nvCxnSpPr>
        <xdr:cNvPr id="32827" name="Прямая со стрелкой 32826"/>
        <xdr:cNvCxnSpPr/>
      </xdr:nvCxnSpPr>
      <xdr:spPr>
        <a:xfrm flipV="1">
          <a:off x="300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624</xdr:row>
      <xdr:rowOff>0</xdr:rowOff>
    </xdr:from>
    <xdr:to>
      <xdr:col>6</xdr:col>
      <xdr:colOff>107950</xdr:colOff>
      <xdr:row>625</xdr:row>
      <xdr:rowOff>0</xdr:rowOff>
    </xdr:to>
    <xdr:cxnSp macro="">
      <xdr:nvCxnSpPr>
        <xdr:cNvPr id="32828" name="Прямая со стрелкой 32827"/>
        <xdr:cNvCxnSpPr/>
      </xdr:nvCxnSpPr>
      <xdr:spPr>
        <a:xfrm flipV="1">
          <a:off x="321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628650</xdr:colOff>
      <xdr:row>624</xdr:row>
      <xdr:rowOff>0</xdr:rowOff>
    </xdr:from>
    <xdr:to>
      <xdr:col>6</xdr:col>
      <xdr:colOff>107950</xdr:colOff>
      <xdr:row>624</xdr:row>
      <xdr:rowOff>0</xdr:rowOff>
    </xdr:to>
    <xdr:cxnSp macro="">
      <xdr:nvCxnSpPr>
        <xdr:cNvPr id="32829" name="Прямая со стрелкой 32828"/>
        <xdr:cNvCxnSpPr/>
      </xdr:nvCxnSpPr>
      <xdr:spPr>
        <a:xfrm>
          <a:off x="300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6350</xdr:colOff>
      <xdr:row>620</xdr:row>
      <xdr:rowOff>127000</xdr:rowOff>
    </xdr:from>
    <xdr:to>
      <xdr:col>6</xdr:col>
      <xdr:colOff>6350</xdr:colOff>
      <xdr:row>624</xdr:row>
      <xdr:rowOff>0</xdr:rowOff>
    </xdr:to>
    <xdr:cxnSp macro="">
      <xdr:nvCxnSpPr>
        <xdr:cNvPr id="32830" name="Прямая со стрелкой 32829"/>
        <xdr:cNvCxnSpPr/>
      </xdr:nvCxnSpPr>
      <xdr:spPr>
        <a:xfrm>
          <a:off x="311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483670</xdr:colOff>
      <xdr:row>620</xdr:row>
      <xdr:rowOff>114300</xdr:rowOff>
    </xdr:from>
    <xdr:ext cx="264560" cy="635000"/>
    <xdr:sp macro="" textlink="">
      <xdr:nvSpPr>
        <xdr:cNvPr id="32831" name="TextBox 32830"/>
        <xdr:cNvSpPr txBox="1"/>
      </xdr:nvSpPr>
      <xdr:spPr>
        <a:xfrm rot="16200000">
          <a:off x="267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6</xdr:col>
      <xdr:colOff>323850</xdr:colOff>
      <xdr:row>611</xdr:row>
      <xdr:rowOff>127000</xdr:rowOff>
    </xdr:from>
    <xdr:to>
      <xdr:col>7</xdr:col>
      <xdr:colOff>127000</xdr:colOff>
      <xdr:row>619</xdr:row>
      <xdr:rowOff>127000</xdr:rowOff>
    </xdr:to>
    <xdr:sp macro="" textlink="">
      <xdr:nvSpPr>
        <xdr:cNvPr id="32832" name="Прямоугольник 32831"/>
        <xdr:cNvSpPr/>
      </xdr:nvSpPr>
      <xdr:spPr>
        <a:xfrm>
          <a:off x="342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13</a:t>
          </a:r>
        </a:p>
      </xdr:txBody>
    </xdr:sp>
    <xdr:clientData/>
  </xdr:twoCellAnchor>
  <xdr:twoCellAnchor>
    <xdr:from>
      <xdr:col>7</xdr:col>
      <xdr:colOff>127000</xdr:colOff>
      <xdr:row>611</xdr:row>
      <xdr:rowOff>127000</xdr:rowOff>
    </xdr:from>
    <xdr:to>
      <xdr:col>7</xdr:col>
      <xdr:colOff>444500</xdr:colOff>
      <xdr:row>619</xdr:row>
      <xdr:rowOff>127000</xdr:rowOff>
    </xdr:to>
    <xdr:sp macro="" textlink="">
      <xdr:nvSpPr>
        <xdr:cNvPr id="32833" name="Прямоугольник 32832"/>
        <xdr:cNvSpPr/>
      </xdr:nvSpPr>
      <xdr:spPr>
        <a:xfrm>
          <a:off x="374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14</a:t>
          </a:r>
        </a:p>
      </xdr:txBody>
    </xdr:sp>
    <xdr:clientData/>
  </xdr:twoCellAnchor>
  <xdr:twoCellAnchor>
    <xdr:from>
      <xdr:col>6</xdr:col>
      <xdr:colOff>482600</xdr:colOff>
      <xdr:row>619</xdr:row>
      <xdr:rowOff>127000</xdr:rowOff>
    </xdr:from>
    <xdr:to>
      <xdr:col>6</xdr:col>
      <xdr:colOff>482600</xdr:colOff>
      <xdr:row>620</xdr:row>
      <xdr:rowOff>127000</xdr:rowOff>
    </xdr:to>
    <xdr:cxnSp macro="">
      <xdr:nvCxnSpPr>
        <xdr:cNvPr id="32834" name="Прямая со стрелкой 32833"/>
        <xdr:cNvCxnSpPr/>
      </xdr:nvCxnSpPr>
      <xdr:spPr>
        <a:xfrm flipV="1">
          <a:off x="358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285750</xdr:colOff>
      <xdr:row>619</xdr:row>
      <xdr:rowOff>127000</xdr:rowOff>
    </xdr:from>
    <xdr:to>
      <xdr:col>7</xdr:col>
      <xdr:colOff>285750</xdr:colOff>
      <xdr:row>620</xdr:row>
      <xdr:rowOff>127000</xdr:rowOff>
    </xdr:to>
    <xdr:cxnSp macro="">
      <xdr:nvCxnSpPr>
        <xdr:cNvPr id="32835" name="Прямая со стрелкой 32834"/>
        <xdr:cNvCxnSpPr/>
      </xdr:nvCxnSpPr>
      <xdr:spPr>
        <a:xfrm flipV="1">
          <a:off x="390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482600</xdr:colOff>
      <xdr:row>620</xdr:row>
      <xdr:rowOff>127000</xdr:rowOff>
    </xdr:from>
    <xdr:to>
      <xdr:col>7</xdr:col>
      <xdr:colOff>285750</xdr:colOff>
      <xdr:row>620</xdr:row>
      <xdr:rowOff>127000</xdr:rowOff>
    </xdr:to>
    <xdr:cxnSp macro="">
      <xdr:nvCxnSpPr>
        <xdr:cNvPr id="32836" name="Прямая со стрелкой 32835"/>
        <xdr:cNvCxnSpPr/>
      </xdr:nvCxnSpPr>
      <xdr:spPr>
        <a:xfrm>
          <a:off x="358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438150</xdr:colOff>
      <xdr:row>625</xdr:row>
      <xdr:rowOff>0</xdr:rowOff>
    </xdr:from>
    <xdr:to>
      <xdr:col>7</xdr:col>
      <xdr:colOff>330200</xdr:colOff>
      <xdr:row>629</xdr:row>
      <xdr:rowOff>127000</xdr:rowOff>
    </xdr:to>
    <xdr:sp macro="" textlink="">
      <xdr:nvSpPr>
        <xdr:cNvPr id="32837" name="Прямоугольник 32836"/>
        <xdr:cNvSpPr/>
      </xdr:nvSpPr>
      <xdr:spPr>
        <a:xfrm>
          <a:off x="354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FS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6</xdr:col>
      <xdr:colOff>438150</xdr:colOff>
      <xdr:row>625</xdr:row>
      <xdr:rowOff>0</xdr:rowOff>
    </xdr:from>
    <xdr:to>
      <xdr:col>7</xdr:col>
      <xdr:colOff>127000</xdr:colOff>
      <xdr:row>626</xdr:row>
      <xdr:rowOff>12700</xdr:rowOff>
    </xdr:to>
    <xdr:sp macro="" textlink="">
      <xdr:nvSpPr>
        <xdr:cNvPr id="32838" name="Прямоугольник 32837"/>
        <xdr:cNvSpPr/>
      </xdr:nvSpPr>
      <xdr:spPr>
        <a:xfrm>
          <a:off x="354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127000</xdr:colOff>
      <xdr:row>625</xdr:row>
      <xdr:rowOff>0</xdr:rowOff>
    </xdr:from>
    <xdr:to>
      <xdr:col>7</xdr:col>
      <xdr:colOff>330200</xdr:colOff>
      <xdr:row>626</xdr:row>
      <xdr:rowOff>12700</xdr:rowOff>
    </xdr:to>
    <xdr:sp macro="" textlink="">
      <xdr:nvSpPr>
        <xdr:cNvPr id="32839" name="Прямоугольник 32838"/>
        <xdr:cNvSpPr/>
      </xdr:nvSpPr>
      <xdr:spPr>
        <a:xfrm>
          <a:off x="374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7</xdr:col>
      <xdr:colOff>25400</xdr:colOff>
      <xdr:row>624</xdr:row>
      <xdr:rowOff>0</xdr:rowOff>
    </xdr:from>
    <xdr:to>
      <xdr:col>7</xdr:col>
      <xdr:colOff>25400</xdr:colOff>
      <xdr:row>625</xdr:row>
      <xdr:rowOff>0</xdr:rowOff>
    </xdr:to>
    <xdr:cxnSp macro="">
      <xdr:nvCxnSpPr>
        <xdr:cNvPr id="32840" name="Прямая со стрелкой 32839"/>
        <xdr:cNvCxnSpPr/>
      </xdr:nvCxnSpPr>
      <xdr:spPr>
        <a:xfrm flipV="1">
          <a:off x="364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228600</xdr:colOff>
      <xdr:row>624</xdr:row>
      <xdr:rowOff>0</xdr:rowOff>
    </xdr:from>
    <xdr:to>
      <xdr:col>7</xdr:col>
      <xdr:colOff>228600</xdr:colOff>
      <xdr:row>625</xdr:row>
      <xdr:rowOff>0</xdr:rowOff>
    </xdr:to>
    <xdr:cxnSp macro="">
      <xdr:nvCxnSpPr>
        <xdr:cNvPr id="32841" name="Прямая со стрелкой 32840"/>
        <xdr:cNvCxnSpPr/>
      </xdr:nvCxnSpPr>
      <xdr:spPr>
        <a:xfrm flipV="1">
          <a:off x="384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25400</xdr:colOff>
      <xdr:row>624</xdr:row>
      <xdr:rowOff>0</xdr:rowOff>
    </xdr:from>
    <xdr:to>
      <xdr:col>7</xdr:col>
      <xdr:colOff>228600</xdr:colOff>
      <xdr:row>624</xdr:row>
      <xdr:rowOff>0</xdr:rowOff>
    </xdr:to>
    <xdr:cxnSp macro="">
      <xdr:nvCxnSpPr>
        <xdr:cNvPr id="32842" name="Прямая со стрелкой 32841"/>
        <xdr:cNvCxnSpPr/>
      </xdr:nvCxnSpPr>
      <xdr:spPr>
        <a:xfrm>
          <a:off x="364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127000</xdr:colOff>
      <xdr:row>620</xdr:row>
      <xdr:rowOff>127000</xdr:rowOff>
    </xdr:from>
    <xdr:to>
      <xdr:col>7</xdr:col>
      <xdr:colOff>127000</xdr:colOff>
      <xdr:row>624</xdr:row>
      <xdr:rowOff>0</xdr:rowOff>
    </xdr:to>
    <xdr:cxnSp macro="">
      <xdr:nvCxnSpPr>
        <xdr:cNvPr id="32843" name="Прямая со стрелкой 32842"/>
        <xdr:cNvCxnSpPr/>
      </xdr:nvCxnSpPr>
      <xdr:spPr>
        <a:xfrm>
          <a:off x="374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394770</xdr:colOff>
      <xdr:row>620</xdr:row>
      <xdr:rowOff>114300</xdr:rowOff>
    </xdr:from>
    <xdr:ext cx="264560" cy="635000"/>
    <xdr:sp macro="" textlink="">
      <xdr:nvSpPr>
        <xdr:cNvPr id="32844" name="TextBox 32843"/>
        <xdr:cNvSpPr txBox="1"/>
      </xdr:nvSpPr>
      <xdr:spPr>
        <a:xfrm rot="16200000">
          <a:off x="331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7</xdr:col>
      <xdr:colOff>444500</xdr:colOff>
      <xdr:row>611</xdr:row>
      <xdr:rowOff>127000</xdr:rowOff>
    </xdr:from>
    <xdr:to>
      <xdr:col>8</xdr:col>
      <xdr:colOff>38100</xdr:colOff>
      <xdr:row>619</xdr:row>
      <xdr:rowOff>127000</xdr:rowOff>
    </xdr:to>
    <xdr:sp macro="" textlink="">
      <xdr:nvSpPr>
        <xdr:cNvPr id="32845" name="Прямоугольник 32844"/>
        <xdr:cNvSpPr/>
      </xdr:nvSpPr>
      <xdr:spPr>
        <a:xfrm>
          <a:off x="406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15</a:t>
          </a:r>
        </a:p>
      </xdr:txBody>
    </xdr:sp>
    <xdr:clientData/>
  </xdr:twoCellAnchor>
  <xdr:twoCellAnchor>
    <xdr:from>
      <xdr:col>8</xdr:col>
      <xdr:colOff>38100</xdr:colOff>
      <xdr:row>611</xdr:row>
      <xdr:rowOff>127000</xdr:rowOff>
    </xdr:from>
    <xdr:to>
      <xdr:col>8</xdr:col>
      <xdr:colOff>355600</xdr:colOff>
      <xdr:row>619</xdr:row>
      <xdr:rowOff>127000</xdr:rowOff>
    </xdr:to>
    <xdr:sp macro="" textlink="">
      <xdr:nvSpPr>
        <xdr:cNvPr id="32846" name="Прямоугольник 32845"/>
        <xdr:cNvSpPr/>
      </xdr:nvSpPr>
      <xdr:spPr>
        <a:xfrm>
          <a:off x="438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16</a:t>
          </a:r>
        </a:p>
      </xdr:txBody>
    </xdr:sp>
    <xdr:clientData/>
  </xdr:twoCellAnchor>
  <xdr:twoCellAnchor>
    <xdr:from>
      <xdr:col>7</xdr:col>
      <xdr:colOff>603250</xdr:colOff>
      <xdr:row>619</xdr:row>
      <xdr:rowOff>127000</xdr:rowOff>
    </xdr:from>
    <xdr:to>
      <xdr:col>7</xdr:col>
      <xdr:colOff>603250</xdr:colOff>
      <xdr:row>620</xdr:row>
      <xdr:rowOff>127000</xdr:rowOff>
    </xdr:to>
    <xdr:cxnSp macro="">
      <xdr:nvCxnSpPr>
        <xdr:cNvPr id="32847" name="Прямая со стрелкой 32846"/>
        <xdr:cNvCxnSpPr/>
      </xdr:nvCxnSpPr>
      <xdr:spPr>
        <a:xfrm flipV="1">
          <a:off x="422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196850</xdr:colOff>
      <xdr:row>619</xdr:row>
      <xdr:rowOff>127000</xdr:rowOff>
    </xdr:from>
    <xdr:to>
      <xdr:col>8</xdr:col>
      <xdr:colOff>196850</xdr:colOff>
      <xdr:row>620</xdr:row>
      <xdr:rowOff>127000</xdr:rowOff>
    </xdr:to>
    <xdr:cxnSp macro="">
      <xdr:nvCxnSpPr>
        <xdr:cNvPr id="32848" name="Прямая со стрелкой 32847"/>
        <xdr:cNvCxnSpPr/>
      </xdr:nvCxnSpPr>
      <xdr:spPr>
        <a:xfrm flipV="1">
          <a:off x="454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603250</xdr:colOff>
      <xdr:row>620</xdr:row>
      <xdr:rowOff>127000</xdr:rowOff>
    </xdr:from>
    <xdr:to>
      <xdr:col>8</xdr:col>
      <xdr:colOff>196850</xdr:colOff>
      <xdr:row>620</xdr:row>
      <xdr:rowOff>127000</xdr:rowOff>
    </xdr:to>
    <xdr:cxnSp macro="">
      <xdr:nvCxnSpPr>
        <xdr:cNvPr id="32849" name="Прямая со стрелкой 32848"/>
        <xdr:cNvCxnSpPr/>
      </xdr:nvCxnSpPr>
      <xdr:spPr>
        <a:xfrm>
          <a:off x="422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620</xdr:row>
      <xdr:rowOff>127000</xdr:rowOff>
    </xdr:from>
    <xdr:to>
      <xdr:col>8</xdr:col>
      <xdr:colOff>38100</xdr:colOff>
      <xdr:row>624</xdr:row>
      <xdr:rowOff>0</xdr:rowOff>
    </xdr:to>
    <xdr:cxnSp macro="">
      <xdr:nvCxnSpPr>
        <xdr:cNvPr id="32850" name="Прямая со стрелкой 32849"/>
        <xdr:cNvCxnSpPr/>
      </xdr:nvCxnSpPr>
      <xdr:spPr>
        <a:xfrm>
          <a:off x="438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457493</xdr:colOff>
      <xdr:row>624</xdr:row>
      <xdr:rowOff>127001</xdr:rowOff>
    </xdr:from>
    <xdr:ext cx="609013" cy="2032000"/>
    <xdr:sp macro="" textlink="">
      <xdr:nvSpPr>
        <xdr:cNvPr id="32851" name="TextBox 32850"/>
        <xdr:cNvSpPr txBox="1"/>
      </xdr:nvSpPr>
      <xdr:spPr>
        <a:xfrm rot="16200000">
          <a:off x="3365500" y="132092994"/>
          <a:ext cx="203200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ru-RU" sz="1100"/>
            <a:t>Авария электрического
нагревателя
НЗ-"сухой" контакт</a:t>
          </a:r>
        </a:p>
      </xdr:txBody>
    </xdr:sp>
    <xdr:clientData/>
  </xdr:oneCellAnchor>
  <xdr:twoCellAnchor>
    <xdr:from>
      <xdr:col>8</xdr:col>
      <xdr:colOff>355600</xdr:colOff>
      <xdr:row>611</xdr:row>
      <xdr:rowOff>127000</xdr:rowOff>
    </xdr:from>
    <xdr:to>
      <xdr:col>8</xdr:col>
      <xdr:colOff>673100</xdr:colOff>
      <xdr:row>619</xdr:row>
      <xdr:rowOff>127000</xdr:rowOff>
    </xdr:to>
    <xdr:sp macro="" textlink="">
      <xdr:nvSpPr>
        <xdr:cNvPr id="32852" name="Прямоугольник 32851"/>
        <xdr:cNvSpPr/>
      </xdr:nvSpPr>
      <xdr:spPr>
        <a:xfrm>
          <a:off x="469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17</a:t>
          </a:r>
        </a:p>
      </xdr:txBody>
    </xdr:sp>
    <xdr:clientData/>
  </xdr:twoCellAnchor>
  <xdr:twoCellAnchor>
    <xdr:from>
      <xdr:col>8</xdr:col>
      <xdr:colOff>673100</xdr:colOff>
      <xdr:row>611</xdr:row>
      <xdr:rowOff>127000</xdr:rowOff>
    </xdr:from>
    <xdr:to>
      <xdr:col>9</xdr:col>
      <xdr:colOff>66675</xdr:colOff>
      <xdr:row>619</xdr:row>
      <xdr:rowOff>127000</xdr:rowOff>
    </xdr:to>
    <xdr:sp macro="" textlink="">
      <xdr:nvSpPr>
        <xdr:cNvPr id="32853" name="Прямоугольник 32852"/>
        <xdr:cNvSpPr/>
      </xdr:nvSpPr>
      <xdr:spPr>
        <a:xfrm>
          <a:off x="501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18</a:t>
          </a:r>
        </a:p>
      </xdr:txBody>
    </xdr:sp>
    <xdr:clientData/>
  </xdr:twoCellAnchor>
  <xdr:twoCellAnchor>
    <xdr:from>
      <xdr:col>8</xdr:col>
      <xdr:colOff>514350</xdr:colOff>
      <xdr:row>619</xdr:row>
      <xdr:rowOff>127000</xdr:rowOff>
    </xdr:from>
    <xdr:to>
      <xdr:col>8</xdr:col>
      <xdr:colOff>514350</xdr:colOff>
      <xdr:row>620</xdr:row>
      <xdr:rowOff>127000</xdr:rowOff>
    </xdr:to>
    <xdr:cxnSp macro="">
      <xdr:nvCxnSpPr>
        <xdr:cNvPr id="32854" name="Прямая со стрелкой 32853"/>
        <xdr:cNvCxnSpPr/>
      </xdr:nvCxnSpPr>
      <xdr:spPr>
        <a:xfrm flipV="1">
          <a:off x="485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831850</xdr:colOff>
      <xdr:row>619</xdr:row>
      <xdr:rowOff>127000</xdr:rowOff>
    </xdr:from>
    <xdr:to>
      <xdr:col>8</xdr:col>
      <xdr:colOff>831850</xdr:colOff>
      <xdr:row>620</xdr:row>
      <xdr:rowOff>127000</xdr:rowOff>
    </xdr:to>
    <xdr:cxnSp macro="">
      <xdr:nvCxnSpPr>
        <xdr:cNvPr id="32855" name="Прямая со стрелкой 32854"/>
        <xdr:cNvCxnSpPr/>
      </xdr:nvCxnSpPr>
      <xdr:spPr>
        <a:xfrm flipV="1">
          <a:off x="517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514350</xdr:colOff>
      <xdr:row>620</xdr:row>
      <xdr:rowOff>127000</xdr:rowOff>
    </xdr:from>
    <xdr:to>
      <xdr:col>8</xdr:col>
      <xdr:colOff>831850</xdr:colOff>
      <xdr:row>620</xdr:row>
      <xdr:rowOff>127000</xdr:rowOff>
    </xdr:to>
    <xdr:cxnSp macro="">
      <xdr:nvCxnSpPr>
        <xdr:cNvPr id="32856" name="Прямая со стрелкой 32855"/>
        <xdr:cNvCxnSpPr/>
      </xdr:nvCxnSpPr>
      <xdr:spPr>
        <a:xfrm>
          <a:off x="485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469900</xdr:colOff>
      <xdr:row>625</xdr:row>
      <xdr:rowOff>0</xdr:rowOff>
    </xdr:from>
    <xdr:to>
      <xdr:col>8</xdr:col>
      <xdr:colOff>876300</xdr:colOff>
      <xdr:row>629</xdr:row>
      <xdr:rowOff>127000</xdr:rowOff>
    </xdr:to>
    <xdr:sp macro="" textlink="">
      <xdr:nvSpPr>
        <xdr:cNvPr id="32857" name="Прямоугольник 32856"/>
        <xdr:cNvSpPr/>
      </xdr:nvSpPr>
      <xdr:spPr>
        <a:xfrm>
          <a:off x="481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469900</xdr:colOff>
      <xdr:row>625</xdr:row>
      <xdr:rowOff>0</xdr:rowOff>
    </xdr:from>
    <xdr:to>
      <xdr:col>8</xdr:col>
      <xdr:colOff>673100</xdr:colOff>
      <xdr:row>626</xdr:row>
      <xdr:rowOff>12700</xdr:rowOff>
    </xdr:to>
    <xdr:sp macro="" textlink="">
      <xdr:nvSpPr>
        <xdr:cNvPr id="32858" name="Прямоугольник 32857"/>
        <xdr:cNvSpPr/>
      </xdr:nvSpPr>
      <xdr:spPr>
        <a:xfrm>
          <a:off x="481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673100</xdr:colOff>
      <xdr:row>625</xdr:row>
      <xdr:rowOff>0</xdr:rowOff>
    </xdr:from>
    <xdr:to>
      <xdr:col>8</xdr:col>
      <xdr:colOff>876300</xdr:colOff>
      <xdr:row>626</xdr:row>
      <xdr:rowOff>12700</xdr:rowOff>
    </xdr:to>
    <xdr:sp macro="" textlink="">
      <xdr:nvSpPr>
        <xdr:cNvPr id="32859" name="Прямоугольник 32858"/>
        <xdr:cNvSpPr/>
      </xdr:nvSpPr>
      <xdr:spPr>
        <a:xfrm>
          <a:off x="501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8</xdr:col>
      <xdr:colOff>571500</xdr:colOff>
      <xdr:row>624</xdr:row>
      <xdr:rowOff>0</xdr:rowOff>
    </xdr:from>
    <xdr:to>
      <xdr:col>8</xdr:col>
      <xdr:colOff>571500</xdr:colOff>
      <xdr:row>625</xdr:row>
      <xdr:rowOff>0</xdr:rowOff>
    </xdr:to>
    <xdr:cxnSp macro="">
      <xdr:nvCxnSpPr>
        <xdr:cNvPr id="32860" name="Прямая со стрелкой 32859"/>
        <xdr:cNvCxnSpPr/>
      </xdr:nvCxnSpPr>
      <xdr:spPr>
        <a:xfrm flipV="1">
          <a:off x="491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774700</xdr:colOff>
      <xdr:row>624</xdr:row>
      <xdr:rowOff>0</xdr:rowOff>
    </xdr:from>
    <xdr:to>
      <xdr:col>8</xdr:col>
      <xdr:colOff>774700</xdr:colOff>
      <xdr:row>625</xdr:row>
      <xdr:rowOff>0</xdr:rowOff>
    </xdr:to>
    <xdr:cxnSp macro="">
      <xdr:nvCxnSpPr>
        <xdr:cNvPr id="32861" name="Прямая со стрелкой 32860"/>
        <xdr:cNvCxnSpPr/>
      </xdr:nvCxnSpPr>
      <xdr:spPr>
        <a:xfrm flipV="1">
          <a:off x="511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571500</xdr:colOff>
      <xdr:row>624</xdr:row>
      <xdr:rowOff>0</xdr:rowOff>
    </xdr:from>
    <xdr:to>
      <xdr:col>8</xdr:col>
      <xdr:colOff>774700</xdr:colOff>
      <xdr:row>624</xdr:row>
      <xdr:rowOff>0</xdr:rowOff>
    </xdr:to>
    <xdr:cxnSp macro="">
      <xdr:nvCxnSpPr>
        <xdr:cNvPr id="32862" name="Прямая со стрелкой 32861"/>
        <xdr:cNvCxnSpPr/>
      </xdr:nvCxnSpPr>
      <xdr:spPr>
        <a:xfrm>
          <a:off x="491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673100</xdr:colOff>
      <xdr:row>620</xdr:row>
      <xdr:rowOff>127000</xdr:rowOff>
    </xdr:from>
    <xdr:to>
      <xdr:col>8</xdr:col>
      <xdr:colOff>673100</xdr:colOff>
      <xdr:row>624</xdr:row>
      <xdr:rowOff>0</xdr:rowOff>
    </xdr:to>
    <xdr:cxnSp macro="">
      <xdr:nvCxnSpPr>
        <xdr:cNvPr id="32863" name="Прямая со стрелкой 32862"/>
        <xdr:cNvCxnSpPr/>
      </xdr:nvCxnSpPr>
      <xdr:spPr>
        <a:xfrm>
          <a:off x="501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426520</xdr:colOff>
      <xdr:row>620</xdr:row>
      <xdr:rowOff>114300</xdr:rowOff>
    </xdr:from>
    <xdr:ext cx="264560" cy="635000"/>
    <xdr:sp macro="" textlink="">
      <xdr:nvSpPr>
        <xdr:cNvPr id="32864" name="TextBox 32863"/>
        <xdr:cNvSpPr txBox="1"/>
      </xdr:nvSpPr>
      <xdr:spPr>
        <a:xfrm rot="16200000">
          <a:off x="458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66675</xdr:colOff>
      <xdr:row>611</xdr:row>
      <xdr:rowOff>127000</xdr:rowOff>
    </xdr:from>
    <xdr:to>
      <xdr:col>9</xdr:col>
      <xdr:colOff>384175</xdr:colOff>
      <xdr:row>619</xdr:row>
      <xdr:rowOff>127000</xdr:rowOff>
    </xdr:to>
    <xdr:sp macro="" textlink="">
      <xdr:nvSpPr>
        <xdr:cNvPr id="32865" name="Прямоугольник 32864"/>
        <xdr:cNvSpPr/>
      </xdr:nvSpPr>
      <xdr:spPr>
        <a:xfrm>
          <a:off x="533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19</a:t>
          </a:r>
        </a:p>
      </xdr:txBody>
    </xdr:sp>
    <xdr:clientData/>
  </xdr:twoCellAnchor>
  <xdr:twoCellAnchor>
    <xdr:from>
      <xdr:col>9</xdr:col>
      <xdr:colOff>384175</xdr:colOff>
      <xdr:row>611</xdr:row>
      <xdr:rowOff>127000</xdr:rowOff>
    </xdr:from>
    <xdr:to>
      <xdr:col>9</xdr:col>
      <xdr:colOff>701675</xdr:colOff>
      <xdr:row>619</xdr:row>
      <xdr:rowOff>127000</xdr:rowOff>
    </xdr:to>
    <xdr:sp macro="" textlink="">
      <xdr:nvSpPr>
        <xdr:cNvPr id="32866" name="Прямоугольник 32865"/>
        <xdr:cNvSpPr/>
      </xdr:nvSpPr>
      <xdr:spPr>
        <a:xfrm>
          <a:off x="565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20</a:t>
          </a:r>
        </a:p>
      </xdr:txBody>
    </xdr:sp>
    <xdr:clientData/>
  </xdr:twoCellAnchor>
  <xdr:twoCellAnchor>
    <xdr:from>
      <xdr:col>9</xdr:col>
      <xdr:colOff>225425</xdr:colOff>
      <xdr:row>619</xdr:row>
      <xdr:rowOff>127000</xdr:rowOff>
    </xdr:from>
    <xdr:to>
      <xdr:col>9</xdr:col>
      <xdr:colOff>225425</xdr:colOff>
      <xdr:row>620</xdr:row>
      <xdr:rowOff>127000</xdr:rowOff>
    </xdr:to>
    <xdr:cxnSp macro="">
      <xdr:nvCxnSpPr>
        <xdr:cNvPr id="32867" name="Прямая со стрелкой 32866"/>
        <xdr:cNvCxnSpPr/>
      </xdr:nvCxnSpPr>
      <xdr:spPr>
        <a:xfrm flipV="1">
          <a:off x="549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542925</xdr:colOff>
      <xdr:row>619</xdr:row>
      <xdr:rowOff>127000</xdr:rowOff>
    </xdr:from>
    <xdr:to>
      <xdr:col>9</xdr:col>
      <xdr:colOff>542925</xdr:colOff>
      <xdr:row>620</xdr:row>
      <xdr:rowOff>127000</xdr:rowOff>
    </xdr:to>
    <xdr:cxnSp macro="">
      <xdr:nvCxnSpPr>
        <xdr:cNvPr id="32868" name="Прямая со стрелкой 32867"/>
        <xdr:cNvCxnSpPr/>
      </xdr:nvCxnSpPr>
      <xdr:spPr>
        <a:xfrm flipV="1">
          <a:off x="581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225425</xdr:colOff>
      <xdr:row>620</xdr:row>
      <xdr:rowOff>127000</xdr:rowOff>
    </xdr:from>
    <xdr:to>
      <xdr:col>9</xdr:col>
      <xdr:colOff>542925</xdr:colOff>
      <xdr:row>620</xdr:row>
      <xdr:rowOff>127000</xdr:rowOff>
    </xdr:to>
    <xdr:cxnSp macro="">
      <xdr:nvCxnSpPr>
        <xdr:cNvPr id="32869" name="Прямая со стрелкой 32868"/>
        <xdr:cNvCxnSpPr/>
      </xdr:nvCxnSpPr>
      <xdr:spPr>
        <a:xfrm>
          <a:off x="549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625</xdr:row>
      <xdr:rowOff>0</xdr:rowOff>
    </xdr:from>
    <xdr:to>
      <xdr:col>9</xdr:col>
      <xdr:colOff>587375</xdr:colOff>
      <xdr:row>629</xdr:row>
      <xdr:rowOff>127000</xdr:rowOff>
    </xdr:to>
    <xdr:sp macro="" textlink="">
      <xdr:nvSpPr>
        <xdr:cNvPr id="32870" name="Прямоугольник 32869"/>
        <xdr:cNvSpPr/>
      </xdr:nvSpPr>
      <xdr:spPr>
        <a:xfrm>
          <a:off x="544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180975</xdr:colOff>
      <xdr:row>625</xdr:row>
      <xdr:rowOff>0</xdr:rowOff>
    </xdr:from>
    <xdr:to>
      <xdr:col>9</xdr:col>
      <xdr:colOff>384175</xdr:colOff>
      <xdr:row>626</xdr:row>
      <xdr:rowOff>12700</xdr:rowOff>
    </xdr:to>
    <xdr:sp macro="" textlink="">
      <xdr:nvSpPr>
        <xdr:cNvPr id="32871" name="Прямоугольник 32870"/>
        <xdr:cNvSpPr/>
      </xdr:nvSpPr>
      <xdr:spPr>
        <a:xfrm>
          <a:off x="544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384175</xdr:colOff>
      <xdr:row>625</xdr:row>
      <xdr:rowOff>0</xdr:rowOff>
    </xdr:from>
    <xdr:to>
      <xdr:col>9</xdr:col>
      <xdr:colOff>587375</xdr:colOff>
      <xdr:row>626</xdr:row>
      <xdr:rowOff>12700</xdr:rowOff>
    </xdr:to>
    <xdr:sp macro="" textlink="">
      <xdr:nvSpPr>
        <xdr:cNvPr id="32872" name="Прямоугольник 32871"/>
        <xdr:cNvSpPr/>
      </xdr:nvSpPr>
      <xdr:spPr>
        <a:xfrm>
          <a:off x="565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282575</xdr:colOff>
      <xdr:row>624</xdr:row>
      <xdr:rowOff>0</xdr:rowOff>
    </xdr:from>
    <xdr:to>
      <xdr:col>9</xdr:col>
      <xdr:colOff>282575</xdr:colOff>
      <xdr:row>625</xdr:row>
      <xdr:rowOff>0</xdr:rowOff>
    </xdr:to>
    <xdr:cxnSp macro="">
      <xdr:nvCxnSpPr>
        <xdr:cNvPr id="32873" name="Прямая со стрелкой 32872"/>
        <xdr:cNvCxnSpPr/>
      </xdr:nvCxnSpPr>
      <xdr:spPr>
        <a:xfrm flipV="1">
          <a:off x="554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485775</xdr:colOff>
      <xdr:row>624</xdr:row>
      <xdr:rowOff>0</xdr:rowOff>
    </xdr:from>
    <xdr:to>
      <xdr:col>9</xdr:col>
      <xdr:colOff>485775</xdr:colOff>
      <xdr:row>625</xdr:row>
      <xdr:rowOff>0</xdr:rowOff>
    </xdr:to>
    <xdr:cxnSp macro="">
      <xdr:nvCxnSpPr>
        <xdr:cNvPr id="32874" name="Прямая со стрелкой 32873"/>
        <xdr:cNvCxnSpPr/>
      </xdr:nvCxnSpPr>
      <xdr:spPr>
        <a:xfrm flipV="1">
          <a:off x="575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282575</xdr:colOff>
      <xdr:row>624</xdr:row>
      <xdr:rowOff>0</xdr:rowOff>
    </xdr:from>
    <xdr:to>
      <xdr:col>9</xdr:col>
      <xdr:colOff>485775</xdr:colOff>
      <xdr:row>624</xdr:row>
      <xdr:rowOff>0</xdr:rowOff>
    </xdr:to>
    <xdr:cxnSp macro="">
      <xdr:nvCxnSpPr>
        <xdr:cNvPr id="32875" name="Прямая со стрелкой 32874"/>
        <xdr:cNvCxnSpPr/>
      </xdr:nvCxnSpPr>
      <xdr:spPr>
        <a:xfrm>
          <a:off x="554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384175</xdr:colOff>
      <xdr:row>620</xdr:row>
      <xdr:rowOff>127000</xdr:rowOff>
    </xdr:from>
    <xdr:to>
      <xdr:col>9</xdr:col>
      <xdr:colOff>384175</xdr:colOff>
      <xdr:row>624</xdr:row>
      <xdr:rowOff>0</xdr:rowOff>
    </xdr:to>
    <xdr:cxnSp macro="">
      <xdr:nvCxnSpPr>
        <xdr:cNvPr id="32876" name="Прямая со стрелкой 32875"/>
        <xdr:cNvCxnSpPr/>
      </xdr:nvCxnSpPr>
      <xdr:spPr>
        <a:xfrm>
          <a:off x="565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9</xdr:col>
      <xdr:colOff>137595</xdr:colOff>
      <xdr:row>620</xdr:row>
      <xdr:rowOff>114300</xdr:rowOff>
    </xdr:from>
    <xdr:ext cx="264560" cy="635000"/>
    <xdr:sp macro="" textlink="">
      <xdr:nvSpPr>
        <xdr:cNvPr id="32877" name="TextBox 32876"/>
        <xdr:cNvSpPr txBox="1"/>
      </xdr:nvSpPr>
      <xdr:spPr>
        <a:xfrm rot="16200000">
          <a:off x="521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9</xdr:col>
      <xdr:colOff>701675</xdr:colOff>
      <xdr:row>611</xdr:row>
      <xdr:rowOff>127000</xdr:rowOff>
    </xdr:from>
    <xdr:to>
      <xdr:col>10</xdr:col>
      <xdr:colOff>304800</xdr:colOff>
      <xdr:row>619</xdr:row>
      <xdr:rowOff>127000</xdr:rowOff>
    </xdr:to>
    <xdr:sp macro="" textlink="">
      <xdr:nvSpPr>
        <xdr:cNvPr id="32878" name="Прямоугольник 32877"/>
        <xdr:cNvSpPr/>
      </xdr:nvSpPr>
      <xdr:spPr>
        <a:xfrm>
          <a:off x="596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21</a:t>
          </a:r>
        </a:p>
      </xdr:txBody>
    </xdr:sp>
    <xdr:clientData/>
  </xdr:twoCellAnchor>
  <xdr:twoCellAnchor>
    <xdr:from>
      <xdr:col>10</xdr:col>
      <xdr:colOff>304800</xdr:colOff>
      <xdr:row>611</xdr:row>
      <xdr:rowOff>127000</xdr:rowOff>
    </xdr:from>
    <xdr:to>
      <xdr:col>10</xdr:col>
      <xdr:colOff>622300</xdr:colOff>
      <xdr:row>619</xdr:row>
      <xdr:rowOff>127000</xdr:rowOff>
    </xdr:to>
    <xdr:sp macro="" textlink="">
      <xdr:nvSpPr>
        <xdr:cNvPr id="32879" name="Прямоугольник 32878"/>
        <xdr:cNvSpPr/>
      </xdr:nvSpPr>
      <xdr:spPr>
        <a:xfrm>
          <a:off x="628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22</a:t>
          </a:r>
        </a:p>
      </xdr:txBody>
    </xdr:sp>
    <xdr:clientData/>
  </xdr:twoCellAnchor>
  <xdr:twoCellAnchor>
    <xdr:from>
      <xdr:col>10</xdr:col>
      <xdr:colOff>146050</xdr:colOff>
      <xdr:row>619</xdr:row>
      <xdr:rowOff>127000</xdr:rowOff>
    </xdr:from>
    <xdr:to>
      <xdr:col>10</xdr:col>
      <xdr:colOff>146050</xdr:colOff>
      <xdr:row>620</xdr:row>
      <xdr:rowOff>127000</xdr:rowOff>
    </xdr:to>
    <xdr:cxnSp macro="">
      <xdr:nvCxnSpPr>
        <xdr:cNvPr id="32880" name="Прямая со стрелкой 32879"/>
        <xdr:cNvCxnSpPr/>
      </xdr:nvCxnSpPr>
      <xdr:spPr>
        <a:xfrm flipV="1">
          <a:off x="612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463550</xdr:colOff>
      <xdr:row>619</xdr:row>
      <xdr:rowOff>127000</xdr:rowOff>
    </xdr:from>
    <xdr:to>
      <xdr:col>10</xdr:col>
      <xdr:colOff>463550</xdr:colOff>
      <xdr:row>620</xdr:row>
      <xdr:rowOff>127000</xdr:rowOff>
    </xdr:to>
    <xdr:cxnSp macro="">
      <xdr:nvCxnSpPr>
        <xdr:cNvPr id="32881" name="Прямая со стрелкой 32880"/>
        <xdr:cNvCxnSpPr/>
      </xdr:nvCxnSpPr>
      <xdr:spPr>
        <a:xfrm flipV="1">
          <a:off x="644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146050</xdr:colOff>
      <xdr:row>620</xdr:row>
      <xdr:rowOff>127000</xdr:rowOff>
    </xdr:from>
    <xdr:to>
      <xdr:col>10</xdr:col>
      <xdr:colOff>463550</xdr:colOff>
      <xdr:row>620</xdr:row>
      <xdr:rowOff>127000</xdr:rowOff>
    </xdr:to>
    <xdr:cxnSp macro="">
      <xdr:nvCxnSpPr>
        <xdr:cNvPr id="32882" name="Прямая со стрелкой 32881"/>
        <xdr:cNvCxnSpPr/>
      </xdr:nvCxnSpPr>
      <xdr:spPr>
        <a:xfrm>
          <a:off x="612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101600</xdr:colOff>
      <xdr:row>625</xdr:row>
      <xdr:rowOff>0</xdr:rowOff>
    </xdr:from>
    <xdr:to>
      <xdr:col>10</xdr:col>
      <xdr:colOff>508000</xdr:colOff>
      <xdr:row>629</xdr:row>
      <xdr:rowOff>127000</xdr:rowOff>
    </xdr:to>
    <xdr:sp macro="" textlink="">
      <xdr:nvSpPr>
        <xdr:cNvPr id="32883" name="Прямоугольник 32882"/>
        <xdr:cNvSpPr/>
      </xdr:nvSpPr>
      <xdr:spPr>
        <a:xfrm>
          <a:off x="608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101600</xdr:colOff>
      <xdr:row>625</xdr:row>
      <xdr:rowOff>0</xdr:rowOff>
    </xdr:from>
    <xdr:to>
      <xdr:col>10</xdr:col>
      <xdr:colOff>304800</xdr:colOff>
      <xdr:row>626</xdr:row>
      <xdr:rowOff>12700</xdr:rowOff>
    </xdr:to>
    <xdr:sp macro="" textlink="">
      <xdr:nvSpPr>
        <xdr:cNvPr id="32884" name="Прямоугольник 32883"/>
        <xdr:cNvSpPr/>
      </xdr:nvSpPr>
      <xdr:spPr>
        <a:xfrm>
          <a:off x="608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304800</xdr:colOff>
      <xdr:row>625</xdr:row>
      <xdr:rowOff>0</xdr:rowOff>
    </xdr:from>
    <xdr:to>
      <xdr:col>10</xdr:col>
      <xdr:colOff>508000</xdr:colOff>
      <xdr:row>626</xdr:row>
      <xdr:rowOff>12700</xdr:rowOff>
    </xdr:to>
    <xdr:sp macro="" textlink="">
      <xdr:nvSpPr>
        <xdr:cNvPr id="32885" name="Прямоугольник 32884"/>
        <xdr:cNvSpPr/>
      </xdr:nvSpPr>
      <xdr:spPr>
        <a:xfrm>
          <a:off x="628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203200</xdr:colOff>
      <xdr:row>624</xdr:row>
      <xdr:rowOff>0</xdr:rowOff>
    </xdr:from>
    <xdr:to>
      <xdr:col>10</xdr:col>
      <xdr:colOff>203200</xdr:colOff>
      <xdr:row>625</xdr:row>
      <xdr:rowOff>0</xdr:rowOff>
    </xdr:to>
    <xdr:cxnSp macro="">
      <xdr:nvCxnSpPr>
        <xdr:cNvPr id="32886" name="Прямая со стрелкой 32885"/>
        <xdr:cNvCxnSpPr/>
      </xdr:nvCxnSpPr>
      <xdr:spPr>
        <a:xfrm flipV="1">
          <a:off x="618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406400</xdr:colOff>
      <xdr:row>624</xdr:row>
      <xdr:rowOff>0</xdr:rowOff>
    </xdr:from>
    <xdr:to>
      <xdr:col>10</xdr:col>
      <xdr:colOff>406400</xdr:colOff>
      <xdr:row>625</xdr:row>
      <xdr:rowOff>0</xdr:rowOff>
    </xdr:to>
    <xdr:cxnSp macro="">
      <xdr:nvCxnSpPr>
        <xdr:cNvPr id="32887" name="Прямая со стрелкой 32886"/>
        <xdr:cNvCxnSpPr/>
      </xdr:nvCxnSpPr>
      <xdr:spPr>
        <a:xfrm flipV="1">
          <a:off x="638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203200</xdr:colOff>
      <xdr:row>624</xdr:row>
      <xdr:rowOff>0</xdr:rowOff>
    </xdr:from>
    <xdr:to>
      <xdr:col>10</xdr:col>
      <xdr:colOff>406400</xdr:colOff>
      <xdr:row>624</xdr:row>
      <xdr:rowOff>0</xdr:rowOff>
    </xdr:to>
    <xdr:cxnSp macro="">
      <xdr:nvCxnSpPr>
        <xdr:cNvPr id="32888" name="Прямая со стрелкой 32887"/>
        <xdr:cNvCxnSpPr/>
      </xdr:nvCxnSpPr>
      <xdr:spPr>
        <a:xfrm>
          <a:off x="618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304800</xdr:colOff>
      <xdr:row>620</xdr:row>
      <xdr:rowOff>127000</xdr:rowOff>
    </xdr:from>
    <xdr:to>
      <xdr:col>10</xdr:col>
      <xdr:colOff>304800</xdr:colOff>
      <xdr:row>624</xdr:row>
      <xdr:rowOff>0</xdr:rowOff>
    </xdr:to>
    <xdr:cxnSp macro="">
      <xdr:nvCxnSpPr>
        <xdr:cNvPr id="32889" name="Прямая со стрелкой 32888"/>
        <xdr:cNvCxnSpPr/>
      </xdr:nvCxnSpPr>
      <xdr:spPr>
        <a:xfrm>
          <a:off x="628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58220</xdr:colOff>
      <xdr:row>620</xdr:row>
      <xdr:rowOff>114300</xdr:rowOff>
    </xdr:from>
    <xdr:ext cx="264560" cy="635000"/>
    <xdr:sp macro="" textlink="">
      <xdr:nvSpPr>
        <xdr:cNvPr id="32890" name="TextBox 32889"/>
        <xdr:cNvSpPr txBox="1"/>
      </xdr:nvSpPr>
      <xdr:spPr>
        <a:xfrm rot="16200000">
          <a:off x="585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10</xdr:col>
      <xdr:colOff>622300</xdr:colOff>
      <xdr:row>611</xdr:row>
      <xdr:rowOff>127000</xdr:rowOff>
    </xdr:from>
    <xdr:to>
      <xdr:col>11</xdr:col>
      <xdr:colOff>215900</xdr:colOff>
      <xdr:row>619</xdr:row>
      <xdr:rowOff>127000</xdr:rowOff>
    </xdr:to>
    <xdr:sp macro="" textlink="">
      <xdr:nvSpPr>
        <xdr:cNvPr id="32891" name="Прямоугольник 32890"/>
        <xdr:cNvSpPr/>
      </xdr:nvSpPr>
      <xdr:spPr>
        <a:xfrm>
          <a:off x="660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23</a:t>
          </a:r>
        </a:p>
      </xdr:txBody>
    </xdr:sp>
    <xdr:clientData/>
  </xdr:twoCellAnchor>
  <xdr:twoCellAnchor>
    <xdr:from>
      <xdr:col>11</xdr:col>
      <xdr:colOff>215900</xdr:colOff>
      <xdr:row>611</xdr:row>
      <xdr:rowOff>127000</xdr:rowOff>
    </xdr:from>
    <xdr:to>
      <xdr:col>12</xdr:col>
      <xdr:colOff>19050</xdr:colOff>
      <xdr:row>619</xdr:row>
      <xdr:rowOff>127000</xdr:rowOff>
    </xdr:to>
    <xdr:sp macro="" textlink="">
      <xdr:nvSpPr>
        <xdr:cNvPr id="32892" name="Прямоугольник 32891"/>
        <xdr:cNvSpPr/>
      </xdr:nvSpPr>
      <xdr:spPr>
        <a:xfrm>
          <a:off x="692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24</a:t>
          </a:r>
        </a:p>
      </xdr:txBody>
    </xdr:sp>
    <xdr:clientData/>
  </xdr:twoCellAnchor>
  <xdr:twoCellAnchor>
    <xdr:from>
      <xdr:col>11</xdr:col>
      <xdr:colOff>57150</xdr:colOff>
      <xdr:row>619</xdr:row>
      <xdr:rowOff>127000</xdr:rowOff>
    </xdr:from>
    <xdr:to>
      <xdr:col>11</xdr:col>
      <xdr:colOff>57150</xdr:colOff>
      <xdr:row>620</xdr:row>
      <xdr:rowOff>127000</xdr:rowOff>
    </xdr:to>
    <xdr:cxnSp macro="">
      <xdr:nvCxnSpPr>
        <xdr:cNvPr id="32893" name="Прямая со стрелкой 32892"/>
        <xdr:cNvCxnSpPr/>
      </xdr:nvCxnSpPr>
      <xdr:spPr>
        <a:xfrm flipV="1">
          <a:off x="676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374650</xdr:colOff>
      <xdr:row>619</xdr:row>
      <xdr:rowOff>127000</xdr:rowOff>
    </xdr:from>
    <xdr:to>
      <xdr:col>11</xdr:col>
      <xdr:colOff>374650</xdr:colOff>
      <xdr:row>620</xdr:row>
      <xdr:rowOff>127000</xdr:rowOff>
    </xdr:to>
    <xdr:cxnSp macro="">
      <xdr:nvCxnSpPr>
        <xdr:cNvPr id="32894" name="Прямая со стрелкой 32893"/>
        <xdr:cNvCxnSpPr/>
      </xdr:nvCxnSpPr>
      <xdr:spPr>
        <a:xfrm flipV="1">
          <a:off x="708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620</xdr:row>
      <xdr:rowOff>127000</xdr:rowOff>
    </xdr:from>
    <xdr:to>
      <xdr:col>11</xdr:col>
      <xdr:colOff>374650</xdr:colOff>
      <xdr:row>620</xdr:row>
      <xdr:rowOff>127000</xdr:rowOff>
    </xdr:to>
    <xdr:cxnSp macro="">
      <xdr:nvCxnSpPr>
        <xdr:cNvPr id="32895" name="Прямая со стрелкой 32894"/>
        <xdr:cNvCxnSpPr/>
      </xdr:nvCxnSpPr>
      <xdr:spPr>
        <a:xfrm>
          <a:off x="676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12700</xdr:colOff>
      <xdr:row>625</xdr:row>
      <xdr:rowOff>0</xdr:rowOff>
    </xdr:from>
    <xdr:to>
      <xdr:col>11</xdr:col>
      <xdr:colOff>419100</xdr:colOff>
      <xdr:row>629</xdr:row>
      <xdr:rowOff>127000</xdr:rowOff>
    </xdr:to>
    <xdr:sp macro="" textlink="">
      <xdr:nvSpPr>
        <xdr:cNvPr id="32896" name="Прямоугольник 32895"/>
        <xdr:cNvSpPr/>
      </xdr:nvSpPr>
      <xdr:spPr>
        <a:xfrm>
          <a:off x="671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TE4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12700</xdr:colOff>
      <xdr:row>625</xdr:row>
      <xdr:rowOff>0</xdr:rowOff>
    </xdr:from>
    <xdr:to>
      <xdr:col>11</xdr:col>
      <xdr:colOff>215900</xdr:colOff>
      <xdr:row>626</xdr:row>
      <xdr:rowOff>12700</xdr:rowOff>
    </xdr:to>
    <xdr:sp macro="" textlink="">
      <xdr:nvSpPr>
        <xdr:cNvPr id="32897" name="Прямоугольник 32896"/>
        <xdr:cNvSpPr/>
      </xdr:nvSpPr>
      <xdr:spPr>
        <a:xfrm>
          <a:off x="671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215900</xdr:colOff>
      <xdr:row>625</xdr:row>
      <xdr:rowOff>0</xdr:rowOff>
    </xdr:from>
    <xdr:to>
      <xdr:col>11</xdr:col>
      <xdr:colOff>419100</xdr:colOff>
      <xdr:row>626</xdr:row>
      <xdr:rowOff>12700</xdr:rowOff>
    </xdr:to>
    <xdr:sp macro="" textlink="">
      <xdr:nvSpPr>
        <xdr:cNvPr id="32898" name="Прямоугольник 32897"/>
        <xdr:cNvSpPr/>
      </xdr:nvSpPr>
      <xdr:spPr>
        <a:xfrm>
          <a:off x="692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114300</xdr:colOff>
      <xdr:row>624</xdr:row>
      <xdr:rowOff>0</xdr:rowOff>
    </xdr:from>
    <xdr:to>
      <xdr:col>11</xdr:col>
      <xdr:colOff>114300</xdr:colOff>
      <xdr:row>625</xdr:row>
      <xdr:rowOff>0</xdr:rowOff>
    </xdr:to>
    <xdr:cxnSp macro="">
      <xdr:nvCxnSpPr>
        <xdr:cNvPr id="32899" name="Прямая со стрелкой 32898"/>
        <xdr:cNvCxnSpPr/>
      </xdr:nvCxnSpPr>
      <xdr:spPr>
        <a:xfrm flipV="1">
          <a:off x="681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317500</xdr:colOff>
      <xdr:row>624</xdr:row>
      <xdr:rowOff>0</xdr:rowOff>
    </xdr:from>
    <xdr:to>
      <xdr:col>11</xdr:col>
      <xdr:colOff>317500</xdr:colOff>
      <xdr:row>625</xdr:row>
      <xdr:rowOff>0</xdr:rowOff>
    </xdr:to>
    <xdr:cxnSp macro="">
      <xdr:nvCxnSpPr>
        <xdr:cNvPr id="32900" name="Прямая со стрелкой 32899"/>
        <xdr:cNvCxnSpPr/>
      </xdr:nvCxnSpPr>
      <xdr:spPr>
        <a:xfrm flipV="1">
          <a:off x="702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624</xdr:row>
      <xdr:rowOff>0</xdr:rowOff>
    </xdr:from>
    <xdr:to>
      <xdr:col>11</xdr:col>
      <xdr:colOff>317500</xdr:colOff>
      <xdr:row>624</xdr:row>
      <xdr:rowOff>0</xdr:rowOff>
    </xdr:to>
    <xdr:cxnSp macro="">
      <xdr:nvCxnSpPr>
        <xdr:cNvPr id="32901" name="Прямая со стрелкой 32900"/>
        <xdr:cNvCxnSpPr/>
      </xdr:nvCxnSpPr>
      <xdr:spPr>
        <a:xfrm>
          <a:off x="681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215900</xdr:colOff>
      <xdr:row>620</xdr:row>
      <xdr:rowOff>127000</xdr:rowOff>
    </xdr:from>
    <xdr:to>
      <xdr:col>11</xdr:col>
      <xdr:colOff>215900</xdr:colOff>
      <xdr:row>624</xdr:row>
      <xdr:rowOff>0</xdr:rowOff>
    </xdr:to>
    <xdr:cxnSp macro="">
      <xdr:nvCxnSpPr>
        <xdr:cNvPr id="32902" name="Прямая со стрелкой 32901"/>
        <xdr:cNvCxnSpPr/>
      </xdr:nvCxnSpPr>
      <xdr:spPr>
        <a:xfrm>
          <a:off x="692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693220</xdr:colOff>
      <xdr:row>620</xdr:row>
      <xdr:rowOff>114300</xdr:rowOff>
    </xdr:from>
    <xdr:ext cx="264560" cy="635000"/>
    <xdr:sp macro="" textlink="">
      <xdr:nvSpPr>
        <xdr:cNvPr id="32903" name="TextBox 32902"/>
        <xdr:cNvSpPr txBox="1"/>
      </xdr:nvSpPr>
      <xdr:spPr>
        <a:xfrm rot="16200000">
          <a:off x="648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19050</xdr:colOff>
      <xdr:row>611</xdr:row>
      <xdr:rowOff>127000</xdr:rowOff>
    </xdr:from>
    <xdr:to>
      <xdr:col>12</xdr:col>
      <xdr:colOff>336550</xdr:colOff>
      <xdr:row>619</xdr:row>
      <xdr:rowOff>127000</xdr:rowOff>
    </xdr:to>
    <xdr:sp macro="" textlink="">
      <xdr:nvSpPr>
        <xdr:cNvPr id="32904" name="Прямоугольник 32903"/>
        <xdr:cNvSpPr/>
      </xdr:nvSpPr>
      <xdr:spPr>
        <a:xfrm>
          <a:off x="723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25</a:t>
          </a:r>
        </a:p>
      </xdr:txBody>
    </xdr:sp>
    <xdr:clientData/>
  </xdr:twoCellAnchor>
  <xdr:twoCellAnchor>
    <xdr:from>
      <xdr:col>12</xdr:col>
      <xdr:colOff>336550</xdr:colOff>
      <xdr:row>611</xdr:row>
      <xdr:rowOff>127000</xdr:rowOff>
    </xdr:from>
    <xdr:to>
      <xdr:col>12</xdr:col>
      <xdr:colOff>654050</xdr:colOff>
      <xdr:row>619</xdr:row>
      <xdr:rowOff>127000</xdr:rowOff>
    </xdr:to>
    <xdr:sp macro="" textlink="">
      <xdr:nvSpPr>
        <xdr:cNvPr id="32905" name="Прямоугольник 32904"/>
        <xdr:cNvSpPr/>
      </xdr:nvSpPr>
      <xdr:spPr>
        <a:xfrm>
          <a:off x="755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26</a:t>
          </a:r>
        </a:p>
      </xdr:txBody>
    </xdr:sp>
    <xdr:clientData/>
  </xdr:twoCellAnchor>
  <xdr:twoCellAnchor>
    <xdr:from>
      <xdr:col>12</xdr:col>
      <xdr:colOff>177800</xdr:colOff>
      <xdr:row>619</xdr:row>
      <xdr:rowOff>127000</xdr:rowOff>
    </xdr:from>
    <xdr:to>
      <xdr:col>12</xdr:col>
      <xdr:colOff>177800</xdr:colOff>
      <xdr:row>620</xdr:row>
      <xdr:rowOff>127000</xdr:rowOff>
    </xdr:to>
    <xdr:cxnSp macro="">
      <xdr:nvCxnSpPr>
        <xdr:cNvPr id="32906" name="Прямая со стрелкой 32905"/>
        <xdr:cNvCxnSpPr/>
      </xdr:nvCxnSpPr>
      <xdr:spPr>
        <a:xfrm flipV="1">
          <a:off x="739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495300</xdr:colOff>
      <xdr:row>619</xdr:row>
      <xdr:rowOff>127000</xdr:rowOff>
    </xdr:from>
    <xdr:to>
      <xdr:col>12</xdr:col>
      <xdr:colOff>495300</xdr:colOff>
      <xdr:row>620</xdr:row>
      <xdr:rowOff>127000</xdr:rowOff>
    </xdr:to>
    <xdr:cxnSp macro="">
      <xdr:nvCxnSpPr>
        <xdr:cNvPr id="32907" name="Прямая со стрелкой 32906"/>
        <xdr:cNvCxnSpPr/>
      </xdr:nvCxnSpPr>
      <xdr:spPr>
        <a:xfrm flipV="1">
          <a:off x="771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177800</xdr:colOff>
      <xdr:row>620</xdr:row>
      <xdr:rowOff>127000</xdr:rowOff>
    </xdr:from>
    <xdr:to>
      <xdr:col>12</xdr:col>
      <xdr:colOff>495300</xdr:colOff>
      <xdr:row>620</xdr:row>
      <xdr:rowOff>127000</xdr:rowOff>
    </xdr:to>
    <xdr:cxnSp macro="">
      <xdr:nvCxnSpPr>
        <xdr:cNvPr id="32908" name="Прямая со стрелкой 32907"/>
        <xdr:cNvCxnSpPr/>
      </xdr:nvCxnSpPr>
      <xdr:spPr>
        <a:xfrm>
          <a:off x="739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133350</xdr:colOff>
      <xdr:row>625</xdr:row>
      <xdr:rowOff>0</xdr:rowOff>
    </xdr:from>
    <xdr:to>
      <xdr:col>12</xdr:col>
      <xdr:colOff>539750</xdr:colOff>
      <xdr:row>629</xdr:row>
      <xdr:rowOff>127000</xdr:rowOff>
    </xdr:to>
    <xdr:sp macro="" textlink="">
      <xdr:nvSpPr>
        <xdr:cNvPr id="32909" name="Прямоугольник 32908"/>
        <xdr:cNvSpPr/>
      </xdr:nvSpPr>
      <xdr:spPr>
        <a:xfrm>
          <a:off x="735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TE5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133350</xdr:colOff>
      <xdr:row>625</xdr:row>
      <xdr:rowOff>0</xdr:rowOff>
    </xdr:from>
    <xdr:to>
      <xdr:col>12</xdr:col>
      <xdr:colOff>336550</xdr:colOff>
      <xdr:row>626</xdr:row>
      <xdr:rowOff>12700</xdr:rowOff>
    </xdr:to>
    <xdr:sp macro="" textlink="">
      <xdr:nvSpPr>
        <xdr:cNvPr id="32910" name="Прямоугольник 32909"/>
        <xdr:cNvSpPr/>
      </xdr:nvSpPr>
      <xdr:spPr>
        <a:xfrm>
          <a:off x="735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336550</xdr:colOff>
      <xdr:row>625</xdr:row>
      <xdr:rowOff>0</xdr:rowOff>
    </xdr:from>
    <xdr:to>
      <xdr:col>12</xdr:col>
      <xdr:colOff>539750</xdr:colOff>
      <xdr:row>626</xdr:row>
      <xdr:rowOff>12700</xdr:rowOff>
    </xdr:to>
    <xdr:sp macro="" textlink="">
      <xdr:nvSpPr>
        <xdr:cNvPr id="32911" name="Прямоугольник 32910"/>
        <xdr:cNvSpPr/>
      </xdr:nvSpPr>
      <xdr:spPr>
        <a:xfrm>
          <a:off x="755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234950</xdr:colOff>
      <xdr:row>624</xdr:row>
      <xdr:rowOff>0</xdr:rowOff>
    </xdr:from>
    <xdr:to>
      <xdr:col>12</xdr:col>
      <xdr:colOff>234950</xdr:colOff>
      <xdr:row>625</xdr:row>
      <xdr:rowOff>0</xdr:rowOff>
    </xdr:to>
    <xdr:cxnSp macro="">
      <xdr:nvCxnSpPr>
        <xdr:cNvPr id="32912" name="Прямая со стрелкой 32911"/>
        <xdr:cNvCxnSpPr/>
      </xdr:nvCxnSpPr>
      <xdr:spPr>
        <a:xfrm flipV="1">
          <a:off x="745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438150</xdr:colOff>
      <xdr:row>624</xdr:row>
      <xdr:rowOff>0</xdr:rowOff>
    </xdr:from>
    <xdr:to>
      <xdr:col>12</xdr:col>
      <xdr:colOff>438150</xdr:colOff>
      <xdr:row>625</xdr:row>
      <xdr:rowOff>0</xdr:rowOff>
    </xdr:to>
    <xdr:cxnSp macro="">
      <xdr:nvCxnSpPr>
        <xdr:cNvPr id="32913" name="Прямая со стрелкой 32912"/>
        <xdr:cNvCxnSpPr/>
      </xdr:nvCxnSpPr>
      <xdr:spPr>
        <a:xfrm flipV="1">
          <a:off x="765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234950</xdr:colOff>
      <xdr:row>624</xdr:row>
      <xdr:rowOff>0</xdr:rowOff>
    </xdr:from>
    <xdr:to>
      <xdr:col>12</xdr:col>
      <xdr:colOff>438150</xdr:colOff>
      <xdr:row>624</xdr:row>
      <xdr:rowOff>0</xdr:rowOff>
    </xdr:to>
    <xdr:cxnSp macro="">
      <xdr:nvCxnSpPr>
        <xdr:cNvPr id="32914" name="Прямая со стрелкой 32913"/>
        <xdr:cNvCxnSpPr/>
      </xdr:nvCxnSpPr>
      <xdr:spPr>
        <a:xfrm>
          <a:off x="745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336550</xdr:colOff>
      <xdr:row>620</xdr:row>
      <xdr:rowOff>127000</xdr:rowOff>
    </xdr:from>
    <xdr:to>
      <xdr:col>12</xdr:col>
      <xdr:colOff>336550</xdr:colOff>
      <xdr:row>624</xdr:row>
      <xdr:rowOff>0</xdr:rowOff>
    </xdr:to>
    <xdr:cxnSp macro="">
      <xdr:nvCxnSpPr>
        <xdr:cNvPr id="32915" name="Прямая со стрелкой 32914"/>
        <xdr:cNvCxnSpPr/>
      </xdr:nvCxnSpPr>
      <xdr:spPr>
        <a:xfrm>
          <a:off x="755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12</xdr:col>
      <xdr:colOff>89970</xdr:colOff>
      <xdr:row>620</xdr:row>
      <xdr:rowOff>114300</xdr:rowOff>
    </xdr:from>
    <xdr:ext cx="264560" cy="635000"/>
    <xdr:sp macro="" textlink="">
      <xdr:nvSpPr>
        <xdr:cNvPr id="32916" name="TextBox 32915"/>
        <xdr:cNvSpPr txBox="1"/>
      </xdr:nvSpPr>
      <xdr:spPr>
        <a:xfrm rot="16200000">
          <a:off x="712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12</xdr:col>
      <xdr:colOff>654050</xdr:colOff>
      <xdr:row>611</xdr:row>
      <xdr:rowOff>127000</xdr:rowOff>
    </xdr:from>
    <xdr:to>
      <xdr:col>13</xdr:col>
      <xdr:colOff>266700</xdr:colOff>
      <xdr:row>619</xdr:row>
      <xdr:rowOff>127000</xdr:rowOff>
    </xdr:to>
    <xdr:sp macro="" textlink="">
      <xdr:nvSpPr>
        <xdr:cNvPr id="32917" name="Прямоугольник 32916"/>
        <xdr:cNvSpPr/>
      </xdr:nvSpPr>
      <xdr:spPr>
        <a:xfrm>
          <a:off x="787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27</a:t>
          </a:r>
        </a:p>
      </xdr:txBody>
    </xdr:sp>
    <xdr:clientData/>
  </xdr:twoCellAnchor>
  <xdr:twoCellAnchor>
    <xdr:from>
      <xdr:col>13</xdr:col>
      <xdr:colOff>266700</xdr:colOff>
      <xdr:row>611</xdr:row>
      <xdr:rowOff>127000</xdr:rowOff>
    </xdr:from>
    <xdr:to>
      <xdr:col>13</xdr:col>
      <xdr:colOff>584200</xdr:colOff>
      <xdr:row>619</xdr:row>
      <xdr:rowOff>127000</xdr:rowOff>
    </xdr:to>
    <xdr:sp macro="" textlink="">
      <xdr:nvSpPr>
        <xdr:cNvPr id="32918" name="Прямоугольник 32917"/>
        <xdr:cNvSpPr/>
      </xdr:nvSpPr>
      <xdr:spPr>
        <a:xfrm>
          <a:off x="819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28</a:t>
          </a:r>
        </a:p>
      </xdr:txBody>
    </xdr:sp>
    <xdr:clientData/>
  </xdr:twoCellAnchor>
  <xdr:twoCellAnchor>
    <xdr:from>
      <xdr:col>13</xdr:col>
      <xdr:colOff>107950</xdr:colOff>
      <xdr:row>619</xdr:row>
      <xdr:rowOff>127000</xdr:rowOff>
    </xdr:from>
    <xdr:to>
      <xdr:col>13</xdr:col>
      <xdr:colOff>107950</xdr:colOff>
      <xdr:row>620</xdr:row>
      <xdr:rowOff>127000</xdr:rowOff>
    </xdr:to>
    <xdr:cxnSp macro="">
      <xdr:nvCxnSpPr>
        <xdr:cNvPr id="32919" name="Прямая со стрелкой 32918"/>
        <xdr:cNvCxnSpPr/>
      </xdr:nvCxnSpPr>
      <xdr:spPr>
        <a:xfrm flipV="1">
          <a:off x="803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425450</xdr:colOff>
      <xdr:row>619</xdr:row>
      <xdr:rowOff>127000</xdr:rowOff>
    </xdr:from>
    <xdr:to>
      <xdr:col>13</xdr:col>
      <xdr:colOff>425450</xdr:colOff>
      <xdr:row>620</xdr:row>
      <xdr:rowOff>127000</xdr:rowOff>
    </xdr:to>
    <xdr:cxnSp macro="">
      <xdr:nvCxnSpPr>
        <xdr:cNvPr id="32920" name="Прямая со стрелкой 32919"/>
        <xdr:cNvCxnSpPr/>
      </xdr:nvCxnSpPr>
      <xdr:spPr>
        <a:xfrm flipV="1">
          <a:off x="835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107950</xdr:colOff>
      <xdr:row>620</xdr:row>
      <xdr:rowOff>127000</xdr:rowOff>
    </xdr:from>
    <xdr:to>
      <xdr:col>13</xdr:col>
      <xdr:colOff>425450</xdr:colOff>
      <xdr:row>620</xdr:row>
      <xdr:rowOff>127000</xdr:rowOff>
    </xdr:to>
    <xdr:cxnSp macro="">
      <xdr:nvCxnSpPr>
        <xdr:cNvPr id="32921" name="Прямая со стрелкой 32920"/>
        <xdr:cNvCxnSpPr/>
      </xdr:nvCxnSpPr>
      <xdr:spPr>
        <a:xfrm>
          <a:off x="8032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63500</xdr:colOff>
      <xdr:row>625</xdr:row>
      <xdr:rowOff>0</xdr:rowOff>
    </xdr:from>
    <xdr:to>
      <xdr:col>13</xdr:col>
      <xdr:colOff>469900</xdr:colOff>
      <xdr:row>629</xdr:row>
      <xdr:rowOff>127000</xdr:rowOff>
    </xdr:to>
    <xdr:sp macro="" textlink="">
      <xdr:nvSpPr>
        <xdr:cNvPr id="32922" name="Прямоугольник 32921"/>
        <xdr:cNvSpPr/>
      </xdr:nvSpPr>
      <xdr:spPr>
        <a:xfrm>
          <a:off x="7988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TE6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63500</xdr:colOff>
      <xdr:row>625</xdr:row>
      <xdr:rowOff>0</xdr:rowOff>
    </xdr:from>
    <xdr:to>
      <xdr:col>13</xdr:col>
      <xdr:colOff>266700</xdr:colOff>
      <xdr:row>626</xdr:row>
      <xdr:rowOff>12700</xdr:rowOff>
    </xdr:to>
    <xdr:sp macro="" textlink="">
      <xdr:nvSpPr>
        <xdr:cNvPr id="32923" name="Прямоугольник 32922"/>
        <xdr:cNvSpPr/>
      </xdr:nvSpPr>
      <xdr:spPr>
        <a:xfrm>
          <a:off x="7988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266700</xdr:colOff>
      <xdr:row>625</xdr:row>
      <xdr:rowOff>0</xdr:rowOff>
    </xdr:from>
    <xdr:to>
      <xdr:col>13</xdr:col>
      <xdr:colOff>469900</xdr:colOff>
      <xdr:row>626</xdr:row>
      <xdr:rowOff>12700</xdr:rowOff>
    </xdr:to>
    <xdr:sp macro="" textlink="">
      <xdr:nvSpPr>
        <xdr:cNvPr id="32924" name="Прямоугольник 32923"/>
        <xdr:cNvSpPr/>
      </xdr:nvSpPr>
      <xdr:spPr>
        <a:xfrm>
          <a:off x="8191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165100</xdr:colOff>
      <xdr:row>624</xdr:row>
      <xdr:rowOff>0</xdr:rowOff>
    </xdr:from>
    <xdr:to>
      <xdr:col>13</xdr:col>
      <xdr:colOff>165100</xdr:colOff>
      <xdr:row>625</xdr:row>
      <xdr:rowOff>0</xdr:rowOff>
    </xdr:to>
    <xdr:cxnSp macro="">
      <xdr:nvCxnSpPr>
        <xdr:cNvPr id="32925" name="Прямая со стрелкой 32924"/>
        <xdr:cNvCxnSpPr/>
      </xdr:nvCxnSpPr>
      <xdr:spPr>
        <a:xfrm flipV="1">
          <a:off x="8089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368300</xdr:colOff>
      <xdr:row>624</xdr:row>
      <xdr:rowOff>0</xdr:rowOff>
    </xdr:from>
    <xdr:to>
      <xdr:col>13</xdr:col>
      <xdr:colOff>368300</xdr:colOff>
      <xdr:row>625</xdr:row>
      <xdr:rowOff>0</xdr:rowOff>
    </xdr:to>
    <xdr:cxnSp macro="">
      <xdr:nvCxnSpPr>
        <xdr:cNvPr id="32926" name="Прямая со стрелкой 32925"/>
        <xdr:cNvCxnSpPr/>
      </xdr:nvCxnSpPr>
      <xdr:spPr>
        <a:xfrm flipV="1">
          <a:off x="8293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165100</xdr:colOff>
      <xdr:row>624</xdr:row>
      <xdr:rowOff>0</xdr:rowOff>
    </xdr:from>
    <xdr:to>
      <xdr:col>13</xdr:col>
      <xdr:colOff>368300</xdr:colOff>
      <xdr:row>624</xdr:row>
      <xdr:rowOff>0</xdr:rowOff>
    </xdr:to>
    <xdr:cxnSp macro="">
      <xdr:nvCxnSpPr>
        <xdr:cNvPr id="32927" name="Прямая со стрелкой 32926"/>
        <xdr:cNvCxnSpPr/>
      </xdr:nvCxnSpPr>
      <xdr:spPr>
        <a:xfrm>
          <a:off x="8089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620</xdr:row>
      <xdr:rowOff>127000</xdr:rowOff>
    </xdr:from>
    <xdr:to>
      <xdr:col>13</xdr:col>
      <xdr:colOff>266700</xdr:colOff>
      <xdr:row>624</xdr:row>
      <xdr:rowOff>0</xdr:rowOff>
    </xdr:to>
    <xdr:cxnSp macro="">
      <xdr:nvCxnSpPr>
        <xdr:cNvPr id="32928" name="Прямая со стрелкой 32927"/>
        <xdr:cNvCxnSpPr/>
      </xdr:nvCxnSpPr>
      <xdr:spPr>
        <a:xfrm>
          <a:off x="8191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20120</xdr:colOff>
      <xdr:row>620</xdr:row>
      <xdr:rowOff>114300</xdr:rowOff>
    </xdr:from>
    <xdr:ext cx="264560" cy="635000"/>
    <xdr:sp macro="" textlink="">
      <xdr:nvSpPr>
        <xdr:cNvPr id="32929" name="TextBox 32928"/>
        <xdr:cNvSpPr txBox="1"/>
      </xdr:nvSpPr>
      <xdr:spPr>
        <a:xfrm rot="16200000">
          <a:off x="7759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584200</xdr:colOff>
      <xdr:row>611</xdr:row>
      <xdr:rowOff>127000</xdr:rowOff>
    </xdr:from>
    <xdr:to>
      <xdr:col>13</xdr:col>
      <xdr:colOff>901700</xdr:colOff>
      <xdr:row>619</xdr:row>
      <xdr:rowOff>127000</xdr:rowOff>
    </xdr:to>
    <xdr:sp macro="" textlink="">
      <xdr:nvSpPr>
        <xdr:cNvPr id="32930" name="Прямоугольник 32929"/>
        <xdr:cNvSpPr/>
      </xdr:nvSpPr>
      <xdr:spPr>
        <a:xfrm>
          <a:off x="850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29</a:t>
          </a:r>
        </a:p>
      </xdr:txBody>
    </xdr:sp>
    <xdr:clientData/>
  </xdr:twoCellAnchor>
  <xdr:twoCellAnchor>
    <xdr:from>
      <xdr:col>13</xdr:col>
      <xdr:colOff>901700</xdr:colOff>
      <xdr:row>611</xdr:row>
      <xdr:rowOff>127000</xdr:rowOff>
    </xdr:from>
    <xdr:to>
      <xdr:col>13</xdr:col>
      <xdr:colOff>1219200</xdr:colOff>
      <xdr:row>619</xdr:row>
      <xdr:rowOff>127000</xdr:rowOff>
    </xdr:to>
    <xdr:sp macro="" textlink="">
      <xdr:nvSpPr>
        <xdr:cNvPr id="32931" name="Прямоугольник 32930"/>
        <xdr:cNvSpPr/>
      </xdr:nvSpPr>
      <xdr:spPr>
        <a:xfrm>
          <a:off x="882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30</a:t>
          </a:r>
        </a:p>
      </xdr:txBody>
    </xdr:sp>
    <xdr:clientData/>
  </xdr:twoCellAnchor>
  <xdr:twoCellAnchor>
    <xdr:from>
      <xdr:col>13</xdr:col>
      <xdr:colOff>742950</xdr:colOff>
      <xdr:row>619</xdr:row>
      <xdr:rowOff>127000</xdr:rowOff>
    </xdr:from>
    <xdr:to>
      <xdr:col>13</xdr:col>
      <xdr:colOff>742950</xdr:colOff>
      <xdr:row>620</xdr:row>
      <xdr:rowOff>127000</xdr:rowOff>
    </xdr:to>
    <xdr:cxnSp macro="">
      <xdr:nvCxnSpPr>
        <xdr:cNvPr id="32932" name="Прямая со стрелкой 32931"/>
        <xdr:cNvCxnSpPr/>
      </xdr:nvCxnSpPr>
      <xdr:spPr>
        <a:xfrm flipV="1">
          <a:off x="866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1060450</xdr:colOff>
      <xdr:row>619</xdr:row>
      <xdr:rowOff>127000</xdr:rowOff>
    </xdr:from>
    <xdr:to>
      <xdr:col>13</xdr:col>
      <xdr:colOff>1060450</xdr:colOff>
      <xdr:row>620</xdr:row>
      <xdr:rowOff>127000</xdr:rowOff>
    </xdr:to>
    <xdr:cxnSp macro="">
      <xdr:nvCxnSpPr>
        <xdr:cNvPr id="32933" name="Прямая со стрелкой 32932"/>
        <xdr:cNvCxnSpPr/>
      </xdr:nvCxnSpPr>
      <xdr:spPr>
        <a:xfrm flipV="1">
          <a:off x="898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742950</xdr:colOff>
      <xdr:row>620</xdr:row>
      <xdr:rowOff>127000</xdr:rowOff>
    </xdr:from>
    <xdr:to>
      <xdr:col>13</xdr:col>
      <xdr:colOff>1060450</xdr:colOff>
      <xdr:row>620</xdr:row>
      <xdr:rowOff>127000</xdr:rowOff>
    </xdr:to>
    <xdr:cxnSp macro="">
      <xdr:nvCxnSpPr>
        <xdr:cNvPr id="32934" name="Прямая со стрелкой 32933"/>
        <xdr:cNvCxnSpPr/>
      </xdr:nvCxnSpPr>
      <xdr:spPr>
        <a:xfrm>
          <a:off x="86677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698500</xdr:colOff>
      <xdr:row>625</xdr:row>
      <xdr:rowOff>0</xdr:rowOff>
    </xdr:from>
    <xdr:to>
      <xdr:col>13</xdr:col>
      <xdr:colOff>1104900</xdr:colOff>
      <xdr:row>629</xdr:row>
      <xdr:rowOff>127000</xdr:rowOff>
    </xdr:to>
    <xdr:sp macro="" textlink="">
      <xdr:nvSpPr>
        <xdr:cNvPr id="32935" name="Прямоугольник 32934"/>
        <xdr:cNvSpPr/>
      </xdr:nvSpPr>
      <xdr:spPr>
        <a:xfrm>
          <a:off x="8623300" y="131445000"/>
          <a:ext cx="4064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TE7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698500</xdr:colOff>
      <xdr:row>625</xdr:row>
      <xdr:rowOff>0</xdr:rowOff>
    </xdr:from>
    <xdr:to>
      <xdr:col>13</xdr:col>
      <xdr:colOff>901700</xdr:colOff>
      <xdr:row>626</xdr:row>
      <xdr:rowOff>12700</xdr:rowOff>
    </xdr:to>
    <xdr:sp macro="" textlink="">
      <xdr:nvSpPr>
        <xdr:cNvPr id="32936" name="Прямоугольник 32935"/>
        <xdr:cNvSpPr/>
      </xdr:nvSpPr>
      <xdr:spPr>
        <a:xfrm>
          <a:off x="86233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901700</xdr:colOff>
      <xdr:row>625</xdr:row>
      <xdr:rowOff>0</xdr:rowOff>
    </xdr:from>
    <xdr:to>
      <xdr:col>13</xdr:col>
      <xdr:colOff>1104900</xdr:colOff>
      <xdr:row>626</xdr:row>
      <xdr:rowOff>12700</xdr:rowOff>
    </xdr:to>
    <xdr:sp macro="" textlink="">
      <xdr:nvSpPr>
        <xdr:cNvPr id="32937" name="Прямоугольник 32936"/>
        <xdr:cNvSpPr/>
      </xdr:nvSpPr>
      <xdr:spPr>
        <a:xfrm>
          <a:off x="882650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800100</xdr:colOff>
      <xdr:row>624</xdr:row>
      <xdr:rowOff>0</xdr:rowOff>
    </xdr:from>
    <xdr:to>
      <xdr:col>13</xdr:col>
      <xdr:colOff>800100</xdr:colOff>
      <xdr:row>625</xdr:row>
      <xdr:rowOff>0</xdr:rowOff>
    </xdr:to>
    <xdr:cxnSp macro="">
      <xdr:nvCxnSpPr>
        <xdr:cNvPr id="32938" name="Прямая со стрелкой 32937"/>
        <xdr:cNvCxnSpPr/>
      </xdr:nvCxnSpPr>
      <xdr:spPr>
        <a:xfrm flipV="1">
          <a:off x="87249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1003300</xdr:colOff>
      <xdr:row>624</xdr:row>
      <xdr:rowOff>0</xdr:rowOff>
    </xdr:from>
    <xdr:to>
      <xdr:col>13</xdr:col>
      <xdr:colOff>1003300</xdr:colOff>
      <xdr:row>625</xdr:row>
      <xdr:rowOff>0</xdr:rowOff>
    </xdr:to>
    <xdr:cxnSp macro="">
      <xdr:nvCxnSpPr>
        <xdr:cNvPr id="32939" name="Прямая со стрелкой 32938"/>
        <xdr:cNvCxnSpPr/>
      </xdr:nvCxnSpPr>
      <xdr:spPr>
        <a:xfrm flipV="1">
          <a:off x="892810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800100</xdr:colOff>
      <xdr:row>624</xdr:row>
      <xdr:rowOff>0</xdr:rowOff>
    </xdr:from>
    <xdr:to>
      <xdr:col>13</xdr:col>
      <xdr:colOff>1003300</xdr:colOff>
      <xdr:row>624</xdr:row>
      <xdr:rowOff>0</xdr:rowOff>
    </xdr:to>
    <xdr:cxnSp macro="">
      <xdr:nvCxnSpPr>
        <xdr:cNvPr id="32940" name="Прямая со стрелкой 32939"/>
        <xdr:cNvCxnSpPr/>
      </xdr:nvCxnSpPr>
      <xdr:spPr>
        <a:xfrm>
          <a:off x="8724900" y="131254500"/>
          <a:ext cx="2032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901700</xdr:colOff>
      <xdr:row>620</xdr:row>
      <xdr:rowOff>127000</xdr:rowOff>
    </xdr:from>
    <xdr:to>
      <xdr:col>13</xdr:col>
      <xdr:colOff>901700</xdr:colOff>
      <xdr:row>624</xdr:row>
      <xdr:rowOff>0</xdr:rowOff>
    </xdr:to>
    <xdr:cxnSp macro="">
      <xdr:nvCxnSpPr>
        <xdr:cNvPr id="32941" name="Прямая со стрелкой 32940"/>
        <xdr:cNvCxnSpPr/>
      </xdr:nvCxnSpPr>
      <xdr:spPr>
        <a:xfrm>
          <a:off x="882650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13</xdr:col>
      <xdr:colOff>655120</xdr:colOff>
      <xdr:row>620</xdr:row>
      <xdr:rowOff>114300</xdr:rowOff>
    </xdr:from>
    <xdr:ext cx="264560" cy="635000"/>
    <xdr:sp macro="" textlink="">
      <xdr:nvSpPr>
        <xdr:cNvPr id="32942" name="TextBox 32941"/>
        <xdr:cNvSpPr txBox="1"/>
      </xdr:nvSpPr>
      <xdr:spPr>
        <a:xfrm rot="16200000">
          <a:off x="839470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2x0,75</a:t>
          </a:r>
          <a:endParaRPr lang="ru-RU" sz="1100"/>
        </a:p>
      </xdr:txBody>
    </xdr:sp>
    <xdr:clientData/>
  </xdr:oneCellAnchor>
  <xdr:twoCellAnchor>
    <xdr:from>
      <xdr:col>13</xdr:col>
      <xdr:colOff>1219200</xdr:colOff>
      <xdr:row>611</xdr:row>
      <xdr:rowOff>127000</xdr:rowOff>
    </xdr:from>
    <xdr:to>
      <xdr:col>14</xdr:col>
      <xdr:colOff>136525</xdr:colOff>
      <xdr:row>619</xdr:row>
      <xdr:rowOff>127000</xdr:rowOff>
    </xdr:to>
    <xdr:sp macro="" textlink="">
      <xdr:nvSpPr>
        <xdr:cNvPr id="32943" name="Прямоугольник 32942"/>
        <xdr:cNvSpPr/>
      </xdr:nvSpPr>
      <xdr:spPr>
        <a:xfrm>
          <a:off x="914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31</a:t>
          </a:r>
        </a:p>
      </xdr:txBody>
    </xdr:sp>
    <xdr:clientData/>
  </xdr:twoCellAnchor>
  <xdr:twoCellAnchor>
    <xdr:from>
      <xdr:col>14</xdr:col>
      <xdr:colOff>136525</xdr:colOff>
      <xdr:row>611</xdr:row>
      <xdr:rowOff>127000</xdr:rowOff>
    </xdr:from>
    <xdr:to>
      <xdr:col>14</xdr:col>
      <xdr:colOff>454025</xdr:colOff>
      <xdr:row>619</xdr:row>
      <xdr:rowOff>127000</xdr:rowOff>
    </xdr:to>
    <xdr:sp macro="" textlink="">
      <xdr:nvSpPr>
        <xdr:cNvPr id="32944" name="Прямоугольник 32943"/>
        <xdr:cNvSpPr/>
      </xdr:nvSpPr>
      <xdr:spPr>
        <a:xfrm>
          <a:off x="9461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32</a:t>
          </a:r>
        </a:p>
      </xdr:txBody>
    </xdr:sp>
    <xdr:clientData/>
  </xdr:twoCellAnchor>
  <xdr:twoCellAnchor>
    <xdr:from>
      <xdr:col>14</xdr:col>
      <xdr:colOff>454025</xdr:colOff>
      <xdr:row>611</xdr:row>
      <xdr:rowOff>127000</xdr:rowOff>
    </xdr:from>
    <xdr:to>
      <xdr:col>14</xdr:col>
      <xdr:colOff>771525</xdr:colOff>
      <xdr:row>619</xdr:row>
      <xdr:rowOff>127000</xdr:rowOff>
    </xdr:to>
    <xdr:sp macro="" textlink="">
      <xdr:nvSpPr>
        <xdr:cNvPr id="32945" name="Прямоугольник 32944"/>
        <xdr:cNvSpPr/>
      </xdr:nvSpPr>
      <xdr:spPr>
        <a:xfrm>
          <a:off x="977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33</a:t>
          </a:r>
        </a:p>
      </xdr:txBody>
    </xdr:sp>
    <xdr:clientData/>
  </xdr:twoCellAnchor>
  <xdr:twoCellAnchor>
    <xdr:from>
      <xdr:col>14</xdr:col>
      <xdr:colOff>771525</xdr:colOff>
      <xdr:row>611</xdr:row>
      <xdr:rowOff>127000</xdr:rowOff>
    </xdr:from>
    <xdr:to>
      <xdr:col>14</xdr:col>
      <xdr:colOff>1089025</xdr:colOff>
      <xdr:row>619</xdr:row>
      <xdr:rowOff>127000</xdr:rowOff>
    </xdr:to>
    <xdr:sp macro="" textlink="">
      <xdr:nvSpPr>
        <xdr:cNvPr id="32946" name="Прямоугольник 32945"/>
        <xdr:cNvSpPr/>
      </xdr:nvSpPr>
      <xdr:spPr>
        <a:xfrm>
          <a:off x="1009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34</a:t>
          </a:r>
        </a:p>
      </xdr:txBody>
    </xdr:sp>
    <xdr:clientData/>
  </xdr:twoCellAnchor>
  <xdr:twoCellAnchor>
    <xdr:from>
      <xdr:col>14</xdr:col>
      <xdr:colOff>1089025</xdr:colOff>
      <xdr:row>611</xdr:row>
      <xdr:rowOff>127000</xdr:rowOff>
    </xdr:from>
    <xdr:to>
      <xdr:col>15</xdr:col>
      <xdr:colOff>177800</xdr:colOff>
      <xdr:row>619</xdr:row>
      <xdr:rowOff>127000</xdr:rowOff>
    </xdr:to>
    <xdr:sp macro="" textlink="">
      <xdr:nvSpPr>
        <xdr:cNvPr id="32947" name="Прямоугольник 32946"/>
        <xdr:cNvSpPr/>
      </xdr:nvSpPr>
      <xdr:spPr>
        <a:xfrm>
          <a:off x="10414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35</a:t>
          </a:r>
        </a:p>
      </xdr:txBody>
    </xdr:sp>
    <xdr:clientData/>
  </xdr:twoCellAnchor>
  <xdr:twoCellAnchor>
    <xdr:from>
      <xdr:col>15</xdr:col>
      <xdr:colOff>177800</xdr:colOff>
      <xdr:row>611</xdr:row>
      <xdr:rowOff>127000</xdr:rowOff>
    </xdr:from>
    <xdr:to>
      <xdr:col>15</xdr:col>
      <xdr:colOff>495300</xdr:colOff>
      <xdr:row>619</xdr:row>
      <xdr:rowOff>127000</xdr:rowOff>
    </xdr:to>
    <xdr:sp macro="" textlink="">
      <xdr:nvSpPr>
        <xdr:cNvPr id="32948" name="Прямоугольник 32947"/>
        <xdr:cNvSpPr/>
      </xdr:nvSpPr>
      <xdr:spPr>
        <a:xfrm>
          <a:off x="1073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36</a:t>
          </a:r>
        </a:p>
      </xdr:txBody>
    </xdr:sp>
    <xdr:clientData/>
  </xdr:twoCellAnchor>
  <xdr:twoCellAnchor>
    <xdr:from>
      <xdr:col>15</xdr:col>
      <xdr:colOff>495300</xdr:colOff>
      <xdr:row>611</xdr:row>
      <xdr:rowOff>127000</xdr:rowOff>
    </xdr:from>
    <xdr:to>
      <xdr:col>15</xdr:col>
      <xdr:colOff>812800</xdr:colOff>
      <xdr:row>619</xdr:row>
      <xdr:rowOff>127000</xdr:rowOff>
    </xdr:to>
    <xdr:sp macro="" textlink="">
      <xdr:nvSpPr>
        <xdr:cNvPr id="32949" name="Прямоугольник 32948"/>
        <xdr:cNvSpPr/>
      </xdr:nvSpPr>
      <xdr:spPr>
        <a:xfrm>
          <a:off x="1104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37</a:t>
          </a:r>
        </a:p>
      </xdr:txBody>
    </xdr:sp>
    <xdr:clientData/>
  </xdr:twoCellAnchor>
  <xdr:twoCellAnchor>
    <xdr:from>
      <xdr:col>15</xdr:col>
      <xdr:colOff>812800</xdr:colOff>
      <xdr:row>611</xdr:row>
      <xdr:rowOff>127000</xdr:rowOff>
    </xdr:from>
    <xdr:to>
      <xdr:col>15</xdr:col>
      <xdr:colOff>1130300</xdr:colOff>
      <xdr:row>619</xdr:row>
      <xdr:rowOff>127000</xdr:rowOff>
    </xdr:to>
    <xdr:sp macro="" textlink="">
      <xdr:nvSpPr>
        <xdr:cNvPr id="32950" name="Прямоугольник 32949"/>
        <xdr:cNvSpPr/>
      </xdr:nvSpPr>
      <xdr:spPr>
        <a:xfrm>
          <a:off x="11366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38</a:t>
          </a:r>
        </a:p>
      </xdr:txBody>
    </xdr:sp>
    <xdr:clientData/>
  </xdr:twoCellAnchor>
  <xdr:twoCellAnchor>
    <xdr:from>
      <xdr:col>15</xdr:col>
      <xdr:colOff>1130300</xdr:colOff>
      <xdr:row>611</xdr:row>
      <xdr:rowOff>127000</xdr:rowOff>
    </xdr:from>
    <xdr:to>
      <xdr:col>15</xdr:col>
      <xdr:colOff>1447800</xdr:colOff>
      <xdr:row>619</xdr:row>
      <xdr:rowOff>127000</xdr:rowOff>
    </xdr:to>
    <xdr:sp macro="" textlink="">
      <xdr:nvSpPr>
        <xdr:cNvPr id="32951" name="Прямоугольник 32950"/>
        <xdr:cNvSpPr/>
      </xdr:nvSpPr>
      <xdr:spPr>
        <a:xfrm>
          <a:off x="1168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39</a:t>
          </a:r>
        </a:p>
      </xdr:txBody>
    </xdr:sp>
    <xdr:clientData/>
  </xdr:twoCellAnchor>
  <xdr:twoCellAnchor>
    <xdr:from>
      <xdr:col>15</xdr:col>
      <xdr:colOff>1447800</xdr:colOff>
      <xdr:row>611</xdr:row>
      <xdr:rowOff>127000</xdr:rowOff>
    </xdr:from>
    <xdr:to>
      <xdr:col>16</xdr:col>
      <xdr:colOff>212725</xdr:colOff>
      <xdr:row>619</xdr:row>
      <xdr:rowOff>127000</xdr:rowOff>
    </xdr:to>
    <xdr:sp macro="" textlink="">
      <xdr:nvSpPr>
        <xdr:cNvPr id="32952" name="Прямоугольник 32951"/>
        <xdr:cNvSpPr/>
      </xdr:nvSpPr>
      <xdr:spPr>
        <a:xfrm>
          <a:off x="1200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40</a:t>
          </a:r>
        </a:p>
      </xdr:txBody>
    </xdr:sp>
    <xdr:clientData/>
  </xdr:twoCellAnchor>
  <xdr:twoCellAnchor>
    <xdr:from>
      <xdr:col>16</xdr:col>
      <xdr:colOff>212725</xdr:colOff>
      <xdr:row>611</xdr:row>
      <xdr:rowOff>127000</xdr:rowOff>
    </xdr:from>
    <xdr:to>
      <xdr:col>16</xdr:col>
      <xdr:colOff>530225</xdr:colOff>
      <xdr:row>619</xdr:row>
      <xdr:rowOff>127000</xdr:rowOff>
    </xdr:to>
    <xdr:sp macro="" textlink="">
      <xdr:nvSpPr>
        <xdr:cNvPr id="32953" name="Прямоугольник 32952"/>
        <xdr:cNvSpPr/>
      </xdr:nvSpPr>
      <xdr:spPr>
        <a:xfrm>
          <a:off x="12319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41</a:t>
          </a:r>
        </a:p>
      </xdr:txBody>
    </xdr:sp>
    <xdr:clientData/>
  </xdr:twoCellAnchor>
  <xdr:twoCellAnchor>
    <xdr:from>
      <xdr:col>16</xdr:col>
      <xdr:colOff>530225</xdr:colOff>
      <xdr:row>611</xdr:row>
      <xdr:rowOff>127000</xdr:rowOff>
    </xdr:from>
    <xdr:to>
      <xdr:col>16</xdr:col>
      <xdr:colOff>847725</xdr:colOff>
      <xdr:row>619</xdr:row>
      <xdr:rowOff>127000</xdr:rowOff>
    </xdr:to>
    <xdr:sp macro="" textlink="">
      <xdr:nvSpPr>
        <xdr:cNvPr id="32954" name="Прямоугольник 32953"/>
        <xdr:cNvSpPr/>
      </xdr:nvSpPr>
      <xdr:spPr>
        <a:xfrm>
          <a:off x="1263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42</a:t>
          </a:r>
        </a:p>
      </xdr:txBody>
    </xdr:sp>
    <xdr:clientData/>
  </xdr:twoCellAnchor>
  <xdr:twoCellAnchor>
    <xdr:from>
      <xdr:col>16</xdr:col>
      <xdr:colOff>847725</xdr:colOff>
      <xdr:row>611</xdr:row>
      <xdr:rowOff>127000</xdr:rowOff>
    </xdr:from>
    <xdr:to>
      <xdr:col>16</xdr:col>
      <xdr:colOff>1165225</xdr:colOff>
      <xdr:row>619</xdr:row>
      <xdr:rowOff>127000</xdr:rowOff>
    </xdr:to>
    <xdr:sp macro="" textlink="">
      <xdr:nvSpPr>
        <xdr:cNvPr id="32955" name="Прямоугольник 32954"/>
        <xdr:cNvSpPr/>
      </xdr:nvSpPr>
      <xdr:spPr>
        <a:xfrm>
          <a:off x="12954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43</a:t>
          </a:r>
        </a:p>
      </xdr:txBody>
    </xdr:sp>
    <xdr:clientData/>
  </xdr:twoCellAnchor>
  <xdr:twoCellAnchor>
    <xdr:from>
      <xdr:col>16</xdr:col>
      <xdr:colOff>1165225</xdr:colOff>
      <xdr:row>611</xdr:row>
      <xdr:rowOff>127000</xdr:rowOff>
    </xdr:from>
    <xdr:to>
      <xdr:col>16</xdr:col>
      <xdr:colOff>1482725</xdr:colOff>
      <xdr:row>619</xdr:row>
      <xdr:rowOff>127000</xdr:rowOff>
    </xdr:to>
    <xdr:sp macro="" textlink="">
      <xdr:nvSpPr>
        <xdr:cNvPr id="32956" name="Прямоугольник 32955"/>
        <xdr:cNvSpPr/>
      </xdr:nvSpPr>
      <xdr:spPr>
        <a:xfrm>
          <a:off x="132715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44</a:t>
          </a:r>
        </a:p>
      </xdr:txBody>
    </xdr:sp>
    <xdr:clientData/>
  </xdr:twoCellAnchor>
  <xdr:twoCellAnchor>
    <xdr:from>
      <xdr:col>16</xdr:col>
      <xdr:colOff>1482725</xdr:colOff>
      <xdr:row>611</xdr:row>
      <xdr:rowOff>127000</xdr:rowOff>
    </xdr:from>
    <xdr:to>
      <xdr:col>16</xdr:col>
      <xdr:colOff>1800225</xdr:colOff>
      <xdr:row>619</xdr:row>
      <xdr:rowOff>127000</xdr:rowOff>
    </xdr:to>
    <xdr:sp macro="" textlink="">
      <xdr:nvSpPr>
        <xdr:cNvPr id="32957" name="Прямоугольник 32956"/>
        <xdr:cNvSpPr/>
      </xdr:nvSpPr>
      <xdr:spPr>
        <a:xfrm>
          <a:off x="135890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45</a:t>
          </a:r>
        </a:p>
      </xdr:txBody>
    </xdr:sp>
    <xdr:clientData/>
  </xdr:twoCellAnchor>
  <xdr:twoCellAnchor>
    <xdr:from>
      <xdr:col>16</xdr:col>
      <xdr:colOff>1006475</xdr:colOff>
      <xdr:row>619</xdr:row>
      <xdr:rowOff>127000</xdr:rowOff>
    </xdr:from>
    <xdr:to>
      <xdr:col>16</xdr:col>
      <xdr:colOff>1006475</xdr:colOff>
      <xdr:row>620</xdr:row>
      <xdr:rowOff>127000</xdr:rowOff>
    </xdr:to>
    <xdr:cxnSp macro="">
      <xdr:nvCxnSpPr>
        <xdr:cNvPr id="32958" name="Прямая со стрелкой 32957"/>
        <xdr:cNvCxnSpPr/>
      </xdr:nvCxnSpPr>
      <xdr:spPr>
        <a:xfrm flipV="1">
          <a:off x="1311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619</xdr:row>
      <xdr:rowOff>127000</xdr:rowOff>
    </xdr:from>
    <xdr:to>
      <xdr:col>16</xdr:col>
      <xdr:colOff>1323975</xdr:colOff>
      <xdr:row>620</xdr:row>
      <xdr:rowOff>127000</xdr:rowOff>
    </xdr:to>
    <xdr:cxnSp macro="">
      <xdr:nvCxnSpPr>
        <xdr:cNvPr id="32959" name="Прямая со стрелкой 32958"/>
        <xdr:cNvCxnSpPr/>
      </xdr:nvCxnSpPr>
      <xdr:spPr>
        <a:xfrm flipV="1">
          <a:off x="13430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1641475</xdr:colOff>
      <xdr:row>619</xdr:row>
      <xdr:rowOff>127000</xdr:rowOff>
    </xdr:from>
    <xdr:to>
      <xdr:col>16</xdr:col>
      <xdr:colOff>1641475</xdr:colOff>
      <xdr:row>620</xdr:row>
      <xdr:rowOff>127000</xdr:rowOff>
    </xdr:to>
    <xdr:cxnSp macro="">
      <xdr:nvCxnSpPr>
        <xdr:cNvPr id="32960" name="Прямая со стрелкой 32959"/>
        <xdr:cNvCxnSpPr/>
      </xdr:nvCxnSpPr>
      <xdr:spPr>
        <a:xfrm flipV="1">
          <a:off x="13747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1006475</xdr:colOff>
      <xdr:row>620</xdr:row>
      <xdr:rowOff>127000</xdr:rowOff>
    </xdr:from>
    <xdr:to>
      <xdr:col>16</xdr:col>
      <xdr:colOff>1641475</xdr:colOff>
      <xdr:row>620</xdr:row>
      <xdr:rowOff>127000</xdr:rowOff>
    </xdr:to>
    <xdr:cxnSp macro="">
      <xdr:nvCxnSpPr>
        <xdr:cNvPr id="32961" name="Прямая со стрелкой 32960"/>
        <xdr:cNvCxnSpPr/>
      </xdr:nvCxnSpPr>
      <xdr:spPr>
        <a:xfrm>
          <a:off x="13112750" y="130619500"/>
          <a:ext cx="635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1019175</xdr:colOff>
      <xdr:row>625</xdr:row>
      <xdr:rowOff>0</xdr:rowOff>
    </xdr:from>
    <xdr:to>
      <xdr:col>16</xdr:col>
      <xdr:colOff>1628775</xdr:colOff>
      <xdr:row>629</xdr:row>
      <xdr:rowOff>127000</xdr:rowOff>
    </xdr:to>
    <xdr:sp macro="" textlink="">
      <xdr:nvSpPr>
        <xdr:cNvPr id="32962" name="Прямоугольник 32961"/>
        <xdr:cNvSpPr/>
      </xdr:nvSpPr>
      <xdr:spPr>
        <a:xfrm>
          <a:off x="13125450" y="1314450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1019175</xdr:colOff>
      <xdr:row>625</xdr:row>
      <xdr:rowOff>0</xdr:rowOff>
    </xdr:from>
    <xdr:to>
      <xdr:col>16</xdr:col>
      <xdr:colOff>1222375</xdr:colOff>
      <xdr:row>626</xdr:row>
      <xdr:rowOff>12700</xdr:rowOff>
    </xdr:to>
    <xdr:sp macro="" textlink="">
      <xdr:nvSpPr>
        <xdr:cNvPr id="32963" name="Прямоугольник 32962"/>
        <xdr:cNvSpPr/>
      </xdr:nvSpPr>
      <xdr:spPr>
        <a:xfrm>
          <a:off x="131254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1222375</xdr:colOff>
      <xdr:row>625</xdr:row>
      <xdr:rowOff>0</xdr:rowOff>
    </xdr:from>
    <xdr:to>
      <xdr:col>16</xdr:col>
      <xdr:colOff>1425575</xdr:colOff>
      <xdr:row>626</xdr:row>
      <xdr:rowOff>12700</xdr:rowOff>
    </xdr:to>
    <xdr:sp macro="" textlink="">
      <xdr:nvSpPr>
        <xdr:cNvPr id="32964" name="Прямоугольник 32963"/>
        <xdr:cNvSpPr/>
      </xdr:nvSpPr>
      <xdr:spPr>
        <a:xfrm>
          <a:off x="133286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1425575</xdr:colOff>
      <xdr:row>625</xdr:row>
      <xdr:rowOff>0</xdr:rowOff>
    </xdr:from>
    <xdr:to>
      <xdr:col>16</xdr:col>
      <xdr:colOff>1628775</xdr:colOff>
      <xdr:row>626</xdr:row>
      <xdr:rowOff>12700</xdr:rowOff>
    </xdr:to>
    <xdr:sp macro="" textlink="">
      <xdr:nvSpPr>
        <xdr:cNvPr id="32965" name="Прямоугольник 32964"/>
        <xdr:cNvSpPr/>
      </xdr:nvSpPr>
      <xdr:spPr>
        <a:xfrm>
          <a:off x="135318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1120775</xdr:colOff>
      <xdr:row>624</xdr:row>
      <xdr:rowOff>0</xdr:rowOff>
    </xdr:from>
    <xdr:to>
      <xdr:col>16</xdr:col>
      <xdr:colOff>1120775</xdr:colOff>
      <xdr:row>625</xdr:row>
      <xdr:rowOff>0</xdr:rowOff>
    </xdr:to>
    <xdr:cxnSp macro="">
      <xdr:nvCxnSpPr>
        <xdr:cNvPr id="32966" name="Прямая со стрелкой 32965"/>
        <xdr:cNvCxnSpPr/>
      </xdr:nvCxnSpPr>
      <xdr:spPr>
        <a:xfrm flipV="1">
          <a:off x="132270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624</xdr:row>
      <xdr:rowOff>0</xdr:rowOff>
    </xdr:from>
    <xdr:to>
      <xdr:col>16</xdr:col>
      <xdr:colOff>1323975</xdr:colOff>
      <xdr:row>625</xdr:row>
      <xdr:rowOff>0</xdr:rowOff>
    </xdr:to>
    <xdr:cxnSp macro="">
      <xdr:nvCxnSpPr>
        <xdr:cNvPr id="32967" name="Прямая со стрелкой 32966"/>
        <xdr:cNvCxnSpPr/>
      </xdr:nvCxnSpPr>
      <xdr:spPr>
        <a:xfrm flipV="1">
          <a:off x="134302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1527175</xdr:colOff>
      <xdr:row>624</xdr:row>
      <xdr:rowOff>0</xdr:rowOff>
    </xdr:from>
    <xdr:to>
      <xdr:col>16</xdr:col>
      <xdr:colOff>1527175</xdr:colOff>
      <xdr:row>625</xdr:row>
      <xdr:rowOff>0</xdr:rowOff>
    </xdr:to>
    <xdr:cxnSp macro="">
      <xdr:nvCxnSpPr>
        <xdr:cNvPr id="32968" name="Прямая со стрелкой 32967"/>
        <xdr:cNvCxnSpPr/>
      </xdr:nvCxnSpPr>
      <xdr:spPr>
        <a:xfrm flipV="1">
          <a:off x="136334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1120775</xdr:colOff>
      <xdr:row>624</xdr:row>
      <xdr:rowOff>0</xdr:rowOff>
    </xdr:from>
    <xdr:to>
      <xdr:col>16</xdr:col>
      <xdr:colOff>1527175</xdr:colOff>
      <xdr:row>624</xdr:row>
      <xdr:rowOff>0</xdr:rowOff>
    </xdr:to>
    <xdr:cxnSp macro="">
      <xdr:nvCxnSpPr>
        <xdr:cNvPr id="32969" name="Прямая со стрелкой 32968"/>
        <xdr:cNvCxnSpPr/>
      </xdr:nvCxnSpPr>
      <xdr:spPr>
        <a:xfrm>
          <a:off x="13227050" y="1312545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1323975</xdr:colOff>
      <xdr:row>620</xdr:row>
      <xdr:rowOff>127000</xdr:rowOff>
    </xdr:from>
    <xdr:to>
      <xdr:col>16</xdr:col>
      <xdr:colOff>1323975</xdr:colOff>
      <xdr:row>624</xdr:row>
      <xdr:rowOff>0</xdr:rowOff>
    </xdr:to>
    <xdr:cxnSp macro="">
      <xdr:nvCxnSpPr>
        <xdr:cNvPr id="32970" name="Прямая со стрелкой 32969"/>
        <xdr:cNvCxnSpPr/>
      </xdr:nvCxnSpPr>
      <xdr:spPr>
        <a:xfrm>
          <a:off x="1343025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1077395</xdr:colOff>
      <xdr:row>620</xdr:row>
      <xdr:rowOff>114300</xdr:rowOff>
    </xdr:from>
    <xdr:ext cx="264560" cy="635000"/>
    <xdr:sp macro="" textlink="">
      <xdr:nvSpPr>
        <xdr:cNvPr id="32971" name="TextBox 32970"/>
        <xdr:cNvSpPr txBox="1"/>
      </xdr:nvSpPr>
      <xdr:spPr>
        <a:xfrm rot="16200000">
          <a:off x="1299845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twoCellAnchor>
    <xdr:from>
      <xdr:col>16</xdr:col>
      <xdr:colOff>1800225</xdr:colOff>
      <xdr:row>611</xdr:row>
      <xdr:rowOff>127000</xdr:rowOff>
    </xdr:from>
    <xdr:to>
      <xdr:col>16</xdr:col>
      <xdr:colOff>2117725</xdr:colOff>
      <xdr:row>619</xdr:row>
      <xdr:rowOff>127000</xdr:rowOff>
    </xdr:to>
    <xdr:sp macro="" textlink="">
      <xdr:nvSpPr>
        <xdr:cNvPr id="32972" name="Прямоугольник 32971"/>
        <xdr:cNvSpPr/>
      </xdr:nvSpPr>
      <xdr:spPr>
        <a:xfrm>
          <a:off x="13906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46</a:t>
          </a:r>
        </a:p>
      </xdr:txBody>
    </xdr:sp>
    <xdr:clientData/>
  </xdr:twoCellAnchor>
  <xdr:twoCellAnchor>
    <xdr:from>
      <xdr:col>16</xdr:col>
      <xdr:colOff>2117725</xdr:colOff>
      <xdr:row>611</xdr:row>
      <xdr:rowOff>127000</xdr:rowOff>
    </xdr:from>
    <xdr:to>
      <xdr:col>17</xdr:col>
      <xdr:colOff>34925</xdr:colOff>
      <xdr:row>619</xdr:row>
      <xdr:rowOff>127000</xdr:rowOff>
    </xdr:to>
    <xdr:sp macro="" textlink="">
      <xdr:nvSpPr>
        <xdr:cNvPr id="32973" name="Прямоугольник 32972"/>
        <xdr:cNvSpPr/>
      </xdr:nvSpPr>
      <xdr:spPr>
        <a:xfrm>
          <a:off x="14224000" y="12890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47</a:t>
          </a:r>
        </a:p>
      </xdr:txBody>
    </xdr:sp>
    <xdr:clientData/>
  </xdr:twoCellAnchor>
  <xdr:twoCellAnchor>
    <xdr:from>
      <xdr:col>17</xdr:col>
      <xdr:colOff>34925</xdr:colOff>
      <xdr:row>611</xdr:row>
      <xdr:rowOff>127000</xdr:rowOff>
    </xdr:from>
    <xdr:to>
      <xdr:col>17</xdr:col>
      <xdr:colOff>352425</xdr:colOff>
      <xdr:row>619</xdr:row>
      <xdr:rowOff>127000</xdr:rowOff>
    </xdr:to>
    <xdr:sp macro="" textlink="">
      <xdr:nvSpPr>
        <xdr:cNvPr id="32974" name="Прямоугольник 32973"/>
        <xdr:cNvSpPr/>
      </xdr:nvSpPr>
      <xdr:spPr>
        <a:xfrm>
          <a:off x="14541500" y="12890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48</a:t>
          </a:r>
        </a:p>
      </xdr:txBody>
    </xdr:sp>
    <xdr:clientData/>
  </xdr:twoCellAnchor>
  <xdr:twoCellAnchor>
    <xdr:from>
      <xdr:col>16</xdr:col>
      <xdr:colOff>1958975</xdr:colOff>
      <xdr:row>619</xdr:row>
      <xdr:rowOff>127000</xdr:rowOff>
    </xdr:from>
    <xdr:to>
      <xdr:col>16</xdr:col>
      <xdr:colOff>1958975</xdr:colOff>
      <xdr:row>620</xdr:row>
      <xdr:rowOff>127000</xdr:rowOff>
    </xdr:to>
    <xdr:cxnSp macro="">
      <xdr:nvCxnSpPr>
        <xdr:cNvPr id="32975" name="Прямая со стрелкой 32974"/>
        <xdr:cNvCxnSpPr/>
      </xdr:nvCxnSpPr>
      <xdr:spPr>
        <a:xfrm flipV="1">
          <a:off x="140652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619</xdr:row>
      <xdr:rowOff>127000</xdr:rowOff>
    </xdr:from>
    <xdr:to>
      <xdr:col>16</xdr:col>
      <xdr:colOff>2276475</xdr:colOff>
      <xdr:row>620</xdr:row>
      <xdr:rowOff>127000</xdr:rowOff>
    </xdr:to>
    <xdr:cxnSp macro="">
      <xdr:nvCxnSpPr>
        <xdr:cNvPr id="32976" name="Прямая со стрелкой 32975"/>
        <xdr:cNvCxnSpPr/>
      </xdr:nvCxnSpPr>
      <xdr:spPr>
        <a:xfrm flipV="1">
          <a:off x="14382750" y="1304290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1958975</xdr:colOff>
      <xdr:row>620</xdr:row>
      <xdr:rowOff>127000</xdr:rowOff>
    </xdr:from>
    <xdr:to>
      <xdr:col>16</xdr:col>
      <xdr:colOff>2276475</xdr:colOff>
      <xdr:row>620</xdr:row>
      <xdr:rowOff>127000</xdr:rowOff>
    </xdr:to>
    <xdr:cxnSp macro="">
      <xdr:nvCxnSpPr>
        <xdr:cNvPr id="32977" name="Прямая со стрелкой 32976"/>
        <xdr:cNvCxnSpPr/>
      </xdr:nvCxnSpPr>
      <xdr:spPr>
        <a:xfrm>
          <a:off x="14065250" y="130619500"/>
          <a:ext cx="317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1971675</xdr:colOff>
      <xdr:row>625</xdr:row>
      <xdr:rowOff>0</xdr:rowOff>
    </xdr:from>
    <xdr:to>
      <xdr:col>17</xdr:col>
      <xdr:colOff>180975</xdr:colOff>
      <xdr:row>629</xdr:row>
      <xdr:rowOff>127000</xdr:rowOff>
    </xdr:to>
    <xdr:sp macro="" textlink="">
      <xdr:nvSpPr>
        <xdr:cNvPr id="32978" name="Прямоугольник 32977"/>
        <xdr:cNvSpPr/>
      </xdr:nvSpPr>
      <xdr:spPr>
        <a:xfrm>
          <a:off x="14077950" y="131445000"/>
          <a:ext cx="609600" cy="889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Y2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1971675</xdr:colOff>
      <xdr:row>625</xdr:row>
      <xdr:rowOff>0</xdr:rowOff>
    </xdr:from>
    <xdr:to>
      <xdr:col>16</xdr:col>
      <xdr:colOff>2174875</xdr:colOff>
      <xdr:row>626</xdr:row>
      <xdr:rowOff>12700</xdr:rowOff>
    </xdr:to>
    <xdr:sp macro="" textlink="">
      <xdr:nvSpPr>
        <xdr:cNvPr id="32979" name="Прямоугольник 32978"/>
        <xdr:cNvSpPr/>
      </xdr:nvSpPr>
      <xdr:spPr>
        <a:xfrm>
          <a:off x="140779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L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2174875</xdr:colOff>
      <xdr:row>625</xdr:row>
      <xdr:rowOff>0</xdr:rowOff>
    </xdr:from>
    <xdr:to>
      <xdr:col>16</xdr:col>
      <xdr:colOff>2378075</xdr:colOff>
      <xdr:row>626</xdr:row>
      <xdr:rowOff>12700</xdr:rowOff>
    </xdr:to>
    <xdr:sp macro="" textlink="">
      <xdr:nvSpPr>
        <xdr:cNvPr id="32980" name="Прямоугольник 32979"/>
        <xdr:cNvSpPr/>
      </xdr:nvSpPr>
      <xdr:spPr>
        <a:xfrm>
          <a:off x="142811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N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2378075</xdr:colOff>
      <xdr:row>625</xdr:row>
      <xdr:rowOff>0</xdr:rowOff>
    </xdr:from>
    <xdr:to>
      <xdr:col>17</xdr:col>
      <xdr:colOff>180975</xdr:colOff>
      <xdr:row>626</xdr:row>
      <xdr:rowOff>12700</xdr:rowOff>
    </xdr:to>
    <xdr:sp macro="" textlink="">
      <xdr:nvSpPr>
        <xdr:cNvPr id="32981" name="Прямоугольник 32980"/>
        <xdr:cNvSpPr/>
      </xdr:nvSpPr>
      <xdr:spPr>
        <a:xfrm>
          <a:off x="14484350" y="131445000"/>
          <a:ext cx="203200" cy="2032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Y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16</xdr:col>
      <xdr:colOff>2073275</xdr:colOff>
      <xdr:row>624</xdr:row>
      <xdr:rowOff>0</xdr:rowOff>
    </xdr:from>
    <xdr:to>
      <xdr:col>16</xdr:col>
      <xdr:colOff>2073275</xdr:colOff>
      <xdr:row>625</xdr:row>
      <xdr:rowOff>0</xdr:rowOff>
    </xdr:to>
    <xdr:cxnSp macro="">
      <xdr:nvCxnSpPr>
        <xdr:cNvPr id="32982" name="Прямая со стрелкой 32981"/>
        <xdr:cNvCxnSpPr/>
      </xdr:nvCxnSpPr>
      <xdr:spPr>
        <a:xfrm flipV="1">
          <a:off x="141795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624</xdr:row>
      <xdr:rowOff>0</xdr:rowOff>
    </xdr:from>
    <xdr:to>
      <xdr:col>16</xdr:col>
      <xdr:colOff>2276475</xdr:colOff>
      <xdr:row>625</xdr:row>
      <xdr:rowOff>0</xdr:rowOff>
    </xdr:to>
    <xdr:cxnSp macro="">
      <xdr:nvCxnSpPr>
        <xdr:cNvPr id="32983" name="Прямая со стрелкой 32982"/>
        <xdr:cNvCxnSpPr/>
      </xdr:nvCxnSpPr>
      <xdr:spPr>
        <a:xfrm flipV="1">
          <a:off x="143827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79375</xdr:colOff>
      <xdr:row>624</xdr:row>
      <xdr:rowOff>0</xdr:rowOff>
    </xdr:from>
    <xdr:to>
      <xdr:col>17</xdr:col>
      <xdr:colOff>79375</xdr:colOff>
      <xdr:row>625</xdr:row>
      <xdr:rowOff>0</xdr:rowOff>
    </xdr:to>
    <xdr:cxnSp macro="">
      <xdr:nvCxnSpPr>
        <xdr:cNvPr id="32984" name="Прямая со стрелкой 32983"/>
        <xdr:cNvCxnSpPr/>
      </xdr:nvCxnSpPr>
      <xdr:spPr>
        <a:xfrm flipV="1">
          <a:off x="14585950" y="131254500"/>
          <a:ext cx="0" cy="1905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2073275</xdr:colOff>
      <xdr:row>624</xdr:row>
      <xdr:rowOff>0</xdr:rowOff>
    </xdr:from>
    <xdr:to>
      <xdr:col>17</xdr:col>
      <xdr:colOff>79375</xdr:colOff>
      <xdr:row>624</xdr:row>
      <xdr:rowOff>0</xdr:rowOff>
    </xdr:to>
    <xdr:cxnSp macro="">
      <xdr:nvCxnSpPr>
        <xdr:cNvPr id="32985" name="Прямая со стрелкой 32984"/>
        <xdr:cNvCxnSpPr/>
      </xdr:nvCxnSpPr>
      <xdr:spPr>
        <a:xfrm>
          <a:off x="14179550" y="131254500"/>
          <a:ext cx="4064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2276475</xdr:colOff>
      <xdr:row>620</xdr:row>
      <xdr:rowOff>127000</xdr:rowOff>
    </xdr:from>
    <xdr:to>
      <xdr:col>16</xdr:col>
      <xdr:colOff>2276475</xdr:colOff>
      <xdr:row>624</xdr:row>
      <xdr:rowOff>0</xdr:rowOff>
    </xdr:to>
    <xdr:cxnSp macro="">
      <xdr:nvCxnSpPr>
        <xdr:cNvPr id="32986" name="Прямая со стрелкой 32985"/>
        <xdr:cNvCxnSpPr/>
      </xdr:nvCxnSpPr>
      <xdr:spPr>
        <a:xfrm>
          <a:off x="14382750" y="1306195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16</xdr:col>
      <xdr:colOff>2029895</xdr:colOff>
      <xdr:row>620</xdr:row>
      <xdr:rowOff>114300</xdr:rowOff>
    </xdr:from>
    <xdr:ext cx="264560" cy="635000"/>
    <xdr:sp macro="" textlink="">
      <xdr:nvSpPr>
        <xdr:cNvPr id="32987" name="TextBox 32986"/>
        <xdr:cNvSpPr txBox="1"/>
      </xdr:nvSpPr>
      <xdr:spPr>
        <a:xfrm rot="16200000">
          <a:off x="13950950" y="130792020"/>
          <a:ext cx="63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pPr algn="r"/>
          <a:r>
            <a:rPr lang="en-US" sz="1100"/>
            <a:t>3x0,75</a:t>
          </a:r>
          <a:endParaRPr lang="ru-RU" sz="1100"/>
        </a:p>
      </xdr:txBody>
    </xdr:sp>
    <xdr:clientData/>
  </xdr:oneCellAnchor>
  <xdr:oneCellAnchor>
    <xdr:from>
      <xdr:col>3</xdr:col>
      <xdr:colOff>469900</xdr:colOff>
      <xdr:row>641</xdr:row>
      <xdr:rowOff>0</xdr:rowOff>
    </xdr:from>
    <xdr:ext cx="6985000" cy="264560"/>
    <xdr:sp macro="" textlink="">
      <xdr:nvSpPr>
        <xdr:cNvPr id="32988" name="TextBox 32987"/>
        <xdr:cNvSpPr txBox="1"/>
      </xdr:nvSpPr>
      <xdr:spPr>
        <a:xfrm>
          <a:off x="1270000" y="13449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TS1 - </a:t>
          </a:r>
          <a:r>
            <a:rPr lang="ru-RU" sz="1100"/>
            <a:t>Капиллярный термостат</a:t>
          </a:r>
        </a:p>
      </xdr:txBody>
    </xdr:sp>
    <xdr:clientData/>
  </xdr:oneCellAnchor>
  <xdr:oneCellAnchor>
    <xdr:from>
      <xdr:col>3</xdr:col>
      <xdr:colOff>469900</xdr:colOff>
      <xdr:row>642</xdr:row>
      <xdr:rowOff>63500</xdr:rowOff>
    </xdr:from>
    <xdr:ext cx="6985000" cy="264560"/>
    <xdr:sp macro="" textlink="">
      <xdr:nvSpPr>
        <xdr:cNvPr id="32989" name="TextBox 32988"/>
        <xdr:cNvSpPr txBox="1"/>
      </xdr:nvSpPr>
      <xdr:spPr>
        <a:xfrm>
          <a:off x="1270000" y="13474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TS2 - </a:t>
          </a:r>
          <a:r>
            <a:rPr lang="ru-RU" sz="1100"/>
            <a:t>Термостат электронагревателя</a:t>
          </a:r>
        </a:p>
      </xdr:txBody>
    </xdr:sp>
    <xdr:clientData/>
  </xdr:oneCellAnchor>
  <xdr:oneCellAnchor>
    <xdr:from>
      <xdr:col>3</xdr:col>
      <xdr:colOff>469900</xdr:colOff>
      <xdr:row>643</xdr:row>
      <xdr:rowOff>127000</xdr:rowOff>
    </xdr:from>
    <xdr:ext cx="6985000" cy="264560"/>
    <xdr:sp macro="" textlink="">
      <xdr:nvSpPr>
        <xdr:cNvPr id="32990" name="TextBox 32989"/>
        <xdr:cNvSpPr txBox="1"/>
      </xdr:nvSpPr>
      <xdr:spPr>
        <a:xfrm>
          <a:off x="1270000" y="13500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FS - </a:t>
          </a:r>
          <a:r>
            <a:rPr lang="ru-RU" sz="1100"/>
            <a:t>Пожарная сигнализация</a:t>
          </a:r>
        </a:p>
      </xdr:txBody>
    </xdr:sp>
    <xdr:clientData/>
  </xdr:oneCellAnchor>
  <xdr:oneCellAnchor>
    <xdr:from>
      <xdr:col>3</xdr:col>
      <xdr:colOff>469900</xdr:colOff>
      <xdr:row>645</xdr:row>
      <xdr:rowOff>0</xdr:rowOff>
    </xdr:from>
    <xdr:ext cx="6985000" cy="264560"/>
    <xdr:sp macro="" textlink="">
      <xdr:nvSpPr>
        <xdr:cNvPr id="32991" name="TextBox 32990"/>
        <xdr:cNvSpPr txBox="1"/>
      </xdr:nvSpPr>
      <xdr:spPr>
        <a:xfrm>
          <a:off x="1270000" y="13525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TE1 - </a:t>
          </a:r>
          <a:r>
            <a:rPr lang="ru-RU" sz="1100"/>
            <a:t>Канальный датчик температуры №1</a:t>
          </a:r>
        </a:p>
      </xdr:txBody>
    </xdr:sp>
    <xdr:clientData/>
  </xdr:oneCellAnchor>
  <xdr:oneCellAnchor>
    <xdr:from>
      <xdr:col>3</xdr:col>
      <xdr:colOff>469900</xdr:colOff>
      <xdr:row>646</xdr:row>
      <xdr:rowOff>63500</xdr:rowOff>
    </xdr:from>
    <xdr:ext cx="6985000" cy="264560"/>
    <xdr:sp macro="" textlink="">
      <xdr:nvSpPr>
        <xdr:cNvPr id="32992" name="TextBox 32991"/>
        <xdr:cNvSpPr txBox="1"/>
      </xdr:nvSpPr>
      <xdr:spPr>
        <a:xfrm>
          <a:off x="1270000" y="135509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TE2 - </a:t>
          </a:r>
          <a:r>
            <a:rPr lang="ru-RU" sz="1100"/>
            <a:t>Канальный датчик температуры №2</a:t>
          </a:r>
        </a:p>
      </xdr:txBody>
    </xdr:sp>
    <xdr:clientData/>
  </xdr:oneCellAnchor>
  <xdr:oneCellAnchor>
    <xdr:from>
      <xdr:col>3</xdr:col>
      <xdr:colOff>469900</xdr:colOff>
      <xdr:row>647</xdr:row>
      <xdr:rowOff>127000</xdr:rowOff>
    </xdr:from>
    <xdr:ext cx="6985000" cy="264560"/>
    <xdr:sp macro="" textlink="">
      <xdr:nvSpPr>
        <xdr:cNvPr id="32993" name="TextBox 32992"/>
        <xdr:cNvSpPr txBox="1"/>
      </xdr:nvSpPr>
      <xdr:spPr>
        <a:xfrm>
          <a:off x="1270000" y="135763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TE3 - </a:t>
          </a:r>
          <a:r>
            <a:rPr lang="ru-RU" sz="1100"/>
            <a:t>Канальный датчик температуры №3</a:t>
          </a:r>
        </a:p>
      </xdr:txBody>
    </xdr:sp>
    <xdr:clientData/>
  </xdr:oneCellAnchor>
  <xdr:oneCellAnchor>
    <xdr:from>
      <xdr:col>3</xdr:col>
      <xdr:colOff>469900</xdr:colOff>
      <xdr:row>649</xdr:row>
      <xdr:rowOff>0</xdr:rowOff>
    </xdr:from>
    <xdr:ext cx="6985000" cy="264560"/>
    <xdr:sp macro="" textlink="">
      <xdr:nvSpPr>
        <xdr:cNvPr id="32994" name="TextBox 32993"/>
        <xdr:cNvSpPr txBox="1"/>
      </xdr:nvSpPr>
      <xdr:spPr>
        <a:xfrm>
          <a:off x="1270000" y="136017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TE4 - </a:t>
          </a:r>
          <a:r>
            <a:rPr lang="ru-RU" sz="1100"/>
            <a:t>Канальный датчик температуры №4</a:t>
          </a:r>
        </a:p>
      </xdr:txBody>
    </xdr:sp>
    <xdr:clientData/>
  </xdr:oneCellAnchor>
  <xdr:oneCellAnchor>
    <xdr:from>
      <xdr:col>3</xdr:col>
      <xdr:colOff>469900</xdr:colOff>
      <xdr:row>650</xdr:row>
      <xdr:rowOff>63500</xdr:rowOff>
    </xdr:from>
    <xdr:ext cx="6985000" cy="264560"/>
    <xdr:sp macro="" textlink="">
      <xdr:nvSpPr>
        <xdr:cNvPr id="32995" name="TextBox 32994"/>
        <xdr:cNvSpPr txBox="1"/>
      </xdr:nvSpPr>
      <xdr:spPr>
        <a:xfrm>
          <a:off x="1270000" y="136271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TE5 - </a:t>
          </a:r>
          <a:r>
            <a:rPr lang="ru-RU" sz="1100"/>
            <a:t>Канальный датчик температуры №5</a:t>
          </a:r>
        </a:p>
      </xdr:txBody>
    </xdr:sp>
    <xdr:clientData/>
  </xdr:oneCellAnchor>
  <xdr:oneCellAnchor>
    <xdr:from>
      <xdr:col>3</xdr:col>
      <xdr:colOff>469900</xdr:colOff>
      <xdr:row>651</xdr:row>
      <xdr:rowOff>127000</xdr:rowOff>
    </xdr:from>
    <xdr:ext cx="6985000" cy="264560"/>
    <xdr:sp macro="" textlink="">
      <xdr:nvSpPr>
        <xdr:cNvPr id="32996" name="TextBox 32995"/>
        <xdr:cNvSpPr txBox="1"/>
      </xdr:nvSpPr>
      <xdr:spPr>
        <a:xfrm>
          <a:off x="1270000" y="136525000"/>
          <a:ext cx="6985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TE6 - </a:t>
          </a:r>
          <a:r>
            <a:rPr lang="ru-RU" sz="1100"/>
            <a:t>Уличный датччик температуры</a:t>
          </a:r>
        </a:p>
      </xdr:txBody>
    </xdr:sp>
    <xdr:clientData/>
  </xdr:oneCellAnchor>
  <xdr:oneCellAnchor>
    <xdr:from>
      <xdr:col>12</xdr:col>
      <xdr:colOff>400050</xdr:colOff>
      <xdr:row>649</xdr:row>
      <xdr:rowOff>0</xdr:rowOff>
    </xdr:from>
    <xdr:ext cx="3810000" cy="264560"/>
    <xdr:sp macro="" textlink="">
      <xdr:nvSpPr>
        <xdr:cNvPr id="32997" name="TextBox 32996"/>
        <xdr:cNvSpPr txBox="1"/>
      </xdr:nvSpPr>
      <xdr:spPr>
        <a:xfrm>
          <a:off x="7620000" y="136017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TE7 - </a:t>
          </a:r>
          <a:r>
            <a:rPr lang="ru-RU" sz="1100"/>
            <a:t>Комнатный датчик температуры</a:t>
          </a:r>
        </a:p>
      </xdr:txBody>
    </xdr:sp>
    <xdr:clientData/>
  </xdr:oneCellAnchor>
  <xdr:oneCellAnchor>
    <xdr:from>
      <xdr:col>12</xdr:col>
      <xdr:colOff>400050</xdr:colOff>
      <xdr:row>647</xdr:row>
      <xdr:rowOff>127000</xdr:rowOff>
    </xdr:from>
    <xdr:ext cx="3810000" cy="264560"/>
    <xdr:sp macro="" textlink="">
      <xdr:nvSpPr>
        <xdr:cNvPr id="32998" name="TextBox 32997"/>
        <xdr:cNvSpPr txBox="1"/>
      </xdr:nvSpPr>
      <xdr:spPr>
        <a:xfrm>
          <a:off x="7620000" y="135763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Y1- </a:t>
          </a:r>
          <a:r>
            <a:rPr lang="ru-RU" sz="1100"/>
            <a:t>сигнал управления привода кл. </a:t>
          </a:r>
          <a:r>
            <a:rPr lang="en-US" sz="1100"/>
            <a:t>AKM 1-</a:t>
          </a:r>
          <a:r>
            <a:rPr lang="ru-RU" sz="1100"/>
            <a:t>го охладителя.</a:t>
          </a:r>
        </a:p>
      </xdr:txBody>
    </xdr:sp>
    <xdr:clientData/>
  </xdr:oneCellAnchor>
  <xdr:oneCellAnchor>
    <xdr:from>
      <xdr:col>12</xdr:col>
      <xdr:colOff>400050</xdr:colOff>
      <xdr:row>646</xdr:row>
      <xdr:rowOff>63500</xdr:rowOff>
    </xdr:from>
    <xdr:ext cx="3810000" cy="264560"/>
    <xdr:sp macro="" textlink="">
      <xdr:nvSpPr>
        <xdr:cNvPr id="32999" name="TextBox 32998"/>
        <xdr:cNvSpPr txBox="1"/>
      </xdr:nvSpPr>
      <xdr:spPr>
        <a:xfrm>
          <a:off x="7620000" y="135509000"/>
          <a:ext cx="381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overflow" vert="horz" wrap="square" rtlCol="0" anchor="t">
          <a:spAutoFit/>
        </a:bodyPr>
        <a:lstStyle/>
        <a:p>
          <a:r>
            <a:rPr lang="en-US" sz="1100"/>
            <a:t>Y2- </a:t>
          </a:r>
          <a:r>
            <a:rPr lang="ru-RU" sz="1100"/>
            <a:t>сигнал управления эл. НАГРЕВ (0-10</a:t>
          </a:r>
          <a:r>
            <a:rPr lang="en-US" sz="1100"/>
            <a:t>V/5V-PWM)</a:t>
          </a:r>
          <a:endParaRPr lang="ru-RU" sz="1100"/>
        </a:p>
      </xdr:txBody>
    </xdr:sp>
    <xdr:clientData/>
  </xdr:oneCellAnchor>
  <xdr:twoCellAnchor>
    <xdr:from>
      <xdr:col>3</xdr:col>
      <xdr:colOff>596900</xdr:colOff>
      <xdr:row>673</xdr:row>
      <xdr:rowOff>127000</xdr:rowOff>
    </xdr:from>
    <xdr:to>
      <xdr:col>4</xdr:col>
      <xdr:colOff>314325</xdr:colOff>
      <xdr:row>677</xdr:row>
      <xdr:rowOff>127000</xdr:rowOff>
    </xdr:to>
    <xdr:sp macro="" textlink="">
      <xdr:nvSpPr>
        <xdr:cNvPr id="33000" name="Прямоугольник 32999"/>
        <xdr:cNvSpPr/>
      </xdr:nvSpPr>
      <xdr:spPr>
        <a:xfrm>
          <a:off x="1397000" y="140716000"/>
          <a:ext cx="508000" cy="762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X3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4</xdr:col>
      <xdr:colOff>568325</xdr:colOff>
      <xdr:row>671</xdr:row>
      <xdr:rowOff>127000</xdr:rowOff>
    </xdr:from>
    <xdr:to>
      <xdr:col>5</xdr:col>
      <xdr:colOff>95250</xdr:colOff>
      <xdr:row>679</xdr:row>
      <xdr:rowOff>127000</xdr:rowOff>
    </xdr:to>
    <xdr:sp macro="" textlink="">
      <xdr:nvSpPr>
        <xdr:cNvPr id="33002" name="Прямоугольник 33001"/>
        <xdr:cNvSpPr/>
      </xdr:nvSpPr>
      <xdr:spPr>
        <a:xfrm>
          <a:off x="21590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49</a:t>
          </a:r>
        </a:p>
      </xdr:txBody>
    </xdr:sp>
    <xdr:clientData/>
  </xdr:twoCellAnchor>
  <xdr:twoCellAnchor>
    <xdr:from>
      <xdr:col>5</xdr:col>
      <xdr:colOff>95250</xdr:colOff>
      <xdr:row>671</xdr:row>
      <xdr:rowOff>127000</xdr:rowOff>
    </xdr:from>
    <xdr:to>
      <xdr:col>5</xdr:col>
      <xdr:colOff>412750</xdr:colOff>
      <xdr:row>679</xdr:row>
      <xdr:rowOff>127000</xdr:rowOff>
    </xdr:to>
    <xdr:sp macro="" textlink="">
      <xdr:nvSpPr>
        <xdr:cNvPr id="33003" name="Прямоугольник 33002"/>
        <xdr:cNvSpPr/>
      </xdr:nvSpPr>
      <xdr:spPr>
        <a:xfrm>
          <a:off x="2476500" y="14033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50</a:t>
          </a:r>
        </a:p>
      </xdr:txBody>
    </xdr:sp>
    <xdr:clientData/>
  </xdr:twoCellAnchor>
  <xdr:twoCellAnchor>
    <xdr:from>
      <xdr:col>5</xdr:col>
      <xdr:colOff>412750</xdr:colOff>
      <xdr:row>671</xdr:row>
      <xdr:rowOff>127000</xdr:rowOff>
    </xdr:from>
    <xdr:to>
      <xdr:col>6</xdr:col>
      <xdr:colOff>6350</xdr:colOff>
      <xdr:row>679</xdr:row>
      <xdr:rowOff>127000</xdr:rowOff>
    </xdr:to>
    <xdr:sp macro="" textlink="">
      <xdr:nvSpPr>
        <xdr:cNvPr id="33004" name="Прямоугольник 33003"/>
        <xdr:cNvSpPr/>
      </xdr:nvSpPr>
      <xdr:spPr>
        <a:xfrm>
          <a:off x="27940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51</a:t>
          </a:r>
        </a:p>
      </xdr:txBody>
    </xdr:sp>
    <xdr:clientData/>
  </xdr:twoCellAnchor>
  <xdr:twoCellAnchor>
    <xdr:from>
      <xdr:col>6</xdr:col>
      <xdr:colOff>6350</xdr:colOff>
      <xdr:row>671</xdr:row>
      <xdr:rowOff>127000</xdr:rowOff>
    </xdr:from>
    <xdr:to>
      <xdr:col>6</xdr:col>
      <xdr:colOff>323850</xdr:colOff>
      <xdr:row>679</xdr:row>
      <xdr:rowOff>127000</xdr:rowOff>
    </xdr:to>
    <xdr:sp macro="" textlink="">
      <xdr:nvSpPr>
        <xdr:cNvPr id="33005" name="Прямоугольник 33004"/>
        <xdr:cNvSpPr/>
      </xdr:nvSpPr>
      <xdr:spPr>
        <a:xfrm>
          <a:off x="31115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52</a:t>
          </a:r>
        </a:p>
      </xdr:txBody>
    </xdr:sp>
    <xdr:clientData/>
  </xdr:twoCellAnchor>
  <xdr:twoCellAnchor>
    <xdr:from>
      <xdr:col>6</xdr:col>
      <xdr:colOff>323850</xdr:colOff>
      <xdr:row>671</xdr:row>
      <xdr:rowOff>127000</xdr:rowOff>
    </xdr:from>
    <xdr:to>
      <xdr:col>7</xdr:col>
      <xdr:colOff>127000</xdr:colOff>
      <xdr:row>679</xdr:row>
      <xdr:rowOff>127000</xdr:rowOff>
    </xdr:to>
    <xdr:sp macro="" textlink="">
      <xdr:nvSpPr>
        <xdr:cNvPr id="33006" name="Прямоугольник 33005"/>
        <xdr:cNvSpPr/>
      </xdr:nvSpPr>
      <xdr:spPr>
        <a:xfrm>
          <a:off x="3429000" y="140335000"/>
          <a:ext cx="317500" cy="1524000"/>
        </a:xfrm>
        <a:prstGeom prst="rect">
          <a:avLst/>
        </a:prstGeom>
        <a:solidFill>
          <a:srgbClr val="3399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53</a:t>
          </a:r>
        </a:p>
      </xdr:txBody>
    </xdr:sp>
    <xdr:clientData/>
  </xdr:twoCellAnchor>
  <xdr:twoCellAnchor>
    <xdr:from>
      <xdr:col>7</xdr:col>
      <xdr:colOff>127000</xdr:colOff>
      <xdr:row>671</xdr:row>
      <xdr:rowOff>127000</xdr:rowOff>
    </xdr:from>
    <xdr:to>
      <xdr:col>7</xdr:col>
      <xdr:colOff>444500</xdr:colOff>
      <xdr:row>679</xdr:row>
      <xdr:rowOff>127000</xdr:rowOff>
    </xdr:to>
    <xdr:sp macro="" textlink="">
      <xdr:nvSpPr>
        <xdr:cNvPr id="33007" name="Прямоугольник 33006"/>
        <xdr:cNvSpPr/>
      </xdr:nvSpPr>
      <xdr:spPr>
        <a:xfrm>
          <a:off x="3746500" y="140335000"/>
          <a:ext cx="317500" cy="1524000"/>
        </a:xfrm>
        <a:prstGeom prst="rect">
          <a:avLst/>
        </a:prstGeom>
        <a:solidFill>
          <a:srgbClr val="C0C0C0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ru-RU" sz="1100">
              <a:solidFill>
                <a:srgbClr val="640000"/>
              </a:solidFill>
            </a:rPr>
            <a:t>54</a:t>
          </a:r>
        </a:p>
      </xdr:txBody>
    </xdr:sp>
    <xdr:clientData/>
  </xdr:twoCellAnchor>
  <xdr:twoCellAnchor>
    <xdr:from>
      <xdr:col>9</xdr:col>
      <xdr:colOff>701675</xdr:colOff>
      <xdr:row>667</xdr:row>
      <xdr:rowOff>127000</xdr:rowOff>
    </xdr:from>
    <xdr:to>
      <xdr:col>12</xdr:col>
      <xdr:colOff>19050</xdr:colOff>
      <xdr:row>669</xdr:row>
      <xdr:rowOff>0</xdr:rowOff>
    </xdr:to>
    <xdr:sp macro="" textlink="">
      <xdr:nvSpPr>
        <xdr:cNvPr id="33008" name="Прямоугольник 33007"/>
        <xdr:cNvSpPr/>
      </xdr:nvSpPr>
      <xdr:spPr>
        <a:xfrm>
          <a:off x="5969000" y="1395730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RT1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669</xdr:row>
      <xdr:rowOff>0</xdr:rowOff>
    </xdr:from>
    <xdr:to>
      <xdr:col>12</xdr:col>
      <xdr:colOff>19050</xdr:colOff>
      <xdr:row>670</xdr:row>
      <xdr:rowOff>63500</xdr:rowOff>
    </xdr:to>
    <xdr:sp macro="" textlink="">
      <xdr:nvSpPr>
        <xdr:cNvPr id="33009" name="Прямоугольник 33008"/>
        <xdr:cNvSpPr/>
      </xdr:nvSpPr>
      <xdr:spPr>
        <a:xfrm>
          <a:off x="5969000" y="139827000"/>
          <a:ext cx="1270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MBS1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9</xdr:col>
      <xdr:colOff>701675</xdr:colOff>
      <xdr:row>670</xdr:row>
      <xdr:rowOff>63500</xdr:rowOff>
    </xdr:from>
    <xdr:to>
      <xdr:col>10</xdr:col>
      <xdr:colOff>241300</xdr:colOff>
      <xdr:row>671</xdr:row>
      <xdr:rowOff>127000</xdr:rowOff>
    </xdr:to>
    <xdr:sp macro="" textlink="">
      <xdr:nvSpPr>
        <xdr:cNvPr id="33010" name="Прямоугольник 33009"/>
        <xdr:cNvSpPr/>
      </xdr:nvSpPr>
      <xdr:spPr>
        <a:xfrm>
          <a:off x="5969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4</a:t>
          </a:r>
        </a:p>
      </xdr:txBody>
    </xdr:sp>
    <xdr:clientData/>
  </xdr:twoCellAnchor>
  <xdr:twoCellAnchor>
    <xdr:from>
      <xdr:col>10</xdr:col>
      <xdr:colOff>114300</xdr:colOff>
      <xdr:row>671</xdr:row>
      <xdr:rowOff>127000</xdr:rowOff>
    </xdr:from>
    <xdr:to>
      <xdr:col>10</xdr:col>
      <xdr:colOff>114300</xdr:colOff>
      <xdr:row>673</xdr:row>
      <xdr:rowOff>127000</xdr:rowOff>
    </xdr:to>
    <xdr:cxnSp macro="">
      <xdr:nvCxnSpPr>
        <xdr:cNvPr id="33011" name="Прямая со стрелкой 33010"/>
        <xdr:cNvCxnSpPr/>
      </xdr:nvCxnSpPr>
      <xdr:spPr>
        <a:xfrm>
          <a:off x="6096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670</xdr:row>
      <xdr:rowOff>63500</xdr:rowOff>
    </xdr:from>
    <xdr:to>
      <xdr:col>10</xdr:col>
      <xdr:colOff>495300</xdr:colOff>
      <xdr:row>671</xdr:row>
      <xdr:rowOff>127000</xdr:rowOff>
    </xdr:to>
    <xdr:sp macro="" textlink="">
      <xdr:nvSpPr>
        <xdr:cNvPr id="33012" name="Прямоугольник 33011"/>
        <xdr:cNvSpPr/>
      </xdr:nvSpPr>
      <xdr:spPr>
        <a:xfrm>
          <a:off x="6223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5</a:t>
          </a:r>
        </a:p>
      </xdr:txBody>
    </xdr:sp>
    <xdr:clientData/>
  </xdr:twoCellAnchor>
  <xdr:twoCellAnchor>
    <xdr:from>
      <xdr:col>10</xdr:col>
      <xdr:colOff>368300</xdr:colOff>
      <xdr:row>671</xdr:row>
      <xdr:rowOff>127000</xdr:rowOff>
    </xdr:from>
    <xdr:to>
      <xdr:col>10</xdr:col>
      <xdr:colOff>368300</xdr:colOff>
      <xdr:row>673</xdr:row>
      <xdr:rowOff>127000</xdr:rowOff>
    </xdr:to>
    <xdr:cxnSp macro="">
      <xdr:nvCxnSpPr>
        <xdr:cNvPr id="33013" name="Прямая со стрелкой 33012"/>
        <xdr:cNvCxnSpPr/>
      </xdr:nvCxnSpPr>
      <xdr:spPr>
        <a:xfrm>
          <a:off x="6350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670</xdr:row>
      <xdr:rowOff>63500</xdr:rowOff>
    </xdr:from>
    <xdr:to>
      <xdr:col>11</xdr:col>
      <xdr:colOff>25400</xdr:colOff>
      <xdr:row>671</xdr:row>
      <xdr:rowOff>127000</xdr:rowOff>
    </xdr:to>
    <xdr:sp macro="" textlink="">
      <xdr:nvSpPr>
        <xdr:cNvPr id="33014" name="Прямоугольник 33013"/>
        <xdr:cNvSpPr/>
      </xdr:nvSpPr>
      <xdr:spPr>
        <a:xfrm>
          <a:off x="6477000" y="140081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1100">
              <a:solidFill>
                <a:srgbClr val="640000"/>
              </a:solidFill>
            </a:rPr>
            <a:t>8</a:t>
          </a:r>
        </a:p>
      </xdr:txBody>
    </xdr:sp>
    <xdr:clientData/>
  </xdr:twoCellAnchor>
  <xdr:twoCellAnchor>
    <xdr:from>
      <xdr:col>10</xdr:col>
      <xdr:colOff>622300</xdr:colOff>
      <xdr:row>671</xdr:row>
      <xdr:rowOff>127000</xdr:rowOff>
    </xdr:from>
    <xdr:to>
      <xdr:col>10</xdr:col>
      <xdr:colOff>622300</xdr:colOff>
      <xdr:row>673</xdr:row>
      <xdr:rowOff>127000</xdr:rowOff>
    </xdr:to>
    <xdr:cxnSp macro="">
      <xdr:nvCxnSpPr>
        <xdr:cNvPr id="33015" name="Прямая со стрелкой 33014"/>
        <xdr:cNvCxnSpPr/>
      </xdr:nvCxnSpPr>
      <xdr:spPr>
        <a:xfrm>
          <a:off x="6604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25400</xdr:colOff>
      <xdr:row>670</xdr:row>
      <xdr:rowOff>63500</xdr:rowOff>
    </xdr:from>
    <xdr:to>
      <xdr:col>12</xdr:col>
      <xdr:colOff>19050</xdr:colOff>
      <xdr:row>671</xdr:row>
      <xdr:rowOff>127000</xdr:rowOff>
    </xdr:to>
    <xdr:sp macro="" textlink="">
      <xdr:nvSpPr>
        <xdr:cNvPr id="33016" name="Прямоугольник 33015"/>
        <xdr:cNvSpPr/>
      </xdr:nvSpPr>
      <xdr:spPr>
        <a:xfrm>
          <a:off x="6731000" y="140081000"/>
          <a:ext cx="508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Shield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279400</xdr:colOff>
      <xdr:row>671</xdr:row>
      <xdr:rowOff>127000</xdr:rowOff>
    </xdr:from>
    <xdr:to>
      <xdr:col>11</xdr:col>
      <xdr:colOff>279400</xdr:colOff>
      <xdr:row>673</xdr:row>
      <xdr:rowOff>127000</xdr:rowOff>
    </xdr:to>
    <xdr:cxnSp macro="">
      <xdr:nvCxnSpPr>
        <xdr:cNvPr id="33017" name="Прямая со стрелкой 33016"/>
        <xdr:cNvCxnSpPr/>
      </xdr:nvCxnSpPr>
      <xdr:spPr>
        <a:xfrm>
          <a:off x="6985000" y="140335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673</xdr:row>
      <xdr:rowOff>127000</xdr:rowOff>
    </xdr:from>
    <xdr:to>
      <xdr:col>11</xdr:col>
      <xdr:colOff>279400</xdr:colOff>
      <xdr:row>673</xdr:row>
      <xdr:rowOff>127000</xdr:rowOff>
    </xdr:to>
    <xdr:cxnSp macro="">
      <xdr:nvCxnSpPr>
        <xdr:cNvPr id="33018" name="Прямая со стрелкой 33017"/>
        <xdr:cNvCxnSpPr/>
      </xdr:nvCxnSpPr>
      <xdr:spPr>
        <a:xfrm>
          <a:off x="6096000" y="140716000"/>
          <a:ext cx="889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558800</xdr:colOff>
      <xdr:row>673</xdr:row>
      <xdr:rowOff>127000</xdr:rowOff>
    </xdr:from>
    <xdr:to>
      <xdr:col>10</xdr:col>
      <xdr:colOff>558800</xdr:colOff>
      <xdr:row>681</xdr:row>
      <xdr:rowOff>127000</xdr:rowOff>
    </xdr:to>
    <xdr:cxnSp macro="">
      <xdr:nvCxnSpPr>
        <xdr:cNvPr id="33019" name="Прямая со стрелкой 33018"/>
        <xdr:cNvCxnSpPr/>
      </xdr:nvCxnSpPr>
      <xdr:spPr>
        <a:xfrm>
          <a:off x="6540500" y="140716000"/>
          <a:ext cx="0" cy="152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685</xdr:row>
      <xdr:rowOff>0</xdr:rowOff>
    </xdr:from>
    <xdr:to>
      <xdr:col>10</xdr:col>
      <xdr:colOff>241300</xdr:colOff>
      <xdr:row>686</xdr:row>
      <xdr:rowOff>63500</xdr:rowOff>
    </xdr:to>
    <xdr:sp macro="" textlink="">
      <xdr:nvSpPr>
        <xdr:cNvPr id="33020" name="Прямоугольник 33019"/>
        <xdr:cNvSpPr/>
      </xdr:nvSpPr>
      <xdr:spPr>
        <a:xfrm>
          <a:off x="5969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114300</xdr:colOff>
      <xdr:row>681</xdr:row>
      <xdr:rowOff>127000</xdr:rowOff>
    </xdr:from>
    <xdr:to>
      <xdr:col>10</xdr:col>
      <xdr:colOff>114300</xdr:colOff>
      <xdr:row>685</xdr:row>
      <xdr:rowOff>0</xdr:rowOff>
    </xdr:to>
    <xdr:cxnSp macro="">
      <xdr:nvCxnSpPr>
        <xdr:cNvPr id="33021" name="Прямая со стрелкой 33020"/>
        <xdr:cNvCxnSpPr/>
      </xdr:nvCxnSpPr>
      <xdr:spPr>
        <a:xfrm>
          <a:off x="60960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241300</xdr:colOff>
      <xdr:row>685</xdr:row>
      <xdr:rowOff>0</xdr:rowOff>
    </xdr:from>
    <xdr:to>
      <xdr:col>10</xdr:col>
      <xdr:colOff>495300</xdr:colOff>
      <xdr:row>686</xdr:row>
      <xdr:rowOff>63500</xdr:rowOff>
    </xdr:to>
    <xdr:sp macro="" textlink="">
      <xdr:nvSpPr>
        <xdr:cNvPr id="33022" name="Прямоугольник 33021"/>
        <xdr:cNvSpPr/>
      </xdr:nvSpPr>
      <xdr:spPr>
        <a:xfrm>
          <a:off x="6223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368300</xdr:colOff>
      <xdr:row>681</xdr:row>
      <xdr:rowOff>127000</xdr:rowOff>
    </xdr:from>
    <xdr:to>
      <xdr:col>10</xdr:col>
      <xdr:colOff>368300</xdr:colOff>
      <xdr:row>685</xdr:row>
      <xdr:rowOff>0</xdr:rowOff>
    </xdr:to>
    <xdr:cxnSp macro="">
      <xdr:nvCxnSpPr>
        <xdr:cNvPr id="33023" name="Прямая со стрелкой 33022"/>
        <xdr:cNvCxnSpPr/>
      </xdr:nvCxnSpPr>
      <xdr:spPr>
        <a:xfrm>
          <a:off x="63500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685</xdr:row>
      <xdr:rowOff>0</xdr:rowOff>
    </xdr:from>
    <xdr:to>
      <xdr:col>11</xdr:col>
      <xdr:colOff>152400</xdr:colOff>
      <xdr:row>686</xdr:row>
      <xdr:rowOff>63500</xdr:rowOff>
    </xdr:to>
    <xdr:sp macro="" textlink="">
      <xdr:nvSpPr>
        <xdr:cNvPr id="33024" name="Прямоугольник 33023"/>
        <xdr:cNvSpPr/>
      </xdr:nvSpPr>
      <xdr:spPr>
        <a:xfrm>
          <a:off x="6477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685800</xdr:colOff>
      <xdr:row>681</xdr:row>
      <xdr:rowOff>127000</xdr:rowOff>
    </xdr:from>
    <xdr:to>
      <xdr:col>10</xdr:col>
      <xdr:colOff>685800</xdr:colOff>
      <xdr:row>685</xdr:row>
      <xdr:rowOff>0</xdr:rowOff>
    </xdr:to>
    <xdr:cxnSp macro="">
      <xdr:nvCxnSpPr>
        <xdr:cNvPr id="33025" name="Прямая со стрелкой 33024"/>
        <xdr:cNvCxnSpPr/>
      </xdr:nvCxnSpPr>
      <xdr:spPr>
        <a:xfrm>
          <a:off x="66675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685</xdr:row>
      <xdr:rowOff>0</xdr:rowOff>
    </xdr:from>
    <xdr:to>
      <xdr:col>12</xdr:col>
      <xdr:colOff>19050</xdr:colOff>
      <xdr:row>686</xdr:row>
      <xdr:rowOff>63500</xdr:rowOff>
    </xdr:to>
    <xdr:sp macro="" textlink="">
      <xdr:nvSpPr>
        <xdr:cNvPr id="33026" name="Прямоугольник 33025"/>
        <xdr:cNvSpPr/>
      </xdr:nvSpPr>
      <xdr:spPr>
        <a:xfrm>
          <a:off x="6858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11</xdr:col>
      <xdr:colOff>342900</xdr:colOff>
      <xdr:row>681</xdr:row>
      <xdr:rowOff>127000</xdr:rowOff>
    </xdr:from>
    <xdr:to>
      <xdr:col>11</xdr:col>
      <xdr:colOff>342900</xdr:colOff>
      <xdr:row>685</xdr:row>
      <xdr:rowOff>0</xdr:rowOff>
    </xdr:to>
    <xdr:cxnSp macro="">
      <xdr:nvCxnSpPr>
        <xdr:cNvPr id="33027" name="Прямая со стрелкой 33026"/>
        <xdr:cNvCxnSpPr/>
      </xdr:nvCxnSpPr>
      <xdr:spPr>
        <a:xfrm>
          <a:off x="7048500" y="142240000"/>
          <a:ext cx="0" cy="635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681</xdr:row>
      <xdr:rowOff>127000</xdr:rowOff>
    </xdr:from>
    <xdr:to>
      <xdr:col>11</xdr:col>
      <xdr:colOff>342900</xdr:colOff>
      <xdr:row>681</xdr:row>
      <xdr:rowOff>127000</xdr:rowOff>
    </xdr:to>
    <xdr:cxnSp macro="">
      <xdr:nvCxnSpPr>
        <xdr:cNvPr id="33028" name="Прямая со стрелкой 33027"/>
        <xdr:cNvCxnSpPr/>
      </xdr:nvCxnSpPr>
      <xdr:spPr>
        <a:xfrm>
          <a:off x="6096000" y="142240000"/>
          <a:ext cx="9525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701675</xdr:colOff>
      <xdr:row>686</xdr:row>
      <xdr:rowOff>63500</xdr:rowOff>
    </xdr:from>
    <xdr:to>
      <xdr:col>12</xdr:col>
      <xdr:colOff>19050</xdr:colOff>
      <xdr:row>688</xdr:row>
      <xdr:rowOff>63500</xdr:rowOff>
    </xdr:to>
    <xdr:sp macro="" textlink="">
      <xdr:nvSpPr>
        <xdr:cNvPr id="33029" name="Прямоугольник 33028"/>
        <xdr:cNvSpPr/>
      </xdr:nvSpPr>
      <xdr:spPr>
        <a:xfrm>
          <a:off x="5969000" y="1431290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RS1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685</xdr:row>
      <xdr:rowOff>0</xdr:rowOff>
    </xdr:from>
    <xdr:to>
      <xdr:col>12</xdr:col>
      <xdr:colOff>527050</xdr:colOff>
      <xdr:row>686</xdr:row>
      <xdr:rowOff>63500</xdr:rowOff>
    </xdr:to>
    <xdr:sp macro="" textlink="">
      <xdr:nvSpPr>
        <xdr:cNvPr id="33030" name="Прямоугольник 33029"/>
        <xdr:cNvSpPr/>
      </xdr:nvSpPr>
      <xdr:spPr>
        <a:xfrm>
          <a:off x="7493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B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527050</xdr:colOff>
      <xdr:row>685</xdr:row>
      <xdr:rowOff>0</xdr:rowOff>
    </xdr:from>
    <xdr:to>
      <xdr:col>13</xdr:col>
      <xdr:colOff>76200</xdr:colOff>
      <xdr:row>686</xdr:row>
      <xdr:rowOff>63500</xdr:rowOff>
    </xdr:to>
    <xdr:sp macro="" textlink="">
      <xdr:nvSpPr>
        <xdr:cNvPr id="33031" name="Прямоугольник 33030"/>
        <xdr:cNvSpPr/>
      </xdr:nvSpPr>
      <xdr:spPr>
        <a:xfrm>
          <a:off x="7747000" y="142875000"/>
          <a:ext cx="254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A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76200</xdr:colOff>
      <xdr:row>685</xdr:row>
      <xdr:rowOff>0</xdr:rowOff>
    </xdr:from>
    <xdr:to>
      <xdr:col>13</xdr:col>
      <xdr:colOff>457200</xdr:colOff>
      <xdr:row>686</xdr:row>
      <xdr:rowOff>63500</xdr:rowOff>
    </xdr:to>
    <xdr:sp macro="" textlink="">
      <xdr:nvSpPr>
        <xdr:cNvPr id="33032" name="Прямоугольник 33031"/>
        <xdr:cNvSpPr/>
      </xdr:nvSpPr>
      <xdr:spPr>
        <a:xfrm>
          <a:off x="8001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GND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13</xdr:col>
      <xdr:colOff>457200</xdr:colOff>
      <xdr:row>685</xdr:row>
      <xdr:rowOff>0</xdr:rowOff>
    </xdr:from>
    <xdr:to>
      <xdr:col>13</xdr:col>
      <xdr:colOff>838200</xdr:colOff>
      <xdr:row>686</xdr:row>
      <xdr:rowOff>63500</xdr:rowOff>
    </xdr:to>
    <xdr:sp macro="" textlink="">
      <xdr:nvSpPr>
        <xdr:cNvPr id="33033" name="Прямоугольник 33032"/>
        <xdr:cNvSpPr/>
      </xdr:nvSpPr>
      <xdr:spPr>
        <a:xfrm>
          <a:off x="8382000" y="142875000"/>
          <a:ext cx="381000" cy="254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>
              <a:solidFill>
                <a:srgbClr val="640000"/>
              </a:solidFill>
            </a:rPr>
            <a:t>SCR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12</xdr:col>
      <xdr:colOff>273050</xdr:colOff>
      <xdr:row>686</xdr:row>
      <xdr:rowOff>63500</xdr:rowOff>
    </xdr:from>
    <xdr:to>
      <xdr:col>13</xdr:col>
      <xdr:colOff>838200</xdr:colOff>
      <xdr:row>688</xdr:row>
      <xdr:rowOff>63500</xdr:rowOff>
    </xdr:to>
    <xdr:sp macro="" textlink="">
      <xdr:nvSpPr>
        <xdr:cNvPr id="33034" name="Прямоугольник 33033"/>
        <xdr:cNvSpPr/>
      </xdr:nvSpPr>
      <xdr:spPr>
        <a:xfrm>
          <a:off x="7493000" y="143129000"/>
          <a:ext cx="1270000" cy="381000"/>
        </a:xfrm>
        <a:prstGeom prst="rect">
          <a:avLst/>
        </a:prstGeom>
        <a:solidFill>
          <a:srgbClr val="FFFFFF"/>
        </a:solidFill>
        <a:ln w="1270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b"/>
        <a:lstStyle/>
        <a:p>
          <a:pPr algn="ctr"/>
          <a:r>
            <a:rPr lang="en-US" sz="1100">
              <a:solidFill>
                <a:srgbClr val="640000"/>
              </a:solidFill>
            </a:rPr>
            <a:t>RS2</a:t>
          </a:r>
          <a:endParaRPr lang="ru-RU" sz="1100">
            <a:solidFill>
              <a:srgbClr val="640000"/>
            </a:solidFill>
          </a:endParaRPr>
        </a:p>
      </xdr:txBody>
    </xdr:sp>
    <xdr:clientData/>
  </xdr:twoCellAnchor>
  <xdr:twoCellAnchor>
    <xdr:from>
      <xdr:col>10</xdr:col>
      <xdr:colOff>241300</xdr:colOff>
      <xdr:row>682</xdr:row>
      <xdr:rowOff>63500</xdr:rowOff>
    </xdr:from>
    <xdr:to>
      <xdr:col>12</xdr:col>
      <xdr:colOff>400050</xdr:colOff>
      <xdr:row>682</xdr:row>
      <xdr:rowOff>63500</xdr:rowOff>
    </xdr:to>
    <xdr:cxnSp macro="">
      <xdr:nvCxnSpPr>
        <xdr:cNvPr id="33035" name="Прямая со стрелкой 33034"/>
        <xdr:cNvCxnSpPr/>
      </xdr:nvCxnSpPr>
      <xdr:spPr>
        <a:xfrm>
          <a:off x="6223000" y="142367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682</xdr:row>
      <xdr:rowOff>63500</xdr:rowOff>
    </xdr:from>
    <xdr:to>
      <xdr:col>10</xdr:col>
      <xdr:colOff>241300</xdr:colOff>
      <xdr:row>685</xdr:row>
      <xdr:rowOff>0</xdr:rowOff>
    </xdr:to>
    <xdr:cxnSp macro="">
      <xdr:nvCxnSpPr>
        <xdr:cNvPr id="33036" name="Прямая со стрелкой 33035"/>
        <xdr:cNvCxnSpPr/>
      </xdr:nvCxnSpPr>
      <xdr:spPr>
        <a:xfrm flipH="1">
          <a:off x="6096000" y="142367000"/>
          <a:ext cx="12700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400050</xdr:colOff>
      <xdr:row>682</xdr:row>
      <xdr:rowOff>63500</xdr:rowOff>
    </xdr:from>
    <xdr:to>
      <xdr:col>12</xdr:col>
      <xdr:colOff>400050</xdr:colOff>
      <xdr:row>685</xdr:row>
      <xdr:rowOff>0</xdr:rowOff>
    </xdr:to>
    <xdr:cxnSp macro="">
      <xdr:nvCxnSpPr>
        <xdr:cNvPr id="33037" name="Прямая со стрелкой 33036"/>
        <xdr:cNvCxnSpPr/>
      </xdr:nvCxnSpPr>
      <xdr:spPr>
        <a:xfrm>
          <a:off x="7620000" y="142367000"/>
          <a:ext cx="0" cy="508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495300</xdr:colOff>
      <xdr:row>683</xdr:row>
      <xdr:rowOff>0</xdr:rowOff>
    </xdr:from>
    <xdr:to>
      <xdr:col>12</xdr:col>
      <xdr:colOff>654050</xdr:colOff>
      <xdr:row>683</xdr:row>
      <xdr:rowOff>0</xdr:rowOff>
    </xdr:to>
    <xdr:cxnSp macro="">
      <xdr:nvCxnSpPr>
        <xdr:cNvPr id="33038" name="Прямая со стрелкой 33037"/>
        <xdr:cNvCxnSpPr/>
      </xdr:nvCxnSpPr>
      <xdr:spPr>
        <a:xfrm>
          <a:off x="6477000" y="142494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368300</xdr:colOff>
      <xdr:row>683</xdr:row>
      <xdr:rowOff>0</xdr:rowOff>
    </xdr:from>
    <xdr:to>
      <xdr:col>10</xdr:col>
      <xdr:colOff>495300</xdr:colOff>
      <xdr:row>685</xdr:row>
      <xdr:rowOff>0</xdr:rowOff>
    </xdr:to>
    <xdr:cxnSp macro="">
      <xdr:nvCxnSpPr>
        <xdr:cNvPr id="33039" name="Прямая со стрелкой 33038"/>
        <xdr:cNvCxnSpPr/>
      </xdr:nvCxnSpPr>
      <xdr:spPr>
        <a:xfrm flipH="1">
          <a:off x="6350000" y="142494000"/>
          <a:ext cx="12700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654050</xdr:colOff>
      <xdr:row>683</xdr:row>
      <xdr:rowOff>0</xdr:rowOff>
    </xdr:from>
    <xdr:to>
      <xdr:col>12</xdr:col>
      <xdr:colOff>654050</xdr:colOff>
      <xdr:row>685</xdr:row>
      <xdr:rowOff>0</xdr:rowOff>
    </xdr:to>
    <xdr:cxnSp macro="">
      <xdr:nvCxnSpPr>
        <xdr:cNvPr id="33040" name="Прямая со стрелкой 33039"/>
        <xdr:cNvCxnSpPr/>
      </xdr:nvCxnSpPr>
      <xdr:spPr>
        <a:xfrm>
          <a:off x="7874000" y="142494000"/>
          <a:ext cx="0" cy="381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683</xdr:row>
      <xdr:rowOff>127000</xdr:rowOff>
    </xdr:from>
    <xdr:to>
      <xdr:col>13</xdr:col>
      <xdr:colOff>330200</xdr:colOff>
      <xdr:row>683</xdr:row>
      <xdr:rowOff>127000</xdr:rowOff>
    </xdr:to>
    <xdr:cxnSp macro="">
      <xdr:nvCxnSpPr>
        <xdr:cNvPr id="33041" name="Прямая со стрелкой 33040"/>
        <xdr:cNvCxnSpPr/>
      </xdr:nvCxnSpPr>
      <xdr:spPr>
        <a:xfrm>
          <a:off x="6858000" y="142621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685800</xdr:colOff>
      <xdr:row>683</xdr:row>
      <xdr:rowOff>127000</xdr:rowOff>
    </xdr:from>
    <xdr:to>
      <xdr:col>11</xdr:col>
      <xdr:colOff>152400</xdr:colOff>
      <xdr:row>685</xdr:row>
      <xdr:rowOff>0</xdr:rowOff>
    </xdr:to>
    <xdr:cxnSp macro="">
      <xdr:nvCxnSpPr>
        <xdr:cNvPr id="33042" name="Прямая со стрелкой 33041"/>
        <xdr:cNvCxnSpPr/>
      </xdr:nvCxnSpPr>
      <xdr:spPr>
        <a:xfrm flipH="1">
          <a:off x="6667500" y="142621000"/>
          <a:ext cx="19050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330200</xdr:colOff>
      <xdr:row>683</xdr:row>
      <xdr:rowOff>127000</xdr:rowOff>
    </xdr:from>
    <xdr:to>
      <xdr:col>13</xdr:col>
      <xdr:colOff>330200</xdr:colOff>
      <xdr:row>685</xdr:row>
      <xdr:rowOff>0</xdr:rowOff>
    </xdr:to>
    <xdr:cxnSp macro="">
      <xdr:nvCxnSpPr>
        <xdr:cNvPr id="33043" name="Прямая со стрелкой 33042"/>
        <xdr:cNvCxnSpPr/>
      </xdr:nvCxnSpPr>
      <xdr:spPr>
        <a:xfrm>
          <a:off x="8255000" y="142621000"/>
          <a:ext cx="0" cy="254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</xdr:colOff>
      <xdr:row>684</xdr:row>
      <xdr:rowOff>63500</xdr:rowOff>
    </xdr:from>
    <xdr:to>
      <xdr:col>13</xdr:col>
      <xdr:colOff>711200</xdr:colOff>
      <xdr:row>684</xdr:row>
      <xdr:rowOff>63500</xdr:rowOff>
    </xdr:to>
    <xdr:cxnSp macro="">
      <xdr:nvCxnSpPr>
        <xdr:cNvPr id="33044" name="Прямая со стрелкой 33043"/>
        <xdr:cNvCxnSpPr/>
      </xdr:nvCxnSpPr>
      <xdr:spPr>
        <a:xfrm>
          <a:off x="7239000" y="142748000"/>
          <a:ext cx="1397000" cy="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342900</xdr:colOff>
      <xdr:row>684</xdr:row>
      <xdr:rowOff>63500</xdr:rowOff>
    </xdr:from>
    <xdr:to>
      <xdr:col>12</xdr:col>
      <xdr:colOff>19050</xdr:colOff>
      <xdr:row>685</xdr:row>
      <xdr:rowOff>0</xdr:rowOff>
    </xdr:to>
    <xdr:cxnSp macro="">
      <xdr:nvCxnSpPr>
        <xdr:cNvPr id="33045" name="Прямая со стрелкой 33044"/>
        <xdr:cNvCxnSpPr/>
      </xdr:nvCxnSpPr>
      <xdr:spPr>
        <a:xfrm flipH="1">
          <a:off x="7048500" y="142748000"/>
          <a:ext cx="19050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711200</xdr:colOff>
      <xdr:row>684</xdr:row>
      <xdr:rowOff>63500</xdr:rowOff>
    </xdr:from>
    <xdr:to>
      <xdr:col>13</xdr:col>
      <xdr:colOff>711200</xdr:colOff>
      <xdr:row>685</xdr:row>
      <xdr:rowOff>0</xdr:rowOff>
    </xdr:to>
    <xdr:cxnSp macro="">
      <xdr:nvCxnSpPr>
        <xdr:cNvPr id="33046" name="Прямая со стрелкой 33045"/>
        <xdr:cNvCxnSpPr/>
      </xdr:nvCxnSpPr>
      <xdr:spPr>
        <a:xfrm>
          <a:off x="8636000" y="142748000"/>
          <a:ext cx="0" cy="127000"/>
        </a:xfrm>
        <a:prstGeom prst="straightConnector1">
          <a:avLst/>
        </a:prstGeom>
        <a:ln w="6350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1042670</xdr:colOff>
      <xdr:row>0</xdr:row>
      <xdr:rowOff>609600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0"/>
          <a:ext cx="528320" cy="609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514350</xdr:colOff>
      <xdr:row>0</xdr:row>
      <xdr:rowOff>0</xdr:rowOff>
    </xdr:from>
    <xdr:to>
      <xdr:col>0</xdr:col>
      <xdr:colOff>1042670</xdr:colOff>
      <xdr:row>0</xdr:row>
      <xdr:rowOff>609600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" y="0"/>
          <a:ext cx="528320" cy="6096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28575</xdr:rowOff>
    </xdr:from>
    <xdr:to>
      <xdr:col>2</xdr:col>
      <xdr:colOff>3686174</xdr:colOff>
      <xdr:row>7</xdr:row>
      <xdr:rowOff>137439</xdr:rowOff>
    </xdr:to>
    <xdr:pic>
      <xdr:nvPicPr>
        <xdr:cNvPr id="2" name="Рисунок 1" descr="Заголовок бланка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1" y="28575"/>
          <a:ext cx="5695948" cy="144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805268/Desktop/&#1069;&#1082;&#1089;&#1087;&#1077;&#1088;&#1080;&#1084;&#1077;&#1085;&#1090;%20&#1087;&#1072;&#1082;&#1077;&#1090;&#1085;&#1099;&#1081;/&#1055;&#1072;&#1082;&#1077;&#1090;&#1085;&#1099;&#1081;%20&#1087;&#1086;&#1076;&#1073;&#1086;&#1088;%20&#1091;&#1079;&#1083;&#1086;&#1074;%20&#1058;&#1057;%20&#1080;%20&#1061;&#1057;%20Final+&#1089;&#1082;&#1086;&#1088;&#1086;&#1089;&#1090;&#108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Data"/>
      <sheetName val="Offer"/>
      <sheetName val="CoolUnitBase"/>
      <sheetName val="PumpUnits"/>
      <sheetName val="Options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9.emf"/><Relationship Id="rId26" Type="http://schemas.openxmlformats.org/officeDocument/2006/relationships/image" Target="../media/image13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7.emf"/><Relationship Id="rId42" Type="http://schemas.openxmlformats.org/officeDocument/2006/relationships/image" Target="../media/image21.emf"/><Relationship Id="rId47" Type="http://schemas.openxmlformats.org/officeDocument/2006/relationships/control" Target="../activeX/activeX22.xml"/><Relationship Id="rId50" Type="http://schemas.openxmlformats.org/officeDocument/2006/relationships/image" Target="../media/image25.emf"/><Relationship Id="rId7" Type="http://schemas.openxmlformats.org/officeDocument/2006/relationships/control" Target="../activeX/activeX2.xml"/><Relationship Id="rId2" Type="http://schemas.openxmlformats.org/officeDocument/2006/relationships/drawing" Target="../drawings/drawing2.xml"/><Relationship Id="rId16" Type="http://schemas.openxmlformats.org/officeDocument/2006/relationships/image" Target="../media/image8.emf"/><Relationship Id="rId29" Type="http://schemas.openxmlformats.org/officeDocument/2006/relationships/control" Target="../activeX/activeX13.xml"/><Relationship Id="rId11" Type="http://schemas.openxmlformats.org/officeDocument/2006/relationships/control" Target="../activeX/activeX4.xml"/><Relationship Id="rId24" Type="http://schemas.openxmlformats.org/officeDocument/2006/relationships/image" Target="../media/image12.emf"/><Relationship Id="rId32" Type="http://schemas.openxmlformats.org/officeDocument/2006/relationships/image" Target="../media/image16.emf"/><Relationship Id="rId37" Type="http://schemas.openxmlformats.org/officeDocument/2006/relationships/control" Target="../activeX/activeX17.xml"/><Relationship Id="rId40" Type="http://schemas.openxmlformats.org/officeDocument/2006/relationships/image" Target="../media/image20.emf"/><Relationship Id="rId45" Type="http://schemas.openxmlformats.org/officeDocument/2006/relationships/control" Target="../activeX/activeX21.xml"/><Relationship Id="rId53" Type="http://schemas.openxmlformats.org/officeDocument/2006/relationships/comments" Target="../comments1.xml"/><Relationship Id="rId5" Type="http://schemas.openxmlformats.org/officeDocument/2006/relationships/control" Target="../activeX/activeX1.xml"/><Relationship Id="rId10" Type="http://schemas.openxmlformats.org/officeDocument/2006/relationships/image" Target="../media/image5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2.emf"/><Relationship Id="rId52" Type="http://schemas.openxmlformats.org/officeDocument/2006/relationships/image" Target="../media/image26.emf"/><Relationship Id="rId4" Type="http://schemas.openxmlformats.org/officeDocument/2006/relationships/image" Target="../media/image2.jpeg"/><Relationship Id="rId9" Type="http://schemas.openxmlformats.org/officeDocument/2006/relationships/control" Target="../activeX/activeX3.xml"/><Relationship Id="rId14" Type="http://schemas.openxmlformats.org/officeDocument/2006/relationships/image" Target="../media/image7.emf"/><Relationship Id="rId22" Type="http://schemas.openxmlformats.org/officeDocument/2006/relationships/image" Target="../media/image11.emf"/><Relationship Id="rId27" Type="http://schemas.openxmlformats.org/officeDocument/2006/relationships/control" Target="../activeX/activeX12.xml"/><Relationship Id="rId30" Type="http://schemas.openxmlformats.org/officeDocument/2006/relationships/image" Target="../media/image15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4.emf"/><Relationship Id="rId8" Type="http://schemas.openxmlformats.org/officeDocument/2006/relationships/image" Target="../media/image4.emf"/><Relationship Id="rId51" Type="http://schemas.openxmlformats.org/officeDocument/2006/relationships/control" Target="../activeX/activeX24.xml"/><Relationship Id="rId3" Type="http://schemas.openxmlformats.org/officeDocument/2006/relationships/vmlDrawing" Target="../drawings/vmlDrawing1.vml"/><Relationship Id="rId12" Type="http://schemas.openxmlformats.org/officeDocument/2006/relationships/image" Target="../media/image6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9.emf"/><Relationship Id="rId46" Type="http://schemas.openxmlformats.org/officeDocument/2006/relationships/image" Target="../media/image23.emf"/><Relationship Id="rId20" Type="http://schemas.openxmlformats.org/officeDocument/2006/relationships/image" Target="../media/image10.emf"/><Relationship Id="rId41" Type="http://schemas.openxmlformats.org/officeDocument/2006/relationships/control" Target="../activeX/activeX19.xml"/><Relationship Id="rId1" Type="http://schemas.openxmlformats.org/officeDocument/2006/relationships/printerSettings" Target="../printerSettings/printerSettings3.bin"/><Relationship Id="rId6" Type="http://schemas.openxmlformats.org/officeDocument/2006/relationships/image" Target="../media/image3.emf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4.emf"/><Relationship Id="rId36" Type="http://schemas.openxmlformats.org/officeDocument/2006/relationships/image" Target="../media/image18.emf"/><Relationship Id="rId49" Type="http://schemas.openxmlformats.org/officeDocument/2006/relationships/control" Target="../activeX/activeX2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27.emf"/><Relationship Id="rId4" Type="http://schemas.openxmlformats.org/officeDocument/2006/relationships/control" Target="../activeX/activeX2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image" Target="../media/image28.emf"/><Relationship Id="rId4" Type="http://schemas.openxmlformats.org/officeDocument/2006/relationships/control" Target="../activeX/activeX2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K572"/>
  <sheetViews>
    <sheetView workbookViewId="0">
      <selection sqref="A1:AX573"/>
    </sheetView>
  </sheetViews>
  <sheetFormatPr defaultRowHeight="12.75" x14ac:dyDescent="0.25"/>
  <cols>
    <col min="1" max="1" width="12" style="432" customWidth="1"/>
    <col min="2" max="2" width="8" style="432" customWidth="1"/>
    <col min="3" max="3" width="1" style="432" customWidth="1"/>
    <col min="4" max="4" width="2.85546875" style="432" customWidth="1"/>
    <col min="5" max="5" width="4" style="432" customWidth="1"/>
    <col min="6" max="7" width="1" style="432" customWidth="1"/>
    <col min="8" max="8" width="1.85546875" style="432" customWidth="1"/>
    <col min="9" max="9" width="1" style="432" customWidth="1"/>
    <col min="10" max="10" width="4" style="432" customWidth="1"/>
    <col min="11" max="11" width="8" style="432" customWidth="1"/>
    <col min="12" max="12" width="1" style="432" customWidth="1"/>
    <col min="13" max="13" width="1.85546875" style="432" customWidth="1"/>
    <col min="14" max="15" width="1" style="432" customWidth="1"/>
    <col min="16" max="16" width="1.85546875" style="432" customWidth="1"/>
    <col min="17" max="18" width="1" style="432" customWidth="1"/>
    <col min="19" max="19" width="2.85546875" style="432" customWidth="1"/>
    <col min="20" max="20" width="5" style="432" customWidth="1"/>
    <col min="21" max="21" width="9" style="432" customWidth="1"/>
    <col min="22" max="22" width="2.85546875" style="432" customWidth="1"/>
    <col min="23" max="23" width="1.85546875" style="432" customWidth="1"/>
    <col min="24" max="25" width="2.85546875" style="432" customWidth="1"/>
    <col min="26" max="26" width="1" style="432" customWidth="1"/>
    <col min="27" max="27" width="1.85546875" style="432" customWidth="1"/>
    <col min="28" max="28" width="1" style="432" customWidth="1"/>
    <col min="29" max="30" width="1.85546875" style="432" customWidth="1"/>
    <col min="31" max="32" width="2.85546875" style="432" customWidth="1"/>
    <col min="33" max="33" width="1.85546875" style="432" customWidth="1"/>
    <col min="34" max="34" width="1" style="432" customWidth="1"/>
    <col min="35" max="35" width="1.85546875" style="432" customWidth="1"/>
    <col min="36" max="37" width="1" style="432" customWidth="1"/>
    <col min="38" max="38" width="6.85546875" style="432" customWidth="1"/>
    <col min="39" max="16384" width="9.140625" style="432"/>
  </cols>
  <sheetData>
    <row r="1" spans="1:31" ht="15" customHeight="1" x14ac:dyDescent="0.25">
      <c r="A1" s="460" t="s">
        <v>2847</v>
      </c>
      <c r="B1" s="460"/>
      <c r="C1" s="460"/>
      <c r="D1" s="462" t="s">
        <v>2889</v>
      </c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0" t="s">
        <v>2848</v>
      </c>
      <c r="P1" s="460"/>
      <c r="Q1" s="460"/>
      <c r="R1" s="460"/>
      <c r="S1" s="460"/>
      <c r="T1" s="460"/>
      <c r="U1" s="460"/>
      <c r="V1" s="462" t="s">
        <v>2890</v>
      </c>
      <c r="W1" s="462"/>
      <c r="X1" s="462"/>
      <c r="Y1" s="462"/>
      <c r="Z1" s="462"/>
      <c r="AA1" s="462"/>
      <c r="AB1" s="462"/>
      <c r="AC1" s="462"/>
      <c r="AD1" s="462"/>
      <c r="AE1" s="462"/>
    </row>
    <row r="2" spans="1:31" ht="26.1" customHeight="1" x14ac:dyDescent="0.25">
      <c r="A2" s="454" t="s">
        <v>2891</v>
      </c>
      <c r="B2" s="454"/>
      <c r="C2" s="454"/>
      <c r="D2" s="462" t="s">
        <v>2892</v>
      </c>
      <c r="E2" s="462"/>
      <c r="F2" s="462"/>
      <c r="G2" s="462"/>
      <c r="H2" s="462"/>
      <c r="I2" s="462"/>
      <c r="J2" s="462"/>
      <c r="K2" s="462"/>
      <c r="L2" s="462"/>
      <c r="M2" s="462"/>
      <c r="N2" s="462"/>
      <c r="O2" s="454" t="s">
        <v>2893</v>
      </c>
      <c r="P2" s="454"/>
      <c r="Q2" s="454"/>
      <c r="R2" s="454"/>
      <c r="S2" s="454"/>
      <c r="T2" s="454"/>
      <c r="U2" s="454"/>
      <c r="V2" s="462" t="s">
        <v>2894</v>
      </c>
      <c r="W2" s="462"/>
      <c r="X2" s="462"/>
      <c r="Y2" s="462"/>
      <c r="Z2" s="462"/>
      <c r="AA2" s="462"/>
      <c r="AB2" s="462"/>
      <c r="AC2" s="462"/>
      <c r="AD2" s="462"/>
      <c r="AE2" s="462"/>
    </row>
    <row r="3" spans="1:31" ht="15" customHeight="1" x14ac:dyDescent="0.25">
      <c r="A3" s="432" t="s">
        <v>2895</v>
      </c>
    </row>
    <row r="4" spans="1:31" ht="12" customHeight="1" x14ac:dyDescent="0.25">
      <c r="A4" s="434" t="s">
        <v>2849</v>
      </c>
    </row>
    <row r="5" spans="1:31" ht="12" customHeight="1" x14ac:dyDescent="0.25">
      <c r="A5" s="434" t="s">
        <v>2850</v>
      </c>
    </row>
    <row r="6" spans="1:31" ht="14.1" customHeight="1" x14ac:dyDescent="0.25">
      <c r="A6" s="435" t="s">
        <v>2896</v>
      </c>
    </row>
    <row r="7" spans="1:31" ht="15" customHeight="1" x14ac:dyDescent="0.25">
      <c r="A7" s="460" t="s">
        <v>2858</v>
      </c>
      <c r="B7" s="460"/>
      <c r="C7" s="460"/>
      <c r="D7" s="460"/>
      <c r="E7" s="470">
        <v>707</v>
      </c>
      <c r="F7" s="470"/>
      <c r="G7" s="470"/>
      <c r="H7" s="470"/>
      <c r="I7" s="470"/>
      <c r="J7" s="470"/>
      <c r="K7" s="470"/>
      <c r="L7" s="460" t="s">
        <v>2859</v>
      </c>
      <c r="M7" s="460"/>
      <c r="N7" s="460"/>
      <c r="O7" s="460"/>
      <c r="P7" s="460"/>
      <c r="Q7" s="460"/>
      <c r="R7" s="460"/>
      <c r="S7" s="460"/>
      <c r="T7" s="460"/>
      <c r="U7" s="460"/>
      <c r="V7" s="460"/>
      <c r="W7" s="460"/>
      <c r="X7" s="462" t="s">
        <v>2860</v>
      </c>
      <c r="Y7" s="462"/>
      <c r="Z7" s="462"/>
      <c r="AA7" s="462"/>
      <c r="AB7" s="462"/>
      <c r="AC7" s="462"/>
      <c r="AD7" s="462"/>
    </row>
    <row r="8" spans="1:31" ht="9.9499999999999993" customHeight="1" x14ac:dyDescent="0.25">
      <c r="A8" s="460" t="s">
        <v>2851</v>
      </c>
      <c r="B8" s="460"/>
      <c r="C8" s="460"/>
      <c r="D8" s="460"/>
      <c r="E8" s="463">
        <v>45</v>
      </c>
      <c r="F8" s="463"/>
      <c r="G8" s="463"/>
      <c r="H8" s="463"/>
      <c r="I8" s="463"/>
      <c r="J8" s="463"/>
      <c r="K8" s="463"/>
      <c r="L8" s="460" t="s">
        <v>2861</v>
      </c>
      <c r="M8" s="460"/>
      <c r="N8" s="460"/>
      <c r="O8" s="460"/>
      <c r="P8" s="460"/>
      <c r="Q8" s="460"/>
      <c r="R8" s="460"/>
      <c r="S8" s="460"/>
      <c r="T8" s="460"/>
      <c r="U8" s="460"/>
      <c r="V8" s="460"/>
      <c r="W8" s="460"/>
      <c r="X8" s="462" t="s">
        <v>2862</v>
      </c>
      <c r="Y8" s="462"/>
      <c r="Z8" s="462"/>
      <c r="AA8" s="462"/>
      <c r="AB8" s="462"/>
      <c r="AC8" s="462"/>
      <c r="AD8" s="462"/>
    </row>
    <row r="9" spans="1:31" ht="24.95" customHeight="1" x14ac:dyDescent="0.25">
      <c r="A9" s="460" t="s">
        <v>2852</v>
      </c>
      <c r="B9" s="460"/>
      <c r="C9" s="460"/>
      <c r="D9" s="460"/>
      <c r="E9" s="462" t="s">
        <v>2853</v>
      </c>
      <c r="F9" s="462"/>
      <c r="G9" s="462"/>
      <c r="H9" s="462"/>
      <c r="I9" s="462"/>
      <c r="J9" s="462"/>
      <c r="K9" s="462"/>
      <c r="L9" s="460" t="s">
        <v>2863</v>
      </c>
      <c r="M9" s="460"/>
      <c r="N9" s="460"/>
      <c r="O9" s="460"/>
      <c r="P9" s="460"/>
      <c r="Q9" s="460"/>
      <c r="R9" s="460"/>
      <c r="S9" s="460"/>
      <c r="T9" s="460"/>
      <c r="U9" s="460"/>
      <c r="V9" s="460"/>
      <c r="W9" s="460"/>
      <c r="X9" s="462" t="s">
        <v>2897</v>
      </c>
      <c r="Y9" s="462"/>
      <c r="Z9" s="462"/>
      <c r="AA9" s="462"/>
      <c r="AB9" s="462"/>
      <c r="AC9" s="462"/>
      <c r="AD9" s="462"/>
    </row>
    <row r="10" spans="1:31" ht="18.95" customHeight="1" x14ac:dyDescent="0.25">
      <c r="A10" s="454"/>
      <c r="B10" s="454"/>
      <c r="C10" s="454"/>
      <c r="D10" s="454"/>
      <c r="E10" s="454"/>
      <c r="F10" s="460" t="s">
        <v>2864</v>
      </c>
      <c r="G10" s="460"/>
      <c r="H10" s="460"/>
      <c r="I10" s="460"/>
      <c r="J10" s="460"/>
      <c r="K10" s="460"/>
      <c r="L10" s="460"/>
      <c r="M10" s="460"/>
      <c r="N10" s="460"/>
      <c r="O10" s="460"/>
      <c r="P10" s="460"/>
      <c r="Q10" s="460"/>
      <c r="R10" s="460" t="s">
        <v>2865</v>
      </c>
      <c r="S10" s="460"/>
      <c r="T10" s="460"/>
      <c r="U10" s="460"/>
      <c r="V10" s="460"/>
    </row>
    <row r="11" spans="1:31" ht="15" customHeight="1" x14ac:dyDescent="0.25">
      <c r="A11" s="460" t="s">
        <v>2854</v>
      </c>
      <c r="B11" s="460"/>
      <c r="C11" s="460"/>
      <c r="D11" s="460"/>
      <c r="E11" s="460"/>
      <c r="F11" s="463">
        <v>2170</v>
      </c>
      <c r="G11" s="463"/>
      <c r="H11" s="463"/>
      <c r="I11" s="463"/>
      <c r="J11" s="463"/>
      <c r="K11" s="463"/>
      <c r="L11" s="463"/>
      <c r="M11" s="463"/>
      <c r="N11" s="463"/>
      <c r="O11" s="463"/>
      <c r="P11" s="463"/>
      <c r="Q11" s="463"/>
      <c r="R11" s="463">
        <v>2170</v>
      </c>
      <c r="S11" s="463"/>
      <c r="T11" s="463"/>
      <c r="U11" s="463"/>
      <c r="V11" s="463"/>
    </row>
    <row r="12" spans="1:31" ht="9.9499999999999993" customHeight="1" x14ac:dyDescent="0.25">
      <c r="A12" s="460" t="s">
        <v>2866</v>
      </c>
      <c r="B12" s="460"/>
      <c r="C12" s="460"/>
      <c r="D12" s="460"/>
      <c r="E12" s="460"/>
      <c r="F12" s="463">
        <v>400</v>
      </c>
      <c r="G12" s="463"/>
      <c r="H12" s="463"/>
      <c r="I12" s="463"/>
      <c r="J12" s="463"/>
      <c r="K12" s="463"/>
      <c r="L12" s="463"/>
      <c r="M12" s="463"/>
      <c r="N12" s="463"/>
      <c r="O12" s="463"/>
      <c r="P12" s="463"/>
      <c r="Q12" s="463"/>
      <c r="R12" s="463">
        <v>400</v>
      </c>
      <c r="S12" s="463"/>
      <c r="T12" s="463"/>
      <c r="U12" s="463"/>
      <c r="V12" s="463"/>
    </row>
    <row r="13" spans="1:31" ht="9.9499999999999993" customHeight="1" x14ac:dyDescent="0.25">
      <c r="A13" s="460" t="s">
        <v>2867</v>
      </c>
      <c r="B13" s="460"/>
      <c r="C13" s="460"/>
      <c r="D13" s="460"/>
      <c r="E13" s="460"/>
      <c r="F13" s="463">
        <v>907</v>
      </c>
      <c r="G13" s="463"/>
      <c r="H13" s="463"/>
      <c r="I13" s="463"/>
      <c r="J13" s="463"/>
      <c r="K13" s="463"/>
      <c r="L13" s="463"/>
      <c r="M13" s="463"/>
      <c r="N13" s="463"/>
      <c r="O13" s="463"/>
      <c r="P13" s="463"/>
      <c r="Q13" s="463"/>
      <c r="R13" s="463">
        <v>649</v>
      </c>
      <c r="S13" s="463"/>
      <c r="T13" s="463"/>
      <c r="U13" s="463"/>
      <c r="V13" s="463"/>
    </row>
    <row r="14" spans="1:31" ht="15" customHeight="1" x14ac:dyDescent="0.25">
      <c r="A14" s="460" t="s">
        <v>2868</v>
      </c>
      <c r="B14" s="460"/>
      <c r="C14" s="460"/>
      <c r="D14" s="460"/>
      <c r="E14" s="460"/>
      <c r="F14" s="461">
        <v>143</v>
      </c>
      <c r="G14" s="461"/>
      <c r="H14" s="461"/>
      <c r="I14" s="461"/>
      <c r="J14" s="461"/>
      <c r="K14" s="461"/>
      <c r="L14" s="461"/>
      <c r="M14" s="461"/>
      <c r="N14" s="461"/>
      <c r="O14" s="461"/>
      <c r="P14" s="461"/>
      <c r="Q14" s="461"/>
      <c r="R14" s="461">
        <v>143</v>
      </c>
      <c r="S14" s="461"/>
      <c r="T14" s="461"/>
      <c r="U14" s="461"/>
      <c r="V14" s="461"/>
    </row>
    <row r="15" spans="1:31" ht="15" customHeight="1" x14ac:dyDescent="0.25">
      <c r="A15" s="433" t="s">
        <v>2869</v>
      </c>
    </row>
    <row r="16" spans="1:31" ht="15" customHeight="1" x14ac:dyDescent="0.25">
      <c r="A16" s="433" t="s">
        <v>2870</v>
      </c>
    </row>
    <row r="17" spans="1:1" ht="15" customHeight="1" x14ac:dyDescent="0.25">
      <c r="A17" s="433" t="s">
        <v>2855</v>
      </c>
    </row>
    <row r="18" spans="1:1" ht="12.95" customHeight="1" x14ac:dyDescent="0.25">
      <c r="A18" s="436" t="s">
        <v>2898</v>
      </c>
    </row>
    <row r="19" spans="1:1" ht="12.95" customHeight="1" x14ac:dyDescent="0.25">
      <c r="A19" s="436" t="s">
        <v>2899</v>
      </c>
    </row>
    <row r="20" spans="1:1" ht="12.95" customHeight="1" x14ac:dyDescent="0.25">
      <c r="A20" s="437" t="s">
        <v>2900</v>
      </c>
    </row>
    <row r="21" spans="1:1" ht="12.95" customHeight="1" x14ac:dyDescent="0.25">
      <c r="A21" s="436" t="s">
        <v>2901</v>
      </c>
    </row>
    <row r="22" spans="1:1" ht="12.95" customHeight="1" x14ac:dyDescent="0.25">
      <c r="A22" s="437" t="s">
        <v>2902</v>
      </c>
    </row>
    <row r="23" spans="1:1" ht="12.95" customHeight="1" x14ac:dyDescent="0.25">
      <c r="A23" s="436" t="s">
        <v>2903</v>
      </c>
    </row>
    <row r="24" spans="1:1" ht="12.95" customHeight="1" x14ac:dyDescent="0.25">
      <c r="A24" s="437" t="s">
        <v>2904</v>
      </c>
    </row>
    <row r="25" spans="1:1" ht="12.95" customHeight="1" x14ac:dyDescent="0.25">
      <c r="A25" s="442" t="s">
        <v>2905</v>
      </c>
    </row>
    <row r="26" spans="1:1" ht="18" customHeight="1" x14ac:dyDescent="0.25">
      <c r="A26" s="437" t="s">
        <v>2906</v>
      </c>
    </row>
    <row r="27" spans="1:1" ht="18" customHeight="1" x14ac:dyDescent="0.25">
      <c r="A27" s="437" t="s">
        <v>2813</v>
      </c>
    </row>
    <row r="28" spans="1:1" ht="12.95" customHeight="1" x14ac:dyDescent="0.25">
      <c r="A28" s="436" t="s">
        <v>2907</v>
      </c>
    </row>
    <row r="29" spans="1:1" ht="12.95" customHeight="1" x14ac:dyDescent="0.25">
      <c r="A29" s="437" t="s">
        <v>2908</v>
      </c>
    </row>
    <row r="30" spans="1:1" ht="12.95" customHeight="1" x14ac:dyDescent="0.25">
      <c r="A30" s="437" t="s">
        <v>2909</v>
      </c>
    </row>
    <row r="31" spans="1:1" ht="12.95" customHeight="1" x14ac:dyDescent="0.25">
      <c r="A31" s="437" t="s">
        <v>2813</v>
      </c>
    </row>
    <row r="32" spans="1:1" ht="12.95" customHeight="1" x14ac:dyDescent="0.25">
      <c r="A32" s="436" t="s">
        <v>2910</v>
      </c>
    </row>
    <row r="33" spans="1:1" ht="14.1" customHeight="1" x14ac:dyDescent="0.25">
      <c r="A33" s="432" t="s">
        <v>2911</v>
      </c>
    </row>
    <row r="34" spans="1:1" ht="18.95" customHeight="1" x14ac:dyDescent="0.25">
      <c r="A34" s="437" t="s">
        <v>2912</v>
      </c>
    </row>
    <row r="35" spans="1:1" ht="12.95" customHeight="1" x14ac:dyDescent="0.25">
      <c r="A35" s="437" t="s">
        <v>2913</v>
      </c>
    </row>
    <row r="36" spans="1:1" ht="12.95" customHeight="1" x14ac:dyDescent="0.25">
      <c r="A36" s="437" t="s">
        <v>2914</v>
      </c>
    </row>
    <row r="37" spans="1:1" ht="12.95" customHeight="1" x14ac:dyDescent="0.25">
      <c r="A37" s="436" t="s">
        <v>2812</v>
      </c>
    </row>
    <row r="38" spans="1:1" ht="12.95" customHeight="1" x14ac:dyDescent="0.25">
      <c r="A38" s="436" t="s">
        <v>2915</v>
      </c>
    </row>
    <row r="39" spans="1:1" ht="14.1" customHeight="1" x14ac:dyDescent="0.25">
      <c r="A39" s="432" t="s">
        <v>2916</v>
      </c>
    </row>
    <row r="40" spans="1:1" ht="12.95" customHeight="1" x14ac:dyDescent="0.25">
      <c r="A40" s="437" t="s">
        <v>2814</v>
      </c>
    </row>
    <row r="41" spans="1:1" ht="18" customHeight="1" x14ac:dyDescent="0.25">
      <c r="A41" s="437" t="s">
        <v>2917</v>
      </c>
    </row>
    <row r="42" spans="1:1" ht="12.95" customHeight="1" x14ac:dyDescent="0.25">
      <c r="A42" s="437" t="s">
        <v>2814</v>
      </c>
    </row>
    <row r="43" spans="1:1" ht="18" customHeight="1" x14ac:dyDescent="0.25">
      <c r="A43" s="437" t="s">
        <v>2918</v>
      </c>
    </row>
    <row r="44" spans="1:1" ht="18.95" customHeight="1" x14ac:dyDescent="0.25">
      <c r="A44" s="437" t="s">
        <v>2919</v>
      </c>
    </row>
    <row r="45" spans="1:1" ht="18.95" customHeight="1" x14ac:dyDescent="0.25">
      <c r="A45" s="432" t="s">
        <v>2920</v>
      </c>
    </row>
    <row r="46" spans="1:1" ht="18.95" customHeight="1" x14ac:dyDescent="0.25">
      <c r="A46" s="436" t="s">
        <v>2812</v>
      </c>
    </row>
    <row r="47" spans="1:1" ht="18.95" customHeight="1" x14ac:dyDescent="0.25">
      <c r="A47" s="437" t="s">
        <v>2817</v>
      </c>
    </row>
    <row r="48" spans="1:1" ht="12.95" customHeight="1" x14ac:dyDescent="0.25">
      <c r="A48" s="436" t="s">
        <v>2921</v>
      </c>
    </row>
    <row r="49" spans="1:37" ht="14.1" customHeight="1" x14ac:dyDescent="0.25">
      <c r="A49" s="432" t="s">
        <v>2922</v>
      </c>
    </row>
    <row r="50" spans="1:37" ht="18" customHeight="1" x14ac:dyDescent="0.25">
      <c r="A50" s="432" t="s">
        <v>2923</v>
      </c>
    </row>
    <row r="51" spans="1:37" ht="12.95" customHeight="1" x14ac:dyDescent="0.25">
      <c r="A51" s="437" t="s">
        <v>2924</v>
      </c>
    </row>
    <row r="52" spans="1:37" ht="12.95" customHeight="1" x14ac:dyDescent="0.25">
      <c r="A52" s="437" t="s">
        <v>2814</v>
      </c>
    </row>
    <row r="53" spans="1:37" ht="18" customHeight="1" x14ac:dyDescent="0.25">
      <c r="A53" s="437" t="s">
        <v>2925</v>
      </c>
    </row>
    <row r="54" spans="1:37" ht="24.95" customHeight="1" x14ac:dyDescent="0.25">
      <c r="A54" s="454" t="s">
        <v>2926</v>
      </c>
      <c r="B54" s="454"/>
      <c r="C54" s="454"/>
      <c r="D54" s="454"/>
      <c r="E54" s="454"/>
      <c r="F54" s="454"/>
      <c r="G54" s="454"/>
      <c r="H54" s="454"/>
      <c r="I54" s="454" t="s">
        <v>2927</v>
      </c>
      <c r="J54" s="454"/>
      <c r="K54" s="454"/>
      <c r="L54" s="454"/>
      <c r="M54" s="454"/>
      <c r="N54" s="454"/>
      <c r="O54" s="454"/>
      <c r="P54" s="454"/>
      <c r="Q54" s="454"/>
      <c r="R54" s="454" t="s">
        <v>2928</v>
      </c>
      <c r="S54" s="454"/>
      <c r="T54" s="454"/>
      <c r="U54" s="454"/>
      <c r="V54" s="454"/>
      <c r="W54" s="454"/>
      <c r="X54" s="454"/>
      <c r="Y54" s="454"/>
      <c r="Z54" s="454"/>
      <c r="AA54" s="454"/>
      <c r="AB54" s="454" t="s">
        <v>2929</v>
      </c>
      <c r="AC54" s="454"/>
      <c r="AD54" s="454"/>
      <c r="AE54" s="454"/>
      <c r="AF54" s="454"/>
      <c r="AG54" s="454"/>
      <c r="AH54" s="454"/>
      <c r="AI54" s="454"/>
    </row>
    <row r="55" spans="1:37" ht="12" customHeight="1" x14ac:dyDescent="0.25">
      <c r="A55" s="457" t="s">
        <v>2930</v>
      </c>
      <c r="B55" s="457"/>
      <c r="C55" s="457"/>
      <c r="D55" s="457"/>
      <c r="E55" s="457"/>
      <c r="F55" s="457"/>
      <c r="G55" s="457"/>
      <c r="H55" s="457"/>
      <c r="I55" s="454" t="s">
        <v>2931</v>
      </c>
      <c r="J55" s="454"/>
      <c r="K55" s="454"/>
      <c r="L55" s="454"/>
      <c r="M55" s="454"/>
      <c r="N55" s="454"/>
      <c r="O55" s="454"/>
      <c r="P55" s="454"/>
      <c r="Q55" s="454"/>
      <c r="R55" s="457" t="s">
        <v>2932</v>
      </c>
      <c r="S55" s="457"/>
      <c r="T55" s="457"/>
      <c r="U55" s="457"/>
      <c r="V55" s="457"/>
      <c r="W55" s="457"/>
      <c r="X55" s="457"/>
      <c r="Y55" s="457"/>
      <c r="Z55" s="457"/>
      <c r="AA55" s="457"/>
      <c r="AB55" s="457" t="s">
        <v>2933</v>
      </c>
      <c r="AC55" s="457"/>
      <c r="AD55" s="457"/>
      <c r="AE55" s="457"/>
      <c r="AF55" s="457"/>
      <c r="AG55" s="457"/>
      <c r="AH55" s="457"/>
      <c r="AI55" s="457"/>
    </row>
    <row r="56" spans="1:37" ht="12.95" customHeight="1" x14ac:dyDescent="0.25">
      <c r="A56" s="454" t="s">
        <v>2934</v>
      </c>
      <c r="B56" s="454"/>
      <c r="C56" s="454"/>
      <c r="D56" s="454"/>
      <c r="E56" s="454"/>
      <c r="F56" s="454"/>
      <c r="G56" s="454"/>
      <c r="H56" s="454"/>
      <c r="I56" s="454"/>
      <c r="J56" s="454"/>
      <c r="K56" s="454"/>
      <c r="L56" s="454"/>
      <c r="M56" s="454"/>
      <c r="N56" s="454"/>
      <c r="O56" s="454"/>
      <c r="P56" s="454"/>
      <c r="Q56" s="454"/>
      <c r="R56" s="457" t="s">
        <v>2935</v>
      </c>
      <c r="S56" s="457"/>
      <c r="T56" s="457"/>
      <c r="U56" s="457"/>
      <c r="V56" s="457"/>
      <c r="W56" s="457"/>
      <c r="X56" s="457"/>
      <c r="Y56" s="457"/>
      <c r="Z56" s="457"/>
      <c r="AA56" s="457"/>
      <c r="AB56" s="469">
        <v>1</v>
      </c>
      <c r="AC56" s="469"/>
      <c r="AD56" s="469"/>
      <c r="AE56" s="469"/>
      <c r="AF56" s="469"/>
      <c r="AG56" s="469"/>
      <c r="AH56" s="469"/>
      <c r="AI56" s="469"/>
    </row>
    <row r="57" spans="1:37" ht="27.95" customHeight="1" x14ac:dyDescent="0.25">
      <c r="A57" s="454" t="s">
        <v>2936</v>
      </c>
      <c r="B57" s="454"/>
      <c r="C57" s="454"/>
      <c r="D57" s="454"/>
      <c r="E57" s="454"/>
      <c r="F57" s="454"/>
      <c r="G57" s="454"/>
      <c r="H57" s="454"/>
      <c r="I57" s="454"/>
      <c r="J57" s="454"/>
      <c r="K57" s="454"/>
      <c r="L57" s="454"/>
      <c r="M57" s="454"/>
      <c r="N57" s="454"/>
      <c r="O57" s="454"/>
      <c r="P57" s="454"/>
      <c r="Q57" s="454"/>
      <c r="R57" s="454" t="s">
        <v>2937</v>
      </c>
      <c r="S57" s="454"/>
      <c r="T57" s="454"/>
      <c r="U57" s="454"/>
      <c r="V57" s="454"/>
      <c r="W57" s="454"/>
      <c r="X57" s="454"/>
      <c r="Y57" s="454"/>
      <c r="Z57" s="454"/>
      <c r="AA57" s="454"/>
      <c r="AB57" s="454" t="s">
        <v>2938</v>
      </c>
      <c r="AC57" s="454"/>
      <c r="AD57" s="454"/>
      <c r="AE57" s="454"/>
      <c r="AF57" s="454"/>
      <c r="AG57" s="454"/>
      <c r="AH57" s="454"/>
      <c r="AI57" s="454"/>
    </row>
    <row r="58" spans="1:37" ht="12.95" customHeight="1" x14ac:dyDescent="0.25">
      <c r="A58" s="436" t="s">
        <v>2812</v>
      </c>
    </row>
    <row r="59" spans="1:37" ht="12.95" customHeight="1" x14ac:dyDescent="0.25">
      <c r="A59" s="437" t="s">
        <v>2817</v>
      </c>
    </row>
    <row r="60" spans="1:37" ht="12.95" customHeight="1" x14ac:dyDescent="0.25">
      <c r="A60" s="436" t="s">
        <v>2939</v>
      </c>
    </row>
    <row r="61" spans="1:37" ht="29.1" customHeight="1" x14ac:dyDescent="0.25">
      <c r="A61" s="468" t="s">
        <v>2940</v>
      </c>
      <c r="B61" s="468"/>
      <c r="C61" s="468"/>
      <c r="D61" s="468"/>
      <c r="E61" s="468"/>
      <c r="F61" s="468"/>
      <c r="G61" s="468"/>
      <c r="H61" s="468"/>
      <c r="I61" s="468"/>
      <c r="J61" s="468" t="s">
        <v>2941</v>
      </c>
      <c r="K61" s="468"/>
      <c r="L61" s="468"/>
      <c r="M61" s="468"/>
      <c r="N61" s="468"/>
      <c r="O61" s="468"/>
      <c r="P61" s="468" t="s">
        <v>2732</v>
      </c>
      <c r="Q61" s="468"/>
      <c r="R61" s="468"/>
      <c r="S61" s="468"/>
      <c r="T61" s="468"/>
      <c r="U61" s="468"/>
      <c r="V61" s="468"/>
      <c r="W61" s="468"/>
      <c r="X61" s="468"/>
      <c r="Y61" s="468"/>
      <c r="Z61" s="468"/>
      <c r="AA61" s="468"/>
      <c r="AB61" s="468"/>
      <c r="AC61" s="468" t="s">
        <v>2942</v>
      </c>
      <c r="AD61" s="468"/>
      <c r="AE61" s="468"/>
      <c r="AF61" s="468"/>
      <c r="AG61" s="468"/>
      <c r="AH61" s="468"/>
      <c r="AI61" s="468"/>
      <c r="AJ61" s="468"/>
      <c r="AK61" s="468"/>
    </row>
    <row r="62" spans="1:37" ht="38.1" customHeight="1" x14ac:dyDescent="0.25">
      <c r="A62" s="457" t="s">
        <v>2733</v>
      </c>
      <c r="B62" s="457"/>
      <c r="C62" s="457"/>
      <c r="D62" s="457"/>
      <c r="E62" s="457"/>
      <c r="F62" s="457"/>
      <c r="G62" s="457"/>
      <c r="H62" s="457"/>
      <c r="I62" s="457"/>
      <c r="J62" s="454" t="s">
        <v>2943</v>
      </c>
      <c r="K62" s="454"/>
      <c r="L62" s="454"/>
      <c r="M62" s="454"/>
      <c r="N62" s="454"/>
      <c r="O62" s="454"/>
      <c r="P62" s="457" t="s">
        <v>2845</v>
      </c>
      <c r="Q62" s="457"/>
      <c r="R62" s="457"/>
      <c r="S62" s="457"/>
      <c r="T62" s="457"/>
      <c r="U62" s="457"/>
      <c r="V62" s="457"/>
      <c r="W62" s="457"/>
      <c r="X62" s="457"/>
      <c r="Y62" s="457"/>
      <c r="Z62" s="457"/>
      <c r="AA62" s="457"/>
      <c r="AB62" s="457"/>
      <c r="AC62" s="454" t="s">
        <v>2944</v>
      </c>
      <c r="AD62" s="454"/>
      <c r="AE62" s="454"/>
      <c r="AF62" s="454"/>
      <c r="AG62" s="454"/>
      <c r="AH62" s="454"/>
      <c r="AI62" s="454"/>
      <c r="AJ62" s="454"/>
      <c r="AK62" s="454"/>
    </row>
    <row r="63" spans="1:37" ht="18" customHeight="1" x14ac:dyDescent="0.25">
      <c r="A63" s="457" t="s">
        <v>2871</v>
      </c>
      <c r="B63" s="457"/>
      <c r="C63" s="457"/>
      <c r="D63" s="457"/>
      <c r="E63" s="457"/>
      <c r="F63" s="457"/>
      <c r="G63" s="457"/>
      <c r="H63" s="457"/>
      <c r="I63" s="457"/>
      <c r="J63" s="454" t="s">
        <v>2945</v>
      </c>
      <c r="K63" s="454"/>
      <c r="L63" s="454"/>
      <c r="M63" s="454"/>
      <c r="N63" s="454"/>
      <c r="O63" s="454"/>
      <c r="P63" s="457" t="s">
        <v>2872</v>
      </c>
      <c r="Q63" s="457"/>
      <c r="R63" s="457"/>
      <c r="S63" s="457"/>
      <c r="T63" s="457"/>
      <c r="U63" s="457"/>
      <c r="V63" s="457"/>
      <c r="W63" s="457"/>
      <c r="X63" s="457"/>
      <c r="Y63" s="457"/>
      <c r="Z63" s="457"/>
      <c r="AA63" s="457"/>
      <c r="AB63" s="457"/>
      <c r="AC63" s="457" t="s">
        <v>2946</v>
      </c>
      <c r="AD63" s="457"/>
      <c r="AE63" s="457"/>
      <c r="AF63" s="457"/>
      <c r="AG63" s="457"/>
      <c r="AH63" s="457"/>
      <c r="AI63" s="457"/>
      <c r="AJ63" s="457"/>
      <c r="AK63" s="457"/>
    </row>
    <row r="64" spans="1:37" ht="45" customHeight="1" x14ac:dyDescent="0.25">
      <c r="A64" s="454" t="s">
        <v>2873</v>
      </c>
      <c r="B64" s="454"/>
      <c r="C64" s="454"/>
      <c r="D64" s="454"/>
      <c r="E64" s="454"/>
      <c r="F64" s="454"/>
      <c r="G64" s="454"/>
      <c r="H64" s="454"/>
      <c r="I64" s="454"/>
      <c r="J64" s="454" t="s">
        <v>2947</v>
      </c>
      <c r="K64" s="454"/>
      <c r="L64" s="454"/>
      <c r="M64" s="454"/>
      <c r="N64" s="454"/>
      <c r="O64" s="454"/>
      <c r="P64" s="454" t="s">
        <v>2874</v>
      </c>
      <c r="Q64" s="454"/>
      <c r="R64" s="454"/>
      <c r="S64" s="454"/>
      <c r="T64" s="454"/>
      <c r="U64" s="454"/>
      <c r="V64" s="454"/>
      <c r="W64" s="454"/>
      <c r="X64" s="454"/>
      <c r="Y64" s="454"/>
      <c r="Z64" s="454"/>
      <c r="AA64" s="454"/>
      <c r="AB64" s="454"/>
      <c r="AC64" s="454" t="s">
        <v>2948</v>
      </c>
      <c r="AD64" s="454"/>
      <c r="AE64" s="454"/>
      <c r="AF64" s="454"/>
      <c r="AG64" s="454"/>
      <c r="AH64" s="454"/>
      <c r="AI64" s="454"/>
      <c r="AJ64" s="454"/>
      <c r="AK64" s="454"/>
    </row>
    <row r="65" spans="1:37" ht="33" customHeight="1" x14ac:dyDescent="0.25">
      <c r="A65" s="454" t="s">
        <v>2949</v>
      </c>
      <c r="B65" s="454"/>
      <c r="C65" s="454"/>
      <c r="D65" s="454"/>
      <c r="E65" s="454"/>
      <c r="F65" s="454"/>
      <c r="G65" s="454"/>
      <c r="H65" s="454"/>
      <c r="I65" s="454"/>
      <c r="J65" s="459" t="s">
        <v>2950</v>
      </c>
      <c r="K65" s="459"/>
      <c r="L65" s="459"/>
      <c r="M65" s="459"/>
      <c r="N65" s="459"/>
      <c r="O65" s="459"/>
      <c r="P65" s="454"/>
      <c r="Q65" s="454"/>
      <c r="R65" s="454"/>
      <c r="S65" s="454"/>
      <c r="T65" s="454"/>
      <c r="U65" s="454"/>
      <c r="V65" s="454"/>
      <c r="W65" s="454"/>
      <c r="X65" s="454"/>
      <c r="Y65" s="454"/>
      <c r="Z65" s="454"/>
      <c r="AA65" s="454"/>
      <c r="AB65" s="454"/>
      <c r="AC65" s="454"/>
      <c r="AD65" s="454"/>
      <c r="AE65" s="454"/>
      <c r="AF65" s="454"/>
      <c r="AG65" s="454"/>
      <c r="AH65" s="454"/>
      <c r="AI65" s="454"/>
      <c r="AJ65" s="454"/>
      <c r="AK65" s="454"/>
    </row>
    <row r="66" spans="1:37" ht="21" customHeight="1" x14ac:dyDescent="0.25">
      <c r="A66" s="467" t="s">
        <v>2824</v>
      </c>
      <c r="B66" s="467"/>
      <c r="C66" s="467"/>
      <c r="D66" s="467"/>
      <c r="E66" s="467"/>
      <c r="F66" s="467"/>
      <c r="G66" s="467"/>
      <c r="H66" s="467"/>
      <c r="I66" s="467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54"/>
      <c r="V66" s="454"/>
      <c r="W66" s="454"/>
      <c r="X66" s="454"/>
      <c r="Y66" s="454"/>
      <c r="Z66" s="454"/>
      <c r="AA66" s="454"/>
      <c r="AB66" s="454"/>
      <c r="AC66" s="454"/>
      <c r="AD66" s="454"/>
      <c r="AE66" s="454"/>
      <c r="AF66" s="454"/>
      <c r="AG66" s="454"/>
      <c r="AH66" s="454"/>
      <c r="AI66" s="454"/>
      <c r="AJ66" s="454"/>
      <c r="AK66" s="454"/>
    </row>
    <row r="67" spans="1:37" ht="29.1" customHeight="1" x14ac:dyDescent="0.25">
      <c r="A67" s="454" t="s">
        <v>2951</v>
      </c>
      <c r="B67" s="454"/>
      <c r="C67" s="454"/>
      <c r="D67" s="454"/>
      <c r="E67" s="454"/>
      <c r="F67" s="454"/>
      <c r="G67" s="454"/>
      <c r="H67" s="454"/>
      <c r="I67" s="454"/>
      <c r="J67" s="459" t="s">
        <v>2950</v>
      </c>
      <c r="K67" s="459"/>
      <c r="L67" s="459"/>
      <c r="M67" s="459"/>
      <c r="N67" s="459"/>
      <c r="O67" s="459"/>
      <c r="P67" s="454"/>
      <c r="Q67" s="454"/>
      <c r="R67" s="454"/>
      <c r="S67" s="454"/>
      <c r="T67" s="454"/>
      <c r="U67" s="454"/>
      <c r="V67" s="454"/>
      <c r="W67" s="454"/>
      <c r="X67" s="454"/>
      <c r="Y67" s="454"/>
      <c r="Z67" s="454"/>
      <c r="AA67" s="454"/>
      <c r="AB67" s="454"/>
      <c r="AC67" s="454"/>
      <c r="AD67" s="454"/>
      <c r="AE67" s="454"/>
      <c r="AF67" s="454"/>
      <c r="AG67" s="454"/>
      <c r="AH67" s="454"/>
      <c r="AI67" s="454"/>
      <c r="AJ67" s="454"/>
      <c r="AK67" s="454"/>
    </row>
    <row r="68" spans="1:37" ht="27" customHeight="1" x14ac:dyDescent="0.25">
      <c r="A68" s="454" t="s">
        <v>2952</v>
      </c>
      <c r="B68" s="454"/>
      <c r="C68" s="454"/>
      <c r="D68" s="454"/>
      <c r="E68" s="454"/>
      <c r="F68" s="454"/>
      <c r="G68" s="454"/>
      <c r="H68" s="454"/>
      <c r="I68" s="454"/>
      <c r="J68" s="454"/>
      <c r="K68" s="454"/>
      <c r="L68" s="454"/>
      <c r="M68" s="454"/>
      <c r="N68" s="454"/>
      <c r="O68" s="454"/>
      <c r="P68" s="459" t="s">
        <v>2809</v>
      </c>
      <c r="Q68" s="459"/>
      <c r="R68" s="459"/>
      <c r="S68" s="459"/>
      <c r="T68" s="459"/>
      <c r="U68" s="459"/>
      <c r="V68" s="459"/>
      <c r="W68" s="459"/>
      <c r="X68" s="459"/>
      <c r="Y68" s="459"/>
      <c r="Z68" s="459"/>
      <c r="AA68" s="459"/>
      <c r="AB68" s="459"/>
      <c r="AC68" s="459" t="s">
        <v>2953</v>
      </c>
      <c r="AD68" s="459"/>
      <c r="AE68" s="459"/>
      <c r="AF68" s="459"/>
      <c r="AG68" s="459"/>
      <c r="AH68" s="459"/>
      <c r="AI68" s="459"/>
      <c r="AJ68" s="459"/>
      <c r="AK68" s="459"/>
    </row>
    <row r="69" spans="1:37" ht="12.95" customHeight="1" x14ac:dyDescent="0.25">
      <c r="A69" s="457" t="s">
        <v>2810</v>
      </c>
      <c r="B69" s="457"/>
      <c r="C69" s="457"/>
      <c r="D69" s="457"/>
      <c r="E69" s="457"/>
      <c r="F69" s="457"/>
      <c r="G69" s="457"/>
      <c r="H69" s="457"/>
      <c r="I69" s="457"/>
      <c r="J69" s="454" t="s">
        <v>2880</v>
      </c>
      <c r="K69" s="454"/>
      <c r="L69" s="454"/>
      <c r="M69" s="454"/>
      <c r="N69" s="454"/>
      <c r="O69" s="454"/>
      <c r="P69" s="457" t="s">
        <v>2808</v>
      </c>
      <c r="Q69" s="457"/>
      <c r="R69" s="457"/>
      <c r="S69" s="457"/>
      <c r="T69" s="457"/>
      <c r="U69" s="457"/>
      <c r="V69" s="457"/>
      <c r="W69" s="457"/>
      <c r="X69" s="457"/>
      <c r="Y69" s="457"/>
      <c r="Z69" s="457"/>
      <c r="AA69" s="457"/>
      <c r="AB69" s="457"/>
      <c r="AC69" s="457" t="s">
        <v>2954</v>
      </c>
      <c r="AD69" s="457"/>
      <c r="AE69" s="457"/>
      <c r="AF69" s="457"/>
      <c r="AG69" s="457"/>
      <c r="AH69" s="457"/>
      <c r="AI69" s="457"/>
      <c r="AJ69" s="457"/>
      <c r="AK69" s="457"/>
    </row>
    <row r="70" spans="1:37" ht="18" customHeight="1" x14ac:dyDescent="0.25">
      <c r="A70" s="457" t="s">
        <v>2811</v>
      </c>
      <c r="B70" s="457"/>
      <c r="C70" s="457"/>
      <c r="D70" s="457"/>
      <c r="E70" s="457"/>
      <c r="F70" s="457"/>
      <c r="G70" s="457"/>
      <c r="H70" s="457"/>
      <c r="I70" s="457"/>
      <c r="J70" s="457" t="s">
        <v>2823</v>
      </c>
      <c r="K70" s="457"/>
      <c r="L70" s="457"/>
      <c r="M70" s="457"/>
      <c r="N70" s="457"/>
      <c r="O70" s="457"/>
      <c r="P70" s="454"/>
      <c r="Q70" s="454"/>
      <c r="R70" s="454"/>
      <c r="S70" s="454"/>
      <c r="T70" s="454"/>
      <c r="U70" s="454"/>
      <c r="V70" s="454"/>
      <c r="W70" s="454"/>
      <c r="X70" s="454"/>
      <c r="Y70" s="454"/>
      <c r="Z70" s="454"/>
      <c r="AA70" s="454"/>
      <c r="AB70" s="454"/>
      <c r="AC70" s="454"/>
      <c r="AD70" s="454"/>
      <c r="AE70" s="454"/>
      <c r="AF70" s="454"/>
      <c r="AG70" s="454"/>
      <c r="AH70" s="454"/>
      <c r="AI70" s="454"/>
      <c r="AJ70" s="454"/>
      <c r="AK70" s="454"/>
    </row>
    <row r="71" spans="1:37" ht="24.95" customHeight="1" x14ac:dyDescent="0.25">
      <c r="A71" s="454" t="s">
        <v>2955</v>
      </c>
      <c r="B71" s="454"/>
      <c r="C71" s="454"/>
      <c r="D71" s="454"/>
      <c r="E71" s="454"/>
      <c r="F71" s="454"/>
      <c r="G71" s="454"/>
      <c r="H71" s="454"/>
      <c r="I71" s="454"/>
      <c r="J71" s="459" t="s">
        <v>2956</v>
      </c>
      <c r="K71" s="459"/>
      <c r="L71" s="459"/>
      <c r="M71" s="459"/>
      <c r="N71" s="459"/>
      <c r="O71" s="459"/>
      <c r="P71" s="459" t="s">
        <v>2818</v>
      </c>
      <c r="Q71" s="459"/>
      <c r="R71" s="459"/>
      <c r="S71" s="459"/>
      <c r="T71" s="459"/>
      <c r="U71" s="459"/>
      <c r="V71" s="459"/>
      <c r="W71" s="459"/>
      <c r="X71" s="459"/>
      <c r="Y71" s="459"/>
      <c r="Z71" s="459"/>
      <c r="AA71" s="459"/>
      <c r="AB71" s="459"/>
      <c r="AC71" s="459" t="s">
        <v>2819</v>
      </c>
      <c r="AD71" s="459"/>
      <c r="AE71" s="459"/>
      <c r="AF71" s="459"/>
      <c r="AG71" s="459"/>
      <c r="AH71" s="459"/>
      <c r="AI71" s="459"/>
      <c r="AJ71" s="459"/>
      <c r="AK71" s="459"/>
    </row>
    <row r="72" spans="1:37" ht="9" customHeight="1" x14ac:dyDescent="0.25">
      <c r="A72" s="457" t="s">
        <v>2820</v>
      </c>
      <c r="B72" s="457"/>
      <c r="C72" s="457"/>
      <c r="D72" s="457"/>
      <c r="E72" s="457"/>
      <c r="F72" s="457"/>
      <c r="G72" s="457"/>
      <c r="H72" s="457"/>
      <c r="I72" s="457"/>
      <c r="J72" s="457" t="s">
        <v>2957</v>
      </c>
      <c r="K72" s="457"/>
      <c r="L72" s="457"/>
      <c r="M72" s="457"/>
      <c r="N72" s="457"/>
      <c r="O72" s="457"/>
      <c r="P72" s="457" t="s">
        <v>2821</v>
      </c>
      <c r="Q72" s="457"/>
      <c r="R72" s="457"/>
      <c r="S72" s="457"/>
      <c r="T72" s="457"/>
      <c r="U72" s="457"/>
      <c r="V72" s="457"/>
      <c r="W72" s="457"/>
      <c r="X72" s="457"/>
      <c r="Y72" s="457"/>
      <c r="Z72" s="457"/>
      <c r="AA72" s="457"/>
      <c r="AB72" s="457"/>
      <c r="AC72" s="457" t="s">
        <v>2958</v>
      </c>
      <c r="AD72" s="457"/>
      <c r="AE72" s="457"/>
      <c r="AF72" s="457"/>
      <c r="AG72" s="457"/>
      <c r="AH72" s="457"/>
      <c r="AI72" s="457"/>
      <c r="AJ72" s="457"/>
      <c r="AK72" s="457"/>
    </row>
    <row r="73" spans="1:37" ht="9" customHeight="1" x14ac:dyDescent="0.25">
      <c r="A73" s="457" t="s">
        <v>2881</v>
      </c>
      <c r="B73" s="457"/>
      <c r="C73" s="457"/>
      <c r="D73" s="457"/>
      <c r="E73" s="457"/>
      <c r="F73" s="457"/>
      <c r="G73" s="457"/>
      <c r="H73" s="457"/>
      <c r="I73" s="457"/>
      <c r="J73" s="454" t="s">
        <v>2959</v>
      </c>
      <c r="K73" s="454"/>
      <c r="L73" s="454"/>
      <c r="M73" s="454"/>
      <c r="N73" s="454"/>
      <c r="O73" s="454"/>
      <c r="P73" s="457" t="s">
        <v>2882</v>
      </c>
      <c r="Q73" s="457"/>
      <c r="R73" s="457"/>
      <c r="S73" s="457"/>
      <c r="T73" s="457"/>
      <c r="U73" s="457"/>
      <c r="V73" s="457"/>
      <c r="W73" s="457"/>
      <c r="X73" s="457"/>
      <c r="Y73" s="457"/>
      <c r="Z73" s="457"/>
      <c r="AA73" s="457"/>
      <c r="AB73" s="457"/>
      <c r="AC73" s="457" t="s">
        <v>2960</v>
      </c>
      <c r="AD73" s="457"/>
      <c r="AE73" s="457"/>
      <c r="AF73" s="457"/>
      <c r="AG73" s="457"/>
      <c r="AH73" s="457"/>
      <c r="AI73" s="457"/>
      <c r="AJ73" s="457"/>
      <c r="AK73" s="457"/>
    </row>
    <row r="74" spans="1:37" ht="27.95" customHeight="1" x14ac:dyDescent="0.25">
      <c r="A74" s="457" t="s">
        <v>2883</v>
      </c>
      <c r="B74" s="457"/>
      <c r="C74" s="457"/>
      <c r="D74" s="457"/>
      <c r="E74" s="457"/>
      <c r="F74" s="457"/>
      <c r="G74" s="457"/>
      <c r="H74" s="457"/>
      <c r="I74" s="457"/>
      <c r="J74" s="454" t="s">
        <v>2961</v>
      </c>
      <c r="K74" s="454"/>
      <c r="L74" s="454"/>
      <c r="M74" s="454"/>
      <c r="N74" s="454"/>
      <c r="O74" s="454"/>
      <c r="P74" s="457" t="s">
        <v>2884</v>
      </c>
      <c r="Q74" s="457"/>
      <c r="R74" s="457"/>
      <c r="S74" s="457"/>
      <c r="T74" s="457"/>
      <c r="U74" s="457"/>
      <c r="V74" s="457"/>
      <c r="W74" s="457"/>
      <c r="X74" s="457"/>
      <c r="Y74" s="457"/>
      <c r="Z74" s="457"/>
      <c r="AA74" s="457"/>
      <c r="AB74" s="457"/>
      <c r="AC74" s="454" t="s">
        <v>2962</v>
      </c>
      <c r="AD74" s="454"/>
      <c r="AE74" s="454"/>
      <c r="AF74" s="454"/>
      <c r="AG74" s="454"/>
      <c r="AH74" s="454"/>
      <c r="AI74" s="454"/>
      <c r="AJ74" s="454"/>
      <c r="AK74" s="454"/>
    </row>
    <row r="75" spans="1:37" ht="18" customHeight="1" x14ac:dyDescent="0.25">
      <c r="A75" s="457" t="s">
        <v>2871</v>
      </c>
      <c r="B75" s="457"/>
      <c r="C75" s="457"/>
      <c r="D75" s="457"/>
      <c r="E75" s="457"/>
      <c r="F75" s="457"/>
      <c r="G75" s="457"/>
      <c r="H75" s="457"/>
      <c r="I75" s="457"/>
      <c r="J75" s="454" t="s">
        <v>2963</v>
      </c>
      <c r="K75" s="454"/>
      <c r="L75" s="454"/>
      <c r="M75" s="454"/>
      <c r="N75" s="454"/>
      <c r="O75" s="454"/>
      <c r="P75" s="457" t="s">
        <v>2872</v>
      </c>
      <c r="Q75" s="457"/>
      <c r="R75" s="457"/>
      <c r="S75" s="457"/>
      <c r="T75" s="457"/>
      <c r="U75" s="457"/>
      <c r="V75" s="457"/>
      <c r="W75" s="457"/>
      <c r="X75" s="457"/>
      <c r="Y75" s="457"/>
      <c r="Z75" s="457"/>
      <c r="AA75" s="457"/>
      <c r="AB75" s="457"/>
      <c r="AC75" s="457" t="s">
        <v>2964</v>
      </c>
      <c r="AD75" s="457"/>
      <c r="AE75" s="457"/>
      <c r="AF75" s="457"/>
      <c r="AG75" s="457"/>
      <c r="AH75" s="457"/>
      <c r="AI75" s="457"/>
      <c r="AJ75" s="457"/>
      <c r="AK75" s="457"/>
    </row>
    <row r="76" spans="1:37" ht="27.95" customHeight="1" x14ac:dyDescent="0.25">
      <c r="A76" s="454" t="s">
        <v>2885</v>
      </c>
      <c r="B76" s="454"/>
      <c r="C76" s="454"/>
      <c r="D76" s="454"/>
      <c r="E76" s="454"/>
      <c r="F76" s="454"/>
      <c r="G76" s="454"/>
      <c r="H76" s="454"/>
      <c r="I76" s="454"/>
      <c r="J76" s="454" t="s">
        <v>2965</v>
      </c>
      <c r="K76" s="454"/>
      <c r="L76" s="454"/>
      <c r="M76" s="454"/>
      <c r="N76" s="454"/>
      <c r="O76" s="454"/>
      <c r="P76" s="454" t="s">
        <v>2874</v>
      </c>
      <c r="Q76" s="454"/>
      <c r="R76" s="454"/>
      <c r="S76" s="454"/>
      <c r="T76" s="454"/>
      <c r="U76" s="454"/>
      <c r="V76" s="454"/>
      <c r="W76" s="454"/>
      <c r="X76" s="454"/>
      <c r="Y76" s="454"/>
      <c r="Z76" s="454"/>
      <c r="AA76" s="454"/>
      <c r="AB76" s="454"/>
      <c r="AC76" s="454" t="s">
        <v>2966</v>
      </c>
      <c r="AD76" s="454"/>
      <c r="AE76" s="454"/>
      <c r="AF76" s="454"/>
      <c r="AG76" s="454"/>
      <c r="AH76" s="454"/>
      <c r="AI76" s="454"/>
      <c r="AJ76" s="454"/>
      <c r="AK76" s="454"/>
    </row>
    <row r="77" spans="1:37" ht="15.95" customHeight="1" x14ac:dyDescent="0.25">
      <c r="A77" s="457" t="s">
        <v>2811</v>
      </c>
      <c r="B77" s="457"/>
      <c r="C77" s="457"/>
      <c r="D77" s="457"/>
      <c r="E77" s="457"/>
      <c r="F77" s="457"/>
      <c r="G77" s="457"/>
      <c r="H77" s="457"/>
      <c r="I77" s="457"/>
      <c r="J77" s="457" t="s">
        <v>2823</v>
      </c>
      <c r="K77" s="457"/>
      <c r="L77" s="457"/>
      <c r="M77" s="457"/>
      <c r="N77" s="457"/>
      <c r="O77" s="457"/>
      <c r="P77" s="454"/>
      <c r="Q77" s="454"/>
      <c r="R77" s="454"/>
      <c r="S77" s="454"/>
      <c r="T77" s="454"/>
      <c r="U77" s="454"/>
      <c r="V77" s="454"/>
      <c r="W77" s="454"/>
      <c r="X77" s="454"/>
      <c r="Y77" s="454"/>
      <c r="Z77" s="454"/>
      <c r="AA77" s="454"/>
      <c r="AB77" s="454"/>
      <c r="AC77" s="454"/>
      <c r="AD77" s="454"/>
      <c r="AE77" s="454"/>
      <c r="AF77" s="454"/>
      <c r="AG77" s="454"/>
      <c r="AH77" s="454"/>
      <c r="AI77" s="454"/>
      <c r="AJ77" s="454"/>
      <c r="AK77" s="454"/>
    </row>
    <row r="78" spans="1:37" ht="24.95" customHeight="1" x14ac:dyDescent="0.25">
      <c r="A78" s="454" t="s">
        <v>2967</v>
      </c>
      <c r="B78" s="454"/>
      <c r="C78" s="454"/>
      <c r="D78" s="454"/>
      <c r="E78" s="454"/>
      <c r="F78" s="454"/>
      <c r="G78" s="454"/>
      <c r="H78" s="454"/>
      <c r="I78" s="454"/>
      <c r="J78" s="466" t="s">
        <v>2968</v>
      </c>
      <c r="K78" s="466"/>
      <c r="L78" s="466"/>
      <c r="M78" s="466"/>
      <c r="N78" s="466"/>
      <c r="O78" s="466"/>
      <c r="P78" s="459" t="s">
        <v>2846</v>
      </c>
      <c r="Q78" s="459"/>
      <c r="R78" s="459"/>
      <c r="S78" s="459"/>
      <c r="T78" s="459"/>
      <c r="U78" s="459"/>
      <c r="V78" s="459"/>
      <c r="W78" s="459"/>
      <c r="X78" s="459"/>
      <c r="Y78" s="459"/>
      <c r="Z78" s="459"/>
      <c r="AA78" s="459"/>
      <c r="AB78" s="459"/>
      <c r="AC78" s="466" t="s">
        <v>2969</v>
      </c>
      <c r="AD78" s="466"/>
      <c r="AE78" s="466"/>
      <c r="AF78" s="466"/>
      <c r="AG78" s="466"/>
      <c r="AH78" s="466"/>
      <c r="AI78" s="466"/>
      <c r="AJ78" s="466"/>
      <c r="AK78" s="466"/>
    </row>
    <row r="79" spans="1:37" ht="18" customHeight="1" x14ac:dyDescent="0.25">
      <c r="A79" s="457" t="s">
        <v>2886</v>
      </c>
      <c r="B79" s="457"/>
      <c r="C79" s="457"/>
      <c r="D79" s="457"/>
      <c r="E79" s="457"/>
      <c r="F79" s="457"/>
      <c r="G79" s="457"/>
      <c r="H79" s="457"/>
      <c r="I79" s="457"/>
      <c r="J79" s="454" t="s">
        <v>2970</v>
      </c>
      <c r="K79" s="454"/>
      <c r="L79" s="454"/>
      <c r="M79" s="454"/>
      <c r="N79" s="454"/>
      <c r="O79" s="454"/>
      <c r="P79" s="457" t="s">
        <v>2887</v>
      </c>
      <c r="Q79" s="457"/>
      <c r="R79" s="457"/>
      <c r="S79" s="457"/>
      <c r="T79" s="457"/>
      <c r="U79" s="457"/>
      <c r="V79" s="457"/>
      <c r="W79" s="457"/>
      <c r="X79" s="457"/>
      <c r="Y79" s="457"/>
      <c r="Z79" s="457"/>
      <c r="AA79" s="457"/>
      <c r="AB79" s="457"/>
      <c r="AC79" s="454" t="s">
        <v>2971</v>
      </c>
      <c r="AD79" s="454"/>
      <c r="AE79" s="454"/>
      <c r="AF79" s="454"/>
      <c r="AG79" s="454"/>
      <c r="AH79" s="454"/>
      <c r="AI79" s="454"/>
      <c r="AJ79" s="454"/>
      <c r="AK79" s="454"/>
    </row>
    <row r="80" spans="1:37" ht="6.95" customHeight="1" x14ac:dyDescent="0.25">
      <c r="A80" s="457" t="s">
        <v>2875</v>
      </c>
      <c r="B80" s="457"/>
      <c r="C80" s="457"/>
      <c r="D80" s="457"/>
      <c r="E80" s="457"/>
      <c r="F80" s="457"/>
      <c r="G80" s="457"/>
      <c r="H80" s="457"/>
      <c r="I80" s="457"/>
      <c r="J80" s="457" t="s">
        <v>2972</v>
      </c>
      <c r="K80" s="457"/>
      <c r="L80" s="457"/>
      <c r="M80" s="457"/>
      <c r="N80" s="457"/>
      <c r="O80" s="457"/>
      <c r="P80" s="457" t="s">
        <v>2809</v>
      </c>
      <c r="Q80" s="457"/>
      <c r="R80" s="457"/>
      <c r="S80" s="457"/>
      <c r="T80" s="457"/>
      <c r="U80" s="457"/>
      <c r="V80" s="457"/>
      <c r="W80" s="457"/>
      <c r="X80" s="457"/>
      <c r="Y80" s="457"/>
      <c r="Z80" s="457"/>
      <c r="AA80" s="457"/>
      <c r="AB80" s="457"/>
      <c r="AC80" s="457" t="s">
        <v>2973</v>
      </c>
      <c r="AD80" s="457"/>
      <c r="AE80" s="457"/>
      <c r="AF80" s="457"/>
      <c r="AG80" s="457"/>
      <c r="AH80" s="457"/>
      <c r="AI80" s="457"/>
      <c r="AJ80" s="457"/>
      <c r="AK80" s="457"/>
    </row>
    <row r="81" spans="1:32" ht="18.95" customHeight="1" x14ac:dyDescent="0.25">
      <c r="A81" s="437" t="s">
        <v>2974</v>
      </c>
    </row>
    <row r="82" spans="1:32" ht="12.95" customHeight="1" x14ac:dyDescent="0.25">
      <c r="A82" s="437" t="s">
        <v>2913</v>
      </c>
    </row>
    <row r="83" spans="1:32" ht="12.95" customHeight="1" x14ac:dyDescent="0.25">
      <c r="A83" s="437" t="s">
        <v>2888</v>
      </c>
    </row>
    <row r="84" spans="1:32" ht="12.95" customHeight="1" x14ac:dyDescent="0.25">
      <c r="A84" s="436" t="s">
        <v>2812</v>
      </c>
    </row>
    <row r="85" spans="1:32" ht="12.95" customHeight="1" x14ac:dyDescent="0.25">
      <c r="A85" s="436" t="s">
        <v>2975</v>
      </c>
    </row>
    <row r="86" spans="1:32" ht="12.95" customHeight="1" x14ac:dyDescent="0.25">
      <c r="A86" s="437" t="s">
        <v>2976</v>
      </c>
    </row>
    <row r="87" spans="1:32" ht="12.95" customHeight="1" x14ac:dyDescent="0.25">
      <c r="A87" s="436" t="s">
        <v>2977</v>
      </c>
    </row>
    <row r="88" spans="1:32" ht="12.95" customHeight="1" x14ac:dyDescent="0.25">
      <c r="A88" s="437" t="s">
        <v>2978</v>
      </c>
    </row>
    <row r="89" spans="1:32" ht="12.95" customHeight="1" x14ac:dyDescent="0.25">
      <c r="A89" s="436" t="s">
        <v>2979</v>
      </c>
    </row>
    <row r="90" spans="1:32" ht="12.95" customHeight="1" x14ac:dyDescent="0.25">
      <c r="A90" s="437" t="s">
        <v>2980</v>
      </c>
    </row>
    <row r="91" spans="1:32" ht="12.95" customHeight="1" x14ac:dyDescent="0.25">
      <c r="A91" s="436" t="s">
        <v>2674</v>
      </c>
    </row>
    <row r="92" spans="1:32" ht="12.95" customHeight="1" x14ac:dyDescent="0.25">
      <c r="A92" s="436" t="s">
        <v>2683</v>
      </c>
    </row>
    <row r="93" spans="1:32" ht="12.95" customHeight="1" x14ac:dyDescent="0.25">
      <c r="A93" s="455"/>
      <c r="B93" s="456"/>
      <c r="C93" s="448" t="s">
        <v>2675</v>
      </c>
      <c r="D93" s="453"/>
      <c r="E93" s="453"/>
      <c r="F93" s="449"/>
      <c r="G93" s="448" t="s">
        <v>2676</v>
      </c>
      <c r="H93" s="453"/>
      <c r="I93" s="453"/>
      <c r="J93" s="449"/>
      <c r="K93" s="448" t="s">
        <v>2677</v>
      </c>
      <c r="L93" s="449"/>
      <c r="M93" s="448" t="s">
        <v>2678</v>
      </c>
      <c r="N93" s="453"/>
      <c r="O93" s="453"/>
      <c r="P93" s="453"/>
      <c r="Q93" s="453"/>
      <c r="R93" s="449"/>
      <c r="S93" s="448" t="s">
        <v>2679</v>
      </c>
      <c r="T93" s="449"/>
      <c r="U93" s="439" t="s">
        <v>2680</v>
      </c>
      <c r="V93" s="448" t="s">
        <v>2681</v>
      </c>
      <c r="W93" s="453"/>
      <c r="X93" s="449"/>
      <c r="Y93" s="448" t="s">
        <v>2682</v>
      </c>
      <c r="Z93" s="453"/>
      <c r="AA93" s="453"/>
      <c r="AB93" s="453"/>
      <c r="AC93" s="449"/>
      <c r="AD93" s="448" t="s">
        <v>2684</v>
      </c>
      <c r="AE93" s="453"/>
      <c r="AF93" s="449"/>
    </row>
    <row r="94" spans="1:32" ht="12.95" customHeight="1" x14ac:dyDescent="0.25">
      <c r="A94" s="448" t="s">
        <v>2685</v>
      </c>
      <c r="B94" s="449"/>
      <c r="C94" s="450">
        <v>4209</v>
      </c>
      <c r="D94" s="451"/>
      <c r="E94" s="451"/>
      <c r="F94" s="452"/>
      <c r="G94" s="450">
        <v>4967</v>
      </c>
      <c r="H94" s="451"/>
      <c r="I94" s="451"/>
      <c r="J94" s="452"/>
      <c r="K94" s="450">
        <v>6180</v>
      </c>
      <c r="L94" s="452"/>
      <c r="M94" s="450">
        <v>6964</v>
      </c>
      <c r="N94" s="451"/>
      <c r="O94" s="451"/>
      <c r="P94" s="451"/>
      <c r="Q94" s="451"/>
      <c r="R94" s="452"/>
      <c r="S94" s="450">
        <v>7023</v>
      </c>
      <c r="T94" s="452"/>
      <c r="U94" s="443">
        <v>7047</v>
      </c>
      <c r="V94" s="450">
        <v>6932</v>
      </c>
      <c r="W94" s="451"/>
      <c r="X94" s="452"/>
      <c r="Y94" s="450">
        <v>6440</v>
      </c>
      <c r="Z94" s="451"/>
      <c r="AA94" s="451"/>
      <c r="AB94" s="451"/>
      <c r="AC94" s="452"/>
      <c r="AD94" s="445">
        <v>76</v>
      </c>
      <c r="AE94" s="446"/>
      <c r="AF94" s="447"/>
    </row>
    <row r="95" spans="1:32" ht="12.95" customHeight="1" x14ac:dyDescent="0.25">
      <c r="A95" s="448" t="s">
        <v>2686</v>
      </c>
      <c r="B95" s="449"/>
      <c r="C95" s="450">
        <v>4464</v>
      </c>
      <c r="D95" s="451"/>
      <c r="E95" s="451"/>
      <c r="F95" s="452"/>
      <c r="G95" s="450">
        <v>5416</v>
      </c>
      <c r="H95" s="451"/>
      <c r="I95" s="451"/>
      <c r="J95" s="452"/>
      <c r="K95" s="450">
        <v>6536</v>
      </c>
      <c r="L95" s="452"/>
      <c r="M95" s="450">
        <v>7360</v>
      </c>
      <c r="N95" s="451"/>
      <c r="O95" s="451"/>
      <c r="P95" s="451"/>
      <c r="Q95" s="451"/>
      <c r="R95" s="452"/>
      <c r="S95" s="450">
        <v>8077</v>
      </c>
      <c r="T95" s="452"/>
      <c r="U95" s="443">
        <v>7933</v>
      </c>
      <c r="V95" s="450">
        <v>7493</v>
      </c>
      <c r="W95" s="451"/>
      <c r="X95" s="452"/>
      <c r="Y95" s="450">
        <v>6893</v>
      </c>
      <c r="Z95" s="451"/>
      <c r="AA95" s="451"/>
      <c r="AB95" s="451"/>
      <c r="AC95" s="452"/>
      <c r="AD95" s="445">
        <v>84</v>
      </c>
      <c r="AE95" s="446"/>
      <c r="AF95" s="447"/>
    </row>
    <row r="96" spans="1:32" ht="12.95" customHeight="1" x14ac:dyDescent="0.25">
      <c r="A96" s="448" t="s">
        <v>2687</v>
      </c>
      <c r="B96" s="449"/>
      <c r="C96" s="450">
        <v>909</v>
      </c>
      <c r="D96" s="451"/>
      <c r="E96" s="451"/>
      <c r="F96" s="452"/>
      <c r="G96" s="450">
        <v>2467</v>
      </c>
      <c r="H96" s="451"/>
      <c r="I96" s="451"/>
      <c r="J96" s="452"/>
      <c r="K96" s="450">
        <v>378</v>
      </c>
      <c r="L96" s="452"/>
      <c r="M96" s="450">
        <v>4464</v>
      </c>
      <c r="N96" s="451"/>
      <c r="O96" s="451"/>
      <c r="P96" s="451"/>
      <c r="Q96" s="451"/>
      <c r="R96" s="452"/>
      <c r="S96" s="450">
        <v>4823</v>
      </c>
      <c r="T96" s="452"/>
      <c r="U96" s="443">
        <v>4747</v>
      </c>
      <c r="V96" s="450">
        <v>4332</v>
      </c>
      <c r="W96" s="451"/>
      <c r="X96" s="452"/>
      <c r="Y96" s="450">
        <v>344</v>
      </c>
      <c r="Z96" s="451"/>
      <c r="AA96" s="451"/>
      <c r="AB96" s="451"/>
      <c r="AC96" s="452"/>
      <c r="AD96" s="445">
        <v>52</v>
      </c>
      <c r="AE96" s="446"/>
      <c r="AF96" s="447"/>
    </row>
    <row r="97" spans="1:37" ht="12.95" customHeight="1" x14ac:dyDescent="0.25">
      <c r="A97" s="436" t="s">
        <v>2822</v>
      </c>
    </row>
    <row r="98" spans="1:37" ht="12.95" customHeight="1" x14ac:dyDescent="0.25">
      <c r="A98" s="455"/>
      <c r="B98" s="456"/>
      <c r="C98" s="448" t="s">
        <v>2675</v>
      </c>
      <c r="D98" s="453"/>
      <c r="E98" s="453"/>
      <c r="F98" s="449"/>
      <c r="G98" s="448" t="s">
        <v>2676</v>
      </c>
      <c r="H98" s="453"/>
      <c r="I98" s="453"/>
      <c r="J98" s="449"/>
      <c r="K98" s="448" t="s">
        <v>2677</v>
      </c>
      <c r="L98" s="449"/>
      <c r="M98" s="448" t="s">
        <v>2678</v>
      </c>
      <c r="N98" s="453"/>
      <c r="O98" s="453"/>
      <c r="P98" s="453"/>
      <c r="Q98" s="453"/>
      <c r="R98" s="449"/>
      <c r="S98" s="448" t="s">
        <v>2679</v>
      </c>
      <c r="T98" s="449"/>
      <c r="U98" s="439" t="s">
        <v>2680</v>
      </c>
      <c r="V98" s="448" t="s">
        <v>2681</v>
      </c>
      <c r="W98" s="453"/>
      <c r="X98" s="449"/>
      <c r="Y98" s="448" t="s">
        <v>2682</v>
      </c>
      <c r="Z98" s="453"/>
      <c r="AA98" s="453"/>
      <c r="AB98" s="453"/>
      <c r="AC98" s="449"/>
      <c r="AD98" s="448" t="s">
        <v>2684</v>
      </c>
      <c r="AE98" s="453"/>
      <c r="AF98" s="449"/>
    </row>
    <row r="99" spans="1:37" ht="12.95" customHeight="1" x14ac:dyDescent="0.25">
      <c r="A99" s="448" t="s">
        <v>2685</v>
      </c>
      <c r="B99" s="449"/>
      <c r="C99" s="450">
        <v>3853</v>
      </c>
      <c r="D99" s="451"/>
      <c r="E99" s="451"/>
      <c r="F99" s="452"/>
      <c r="G99" s="450">
        <v>4700</v>
      </c>
      <c r="H99" s="451"/>
      <c r="I99" s="451"/>
      <c r="J99" s="452"/>
      <c r="K99" s="450">
        <v>6125</v>
      </c>
      <c r="L99" s="452"/>
      <c r="M99" s="450">
        <v>6667</v>
      </c>
      <c r="N99" s="451"/>
      <c r="O99" s="451"/>
      <c r="P99" s="451"/>
      <c r="Q99" s="451"/>
      <c r="R99" s="452"/>
      <c r="S99" s="450">
        <v>6625</v>
      </c>
      <c r="T99" s="452"/>
      <c r="U99" s="443">
        <v>6776</v>
      </c>
      <c r="V99" s="450">
        <v>6710</v>
      </c>
      <c r="W99" s="451"/>
      <c r="X99" s="452"/>
      <c r="Y99" s="450">
        <v>6124</v>
      </c>
      <c r="Z99" s="451"/>
      <c r="AA99" s="451"/>
      <c r="AB99" s="451"/>
      <c r="AC99" s="452"/>
      <c r="AD99" s="445">
        <v>74</v>
      </c>
      <c r="AE99" s="446"/>
      <c r="AF99" s="447"/>
    </row>
    <row r="100" spans="1:37" ht="12.95" customHeight="1" x14ac:dyDescent="0.25">
      <c r="A100" s="448" t="s">
        <v>2686</v>
      </c>
      <c r="B100" s="449"/>
      <c r="C100" s="450">
        <v>4023</v>
      </c>
      <c r="D100" s="451"/>
      <c r="E100" s="451"/>
      <c r="F100" s="452"/>
      <c r="G100" s="450">
        <v>5021</v>
      </c>
      <c r="H100" s="451"/>
      <c r="I100" s="451"/>
      <c r="J100" s="452"/>
      <c r="K100" s="450">
        <v>6565</v>
      </c>
      <c r="L100" s="452"/>
      <c r="M100" s="450">
        <v>7113</v>
      </c>
      <c r="N100" s="451"/>
      <c r="O100" s="451"/>
      <c r="P100" s="451"/>
      <c r="Q100" s="451"/>
      <c r="R100" s="452"/>
      <c r="S100" s="450">
        <v>7743</v>
      </c>
      <c r="T100" s="452"/>
      <c r="U100" s="443">
        <v>7631</v>
      </c>
      <c r="V100" s="450">
        <v>7361</v>
      </c>
      <c r="W100" s="451"/>
      <c r="X100" s="452"/>
      <c r="Y100" s="450">
        <v>6558</v>
      </c>
      <c r="Z100" s="451"/>
      <c r="AA100" s="451"/>
      <c r="AB100" s="451"/>
      <c r="AC100" s="452"/>
      <c r="AD100" s="445">
        <v>81</v>
      </c>
      <c r="AE100" s="446"/>
      <c r="AF100" s="447"/>
    </row>
    <row r="101" spans="1:37" ht="12.95" customHeight="1" x14ac:dyDescent="0.25">
      <c r="A101" s="448" t="s">
        <v>2687</v>
      </c>
      <c r="B101" s="449"/>
      <c r="C101" s="450">
        <v>553</v>
      </c>
      <c r="D101" s="451"/>
      <c r="E101" s="451"/>
      <c r="F101" s="452"/>
      <c r="G101" s="445">
        <v>22</v>
      </c>
      <c r="H101" s="446"/>
      <c r="I101" s="446"/>
      <c r="J101" s="447"/>
      <c r="K101" s="450">
        <v>3725</v>
      </c>
      <c r="L101" s="452"/>
      <c r="M101" s="450">
        <v>4167</v>
      </c>
      <c r="N101" s="451"/>
      <c r="O101" s="451"/>
      <c r="P101" s="451"/>
      <c r="Q101" s="451"/>
      <c r="R101" s="452"/>
      <c r="S101" s="450">
        <v>4425</v>
      </c>
      <c r="T101" s="452"/>
      <c r="U101" s="443">
        <v>4476</v>
      </c>
      <c r="V101" s="450">
        <v>411</v>
      </c>
      <c r="W101" s="451"/>
      <c r="X101" s="452"/>
      <c r="Y101" s="450">
        <v>3124</v>
      </c>
      <c r="Z101" s="451"/>
      <c r="AA101" s="451"/>
      <c r="AB101" s="451"/>
      <c r="AC101" s="452"/>
      <c r="AD101" s="445">
        <v>50</v>
      </c>
      <c r="AE101" s="446"/>
      <c r="AF101" s="447"/>
    </row>
    <row r="102" spans="1:37" ht="17.100000000000001" customHeight="1" x14ac:dyDescent="0.25">
      <c r="A102" s="464" t="s">
        <v>2847</v>
      </c>
      <c r="B102" s="464"/>
      <c r="C102" s="464"/>
      <c r="D102" s="465" t="s">
        <v>2889</v>
      </c>
      <c r="E102" s="465"/>
      <c r="F102" s="465"/>
      <c r="G102" s="465"/>
      <c r="H102" s="465"/>
      <c r="I102" s="465"/>
      <c r="J102" s="465"/>
      <c r="K102" s="465"/>
      <c r="L102" s="465"/>
      <c r="M102" s="465"/>
      <c r="N102" s="465"/>
      <c r="O102" s="464" t="s">
        <v>2848</v>
      </c>
      <c r="P102" s="464"/>
      <c r="Q102" s="464"/>
      <c r="R102" s="464"/>
      <c r="S102" s="464"/>
      <c r="T102" s="464"/>
      <c r="U102" s="464"/>
      <c r="V102" s="465" t="s">
        <v>2981</v>
      </c>
      <c r="W102" s="465"/>
      <c r="X102" s="465"/>
      <c r="Y102" s="465"/>
      <c r="Z102" s="465"/>
      <c r="AA102" s="465"/>
      <c r="AB102" s="465"/>
      <c r="AC102" s="465"/>
      <c r="AD102" s="465"/>
      <c r="AE102" s="465"/>
      <c r="AF102" s="465"/>
      <c r="AG102" s="465"/>
      <c r="AH102" s="465"/>
      <c r="AI102" s="465"/>
      <c r="AJ102" s="465"/>
      <c r="AK102" s="465"/>
    </row>
    <row r="103" spans="1:37" ht="27" customHeight="1" x14ac:dyDescent="0.25">
      <c r="A103" s="454" t="s">
        <v>2891</v>
      </c>
      <c r="B103" s="454"/>
      <c r="C103" s="454"/>
      <c r="D103" s="462" t="s">
        <v>2892</v>
      </c>
      <c r="E103" s="462"/>
      <c r="F103" s="462"/>
      <c r="G103" s="462"/>
      <c r="H103" s="462"/>
      <c r="I103" s="462"/>
      <c r="J103" s="462"/>
      <c r="K103" s="462"/>
      <c r="L103" s="462"/>
      <c r="M103" s="462"/>
      <c r="N103" s="462"/>
      <c r="O103" s="454" t="s">
        <v>2893</v>
      </c>
      <c r="P103" s="454"/>
      <c r="Q103" s="454"/>
      <c r="R103" s="454"/>
      <c r="S103" s="454"/>
      <c r="T103" s="454"/>
      <c r="U103" s="454"/>
      <c r="V103" s="462" t="s">
        <v>2894</v>
      </c>
      <c r="W103" s="462"/>
      <c r="X103" s="462"/>
      <c r="Y103" s="462"/>
      <c r="Z103" s="462"/>
      <c r="AA103" s="462"/>
      <c r="AB103" s="462"/>
      <c r="AC103" s="462"/>
      <c r="AD103" s="462"/>
      <c r="AE103" s="462"/>
      <c r="AF103" s="462"/>
      <c r="AG103" s="462"/>
      <c r="AH103" s="462"/>
      <c r="AI103" s="462"/>
      <c r="AJ103" s="462"/>
      <c r="AK103" s="462"/>
    </row>
    <row r="104" spans="1:37" ht="15" customHeight="1" x14ac:dyDescent="0.25">
      <c r="A104" s="432" t="s">
        <v>2982</v>
      </c>
    </row>
    <row r="105" spans="1:37" ht="12" customHeight="1" x14ac:dyDescent="0.25">
      <c r="A105" s="434" t="s">
        <v>2849</v>
      </c>
    </row>
    <row r="106" spans="1:37" ht="12" customHeight="1" x14ac:dyDescent="0.25">
      <c r="A106" s="434" t="s">
        <v>2850</v>
      </c>
    </row>
    <row r="107" spans="1:37" ht="14.1" customHeight="1" x14ac:dyDescent="0.25">
      <c r="A107" s="435" t="s">
        <v>2896</v>
      </c>
    </row>
    <row r="108" spans="1:37" ht="15" customHeight="1" x14ac:dyDescent="0.25">
      <c r="A108" s="460" t="s">
        <v>2858</v>
      </c>
      <c r="B108" s="460"/>
      <c r="C108" s="460"/>
      <c r="D108" s="460"/>
      <c r="E108" s="470">
        <v>707</v>
      </c>
      <c r="F108" s="470"/>
      <c r="G108" s="470"/>
      <c r="H108" s="470"/>
      <c r="I108" s="470"/>
      <c r="J108" s="470"/>
      <c r="K108" s="470"/>
      <c r="L108" s="460" t="s">
        <v>2859</v>
      </c>
      <c r="M108" s="460"/>
      <c r="N108" s="460"/>
      <c r="O108" s="460"/>
      <c r="P108" s="460"/>
      <c r="Q108" s="460"/>
      <c r="R108" s="460"/>
      <c r="S108" s="460"/>
      <c r="T108" s="460"/>
      <c r="U108" s="460"/>
      <c r="V108" s="460"/>
      <c r="W108" s="460"/>
      <c r="X108" s="462" t="s">
        <v>2860</v>
      </c>
      <c r="Y108" s="462"/>
      <c r="Z108" s="462"/>
      <c r="AA108" s="462"/>
      <c r="AB108" s="462"/>
      <c r="AC108" s="462"/>
      <c r="AD108" s="462"/>
    </row>
    <row r="109" spans="1:37" ht="9.9499999999999993" customHeight="1" x14ac:dyDescent="0.25">
      <c r="A109" s="460" t="s">
        <v>2851</v>
      </c>
      <c r="B109" s="460"/>
      <c r="C109" s="460"/>
      <c r="D109" s="460"/>
      <c r="E109" s="463">
        <v>45</v>
      </c>
      <c r="F109" s="463"/>
      <c r="G109" s="463"/>
      <c r="H109" s="463"/>
      <c r="I109" s="463"/>
      <c r="J109" s="463"/>
      <c r="K109" s="463"/>
      <c r="L109" s="460" t="s">
        <v>2861</v>
      </c>
      <c r="M109" s="460"/>
      <c r="N109" s="460"/>
      <c r="O109" s="460"/>
      <c r="P109" s="460"/>
      <c r="Q109" s="460"/>
      <c r="R109" s="460"/>
      <c r="S109" s="460"/>
      <c r="T109" s="460"/>
      <c r="U109" s="460"/>
      <c r="V109" s="460"/>
      <c r="W109" s="460"/>
      <c r="X109" s="462" t="s">
        <v>2862</v>
      </c>
      <c r="Y109" s="462"/>
      <c r="Z109" s="462"/>
      <c r="AA109" s="462"/>
      <c r="AB109" s="462"/>
      <c r="AC109" s="462"/>
      <c r="AD109" s="462"/>
    </row>
    <row r="110" spans="1:37" ht="9.9499999999999993" customHeight="1" x14ac:dyDescent="0.25">
      <c r="A110" s="460" t="s">
        <v>2876</v>
      </c>
      <c r="B110" s="460"/>
      <c r="C110" s="460"/>
      <c r="D110" s="460"/>
      <c r="E110" s="462" t="s">
        <v>2877</v>
      </c>
      <c r="F110" s="462"/>
      <c r="G110" s="462"/>
      <c r="H110" s="462"/>
      <c r="I110" s="462"/>
      <c r="J110" s="462"/>
      <c r="K110" s="462"/>
      <c r="L110" s="460" t="s">
        <v>2863</v>
      </c>
      <c r="M110" s="460"/>
      <c r="N110" s="460"/>
      <c r="O110" s="460"/>
      <c r="P110" s="460"/>
      <c r="Q110" s="460"/>
      <c r="R110" s="460"/>
      <c r="S110" s="460"/>
      <c r="T110" s="460"/>
      <c r="U110" s="460"/>
      <c r="V110" s="460"/>
      <c r="W110" s="460"/>
      <c r="X110" s="462" t="s">
        <v>2897</v>
      </c>
      <c r="Y110" s="462"/>
      <c r="Z110" s="462"/>
      <c r="AA110" s="462"/>
      <c r="AB110" s="462"/>
      <c r="AC110" s="462"/>
      <c r="AD110" s="462"/>
    </row>
    <row r="111" spans="1:37" ht="15" customHeight="1" x14ac:dyDescent="0.25">
      <c r="A111" s="460" t="s">
        <v>2878</v>
      </c>
      <c r="B111" s="460"/>
      <c r="C111" s="460"/>
      <c r="D111" s="460"/>
      <c r="E111" s="462" t="s">
        <v>2879</v>
      </c>
      <c r="F111" s="462"/>
      <c r="G111" s="462"/>
      <c r="H111" s="462"/>
      <c r="I111" s="462"/>
      <c r="J111" s="462"/>
      <c r="K111" s="462"/>
      <c r="L111" s="454"/>
      <c r="M111" s="454"/>
      <c r="N111" s="454"/>
      <c r="O111" s="454"/>
      <c r="P111" s="454"/>
      <c r="Q111" s="454"/>
      <c r="R111" s="454"/>
      <c r="S111" s="454"/>
      <c r="T111" s="454"/>
      <c r="U111" s="454"/>
      <c r="V111" s="454"/>
      <c r="W111" s="454"/>
      <c r="X111" s="454"/>
      <c r="Y111" s="454"/>
      <c r="Z111" s="454"/>
      <c r="AA111" s="454"/>
      <c r="AB111" s="454"/>
      <c r="AC111" s="454"/>
      <c r="AD111" s="454"/>
    </row>
    <row r="112" spans="1:37" ht="20.100000000000001" customHeight="1" x14ac:dyDescent="0.25">
      <c r="A112" s="454"/>
      <c r="B112" s="454"/>
      <c r="C112" s="454"/>
      <c r="D112" s="454"/>
      <c r="E112" s="454"/>
      <c r="F112" s="460" t="s">
        <v>2864</v>
      </c>
      <c r="G112" s="460"/>
      <c r="H112" s="460"/>
      <c r="I112" s="460"/>
      <c r="J112" s="460"/>
      <c r="K112" s="460"/>
      <c r="L112" s="460"/>
      <c r="M112" s="460"/>
      <c r="N112" s="460"/>
      <c r="O112" s="460"/>
      <c r="P112" s="460"/>
      <c r="Q112" s="460"/>
      <c r="R112" s="460" t="s">
        <v>2865</v>
      </c>
      <c r="S112" s="460"/>
      <c r="T112" s="460"/>
      <c r="U112" s="460"/>
      <c r="V112" s="460"/>
    </row>
    <row r="113" spans="1:22" ht="15.95" customHeight="1" x14ac:dyDescent="0.25">
      <c r="A113" s="460" t="s">
        <v>2854</v>
      </c>
      <c r="B113" s="460"/>
      <c r="C113" s="460"/>
      <c r="D113" s="460"/>
      <c r="E113" s="460"/>
      <c r="F113" s="463">
        <v>2800</v>
      </c>
      <c r="G113" s="463"/>
      <c r="H113" s="463"/>
      <c r="I113" s="463"/>
      <c r="J113" s="463"/>
      <c r="K113" s="463"/>
      <c r="L113" s="463"/>
      <c r="M113" s="463"/>
      <c r="N113" s="463"/>
      <c r="O113" s="463"/>
      <c r="P113" s="463"/>
      <c r="Q113" s="463"/>
      <c r="R113" s="463">
        <v>2800</v>
      </c>
      <c r="S113" s="463"/>
      <c r="T113" s="463"/>
      <c r="U113" s="463"/>
      <c r="V113" s="463"/>
    </row>
    <row r="114" spans="1:22" ht="9.9499999999999993" customHeight="1" x14ac:dyDescent="0.25">
      <c r="A114" s="460" t="s">
        <v>2866</v>
      </c>
      <c r="B114" s="460"/>
      <c r="C114" s="460"/>
      <c r="D114" s="460"/>
      <c r="E114" s="460"/>
      <c r="F114" s="463">
        <v>400</v>
      </c>
      <c r="G114" s="463"/>
      <c r="H114" s="463"/>
      <c r="I114" s="463"/>
      <c r="J114" s="463"/>
      <c r="K114" s="463"/>
      <c r="L114" s="463"/>
      <c r="M114" s="463"/>
      <c r="N114" s="463"/>
      <c r="O114" s="463"/>
      <c r="P114" s="463"/>
      <c r="Q114" s="463"/>
      <c r="R114" s="463">
        <v>400</v>
      </c>
      <c r="S114" s="463"/>
      <c r="T114" s="463"/>
      <c r="U114" s="463"/>
      <c r="V114" s="463"/>
    </row>
    <row r="115" spans="1:22" ht="9.9499999999999993" customHeight="1" x14ac:dyDescent="0.25">
      <c r="A115" s="460" t="s">
        <v>2867</v>
      </c>
      <c r="B115" s="460"/>
      <c r="C115" s="460"/>
      <c r="D115" s="460"/>
      <c r="E115" s="460"/>
      <c r="F115" s="463">
        <v>1152</v>
      </c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>
        <v>721</v>
      </c>
      <c r="S115" s="463"/>
      <c r="T115" s="463"/>
      <c r="U115" s="463"/>
      <c r="V115" s="463"/>
    </row>
    <row r="116" spans="1:22" ht="15" customHeight="1" x14ac:dyDescent="0.25">
      <c r="A116" s="460" t="s">
        <v>2868</v>
      </c>
      <c r="B116" s="460"/>
      <c r="C116" s="460"/>
      <c r="D116" s="460"/>
      <c r="E116" s="460"/>
      <c r="F116" s="461">
        <v>184</v>
      </c>
      <c r="G116" s="461"/>
      <c r="H116" s="461"/>
      <c r="I116" s="461"/>
      <c r="J116" s="461"/>
      <c r="K116" s="461"/>
      <c r="L116" s="461"/>
      <c r="M116" s="461"/>
      <c r="N116" s="461"/>
      <c r="O116" s="461"/>
      <c r="P116" s="461"/>
      <c r="Q116" s="461"/>
      <c r="R116" s="461">
        <v>184</v>
      </c>
      <c r="S116" s="461"/>
      <c r="T116" s="461"/>
      <c r="U116" s="461"/>
      <c r="V116" s="461"/>
    </row>
    <row r="117" spans="1:22" ht="15" customHeight="1" x14ac:dyDescent="0.25">
      <c r="A117" s="433" t="s">
        <v>2869</v>
      </c>
    </row>
    <row r="118" spans="1:22" ht="15" customHeight="1" x14ac:dyDescent="0.25">
      <c r="A118" s="433" t="s">
        <v>2870</v>
      </c>
    </row>
    <row r="119" spans="1:22" ht="15" customHeight="1" x14ac:dyDescent="0.25">
      <c r="A119" s="433" t="s">
        <v>2855</v>
      </c>
    </row>
    <row r="120" spans="1:22" ht="12.95" customHeight="1" x14ac:dyDescent="0.25">
      <c r="A120" s="436" t="s">
        <v>2898</v>
      </c>
    </row>
    <row r="121" spans="1:22" ht="12.95" customHeight="1" x14ac:dyDescent="0.25">
      <c r="A121" s="436" t="s">
        <v>2899</v>
      </c>
    </row>
    <row r="122" spans="1:22" ht="12.95" customHeight="1" x14ac:dyDescent="0.25">
      <c r="A122" s="437" t="s">
        <v>2900</v>
      </c>
    </row>
    <row r="123" spans="1:22" ht="12.95" customHeight="1" x14ac:dyDescent="0.25">
      <c r="A123" s="436" t="s">
        <v>2901</v>
      </c>
    </row>
    <row r="124" spans="1:22" ht="12.95" customHeight="1" x14ac:dyDescent="0.25">
      <c r="A124" s="437" t="s">
        <v>2983</v>
      </c>
    </row>
    <row r="125" spans="1:22" ht="12.95" customHeight="1" x14ac:dyDescent="0.25">
      <c r="A125" s="436" t="s">
        <v>2903</v>
      </c>
    </row>
    <row r="126" spans="1:22" ht="12.95" customHeight="1" x14ac:dyDescent="0.25">
      <c r="A126" s="437" t="s">
        <v>2984</v>
      </c>
    </row>
    <row r="127" spans="1:22" ht="12.95" customHeight="1" x14ac:dyDescent="0.25">
      <c r="A127" s="442" t="s">
        <v>2905</v>
      </c>
    </row>
    <row r="128" spans="1:22" ht="18" customHeight="1" x14ac:dyDescent="0.25">
      <c r="A128" s="437" t="s">
        <v>2906</v>
      </c>
    </row>
    <row r="129" spans="1:1" ht="18" customHeight="1" x14ac:dyDescent="0.25">
      <c r="A129" s="437" t="s">
        <v>2813</v>
      </c>
    </row>
    <row r="130" spans="1:1" ht="12.95" customHeight="1" x14ac:dyDescent="0.25">
      <c r="A130" s="436" t="s">
        <v>2907</v>
      </c>
    </row>
    <row r="131" spans="1:1" ht="12.95" customHeight="1" x14ac:dyDescent="0.25">
      <c r="A131" s="437" t="s">
        <v>2985</v>
      </c>
    </row>
    <row r="132" spans="1:1" ht="12.95" customHeight="1" x14ac:dyDescent="0.25">
      <c r="A132" s="437" t="s">
        <v>2909</v>
      </c>
    </row>
    <row r="133" spans="1:1" ht="12.95" customHeight="1" x14ac:dyDescent="0.25">
      <c r="A133" s="437" t="s">
        <v>2813</v>
      </c>
    </row>
    <row r="134" spans="1:1" ht="12.95" customHeight="1" x14ac:dyDescent="0.25">
      <c r="A134" s="436" t="s">
        <v>2910</v>
      </c>
    </row>
    <row r="135" spans="1:1" ht="14.1" customHeight="1" x14ac:dyDescent="0.25">
      <c r="A135" s="432" t="s">
        <v>2986</v>
      </c>
    </row>
    <row r="136" spans="1:1" ht="18.95" customHeight="1" x14ac:dyDescent="0.25">
      <c r="A136" s="437" t="s">
        <v>2912</v>
      </c>
    </row>
    <row r="137" spans="1:1" ht="12.95" customHeight="1" x14ac:dyDescent="0.25">
      <c r="A137" s="437" t="s">
        <v>2987</v>
      </c>
    </row>
    <row r="138" spans="1:1" ht="12.95" customHeight="1" x14ac:dyDescent="0.25">
      <c r="A138" s="437" t="s">
        <v>2988</v>
      </c>
    </row>
    <row r="139" spans="1:1" ht="12.95" customHeight="1" x14ac:dyDescent="0.25">
      <c r="A139" s="436" t="s">
        <v>2812</v>
      </c>
    </row>
    <row r="140" spans="1:1" ht="12.95" customHeight="1" x14ac:dyDescent="0.25">
      <c r="A140" s="436" t="s">
        <v>2915</v>
      </c>
    </row>
    <row r="141" spans="1:1" ht="14.1" customHeight="1" x14ac:dyDescent="0.25">
      <c r="A141" s="432" t="s">
        <v>2989</v>
      </c>
    </row>
    <row r="142" spans="1:1" ht="12.95" customHeight="1" x14ac:dyDescent="0.25">
      <c r="A142" s="437" t="s">
        <v>2814</v>
      </c>
    </row>
    <row r="143" spans="1:1" ht="18" customHeight="1" x14ac:dyDescent="0.25">
      <c r="A143" s="437" t="s">
        <v>2917</v>
      </c>
    </row>
    <row r="144" spans="1:1" ht="12.95" customHeight="1" x14ac:dyDescent="0.25">
      <c r="A144" s="437" t="s">
        <v>2814</v>
      </c>
    </row>
    <row r="145" spans="1:1" ht="18" customHeight="1" x14ac:dyDescent="0.25">
      <c r="A145" s="437" t="s">
        <v>2990</v>
      </c>
    </row>
    <row r="146" spans="1:1" ht="18.95" customHeight="1" x14ac:dyDescent="0.25">
      <c r="A146" s="437" t="s">
        <v>2919</v>
      </c>
    </row>
    <row r="147" spans="1:1" ht="18.95" customHeight="1" x14ac:dyDescent="0.25">
      <c r="A147" s="432" t="s">
        <v>2991</v>
      </c>
    </row>
    <row r="148" spans="1:1" ht="18.95" customHeight="1" x14ac:dyDescent="0.25">
      <c r="A148" s="432" t="s">
        <v>2992</v>
      </c>
    </row>
    <row r="149" spans="1:1" ht="18.95" customHeight="1" x14ac:dyDescent="0.25">
      <c r="A149" s="436" t="s">
        <v>2812</v>
      </c>
    </row>
    <row r="150" spans="1:1" ht="18.95" customHeight="1" x14ac:dyDescent="0.25">
      <c r="A150" s="437" t="s">
        <v>2817</v>
      </c>
    </row>
    <row r="151" spans="1:1" ht="12.95" customHeight="1" x14ac:dyDescent="0.25">
      <c r="A151" s="436" t="s">
        <v>2921</v>
      </c>
    </row>
    <row r="152" spans="1:1" ht="14.1" customHeight="1" x14ac:dyDescent="0.25">
      <c r="A152" s="432" t="s">
        <v>2922</v>
      </c>
    </row>
    <row r="153" spans="1:1" ht="18" customHeight="1" x14ac:dyDescent="0.25">
      <c r="A153" s="432" t="s">
        <v>2993</v>
      </c>
    </row>
    <row r="154" spans="1:1" ht="12.95" customHeight="1" x14ac:dyDescent="0.25">
      <c r="A154" s="437" t="s">
        <v>2924</v>
      </c>
    </row>
    <row r="155" spans="1:1" ht="12.95" customHeight="1" x14ac:dyDescent="0.25">
      <c r="A155" s="437" t="s">
        <v>2814</v>
      </c>
    </row>
    <row r="156" spans="1:1" ht="18" customHeight="1" x14ac:dyDescent="0.25">
      <c r="A156" s="437" t="s">
        <v>2994</v>
      </c>
    </row>
    <row r="157" spans="1:1" ht="18" customHeight="1" x14ac:dyDescent="0.25">
      <c r="A157" s="437" t="s">
        <v>2995</v>
      </c>
    </row>
    <row r="158" spans="1:1" ht="18" customHeight="1" x14ac:dyDescent="0.25">
      <c r="A158" s="437" t="s">
        <v>2996</v>
      </c>
    </row>
    <row r="159" spans="1:1" ht="18" customHeight="1" x14ac:dyDescent="0.25">
      <c r="A159" s="432" t="s">
        <v>2997</v>
      </c>
    </row>
    <row r="160" spans="1:1" ht="18.95" customHeight="1" x14ac:dyDescent="0.25">
      <c r="A160" s="432" t="s">
        <v>2998</v>
      </c>
    </row>
    <row r="161" spans="1:34" ht="12.95" customHeight="1" x14ac:dyDescent="0.25">
      <c r="A161" s="437" t="s">
        <v>2999</v>
      </c>
    </row>
    <row r="162" spans="1:34" ht="12.95" customHeight="1" x14ac:dyDescent="0.25">
      <c r="A162" s="437" t="s">
        <v>3000</v>
      </c>
    </row>
    <row r="163" spans="1:34" ht="12.95" customHeight="1" x14ac:dyDescent="0.25">
      <c r="A163" s="432" t="s">
        <v>3001</v>
      </c>
    </row>
    <row r="164" spans="1:34" ht="12.95" customHeight="1" x14ac:dyDescent="0.25">
      <c r="A164" s="437" t="s">
        <v>2817</v>
      </c>
    </row>
    <row r="165" spans="1:34" ht="12.95" customHeight="1" x14ac:dyDescent="0.25">
      <c r="A165" s="440" t="s">
        <v>3002</v>
      </c>
      <c r="B165" s="457" t="s">
        <v>2935</v>
      </c>
      <c r="C165" s="457"/>
      <c r="D165" s="457"/>
      <c r="E165" s="457"/>
      <c r="F165" s="457"/>
      <c r="G165" s="457"/>
      <c r="H165" s="457"/>
      <c r="I165" s="457"/>
      <c r="J165" s="457"/>
      <c r="K165" s="457"/>
      <c r="L165" s="457"/>
      <c r="M165" s="457"/>
      <c r="N165" s="469">
        <v>1</v>
      </c>
      <c r="O165" s="469"/>
      <c r="P165" s="469"/>
      <c r="Q165" s="469"/>
      <c r="R165" s="469"/>
      <c r="S165" s="469"/>
    </row>
    <row r="166" spans="1:34" ht="27.95" customHeight="1" x14ac:dyDescent="0.25">
      <c r="A166" s="441" t="s">
        <v>3003</v>
      </c>
      <c r="B166" s="454" t="s">
        <v>2937</v>
      </c>
      <c r="C166" s="454"/>
      <c r="D166" s="454"/>
      <c r="E166" s="454"/>
      <c r="F166" s="454"/>
      <c r="G166" s="454"/>
      <c r="H166" s="454"/>
      <c r="I166" s="454"/>
      <c r="J166" s="454"/>
      <c r="K166" s="454"/>
      <c r="L166" s="454"/>
      <c r="M166" s="454"/>
      <c r="N166" s="454" t="s">
        <v>3004</v>
      </c>
      <c r="O166" s="454"/>
      <c r="P166" s="454"/>
      <c r="Q166" s="454"/>
      <c r="R166" s="454"/>
      <c r="S166" s="454"/>
    </row>
    <row r="167" spans="1:34" ht="32.1" customHeight="1" x14ac:dyDescent="0.25">
      <c r="A167" s="454" t="s">
        <v>3005</v>
      </c>
      <c r="B167" s="454"/>
      <c r="C167" s="454"/>
      <c r="D167" s="454"/>
      <c r="E167" s="454"/>
      <c r="F167" s="454"/>
      <c r="G167" s="454"/>
      <c r="H167" s="454"/>
      <c r="I167" s="454"/>
      <c r="J167" s="459" t="s">
        <v>3006</v>
      </c>
      <c r="K167" s="459"/>
      <c r="L167" s="459"/>
      <c r="M167" s="459"/>
      <c r="N167" s="459"/>
      <c r="O167" s="459"/>
      <c r="P167" s="459" t="s">
        <v>2732</v>
      </c>
      <c r="Q167" s="459"/>
      <c r="R167" s="459"/>
      <c r="S167" s="459"/>
      <c r="T167" s="459"/>
      <c r="U167" s="459"/>
      <c r="V167" s="459"/>
      <c r="W167" s="459"/>
      <c r="X167" s="459"/>
      <c r="Y167" s="459"/>
      <c r="Z167" s="459"/>
      <c r="AA167" s="459"/>
      <c r="AB167" s="459"/>
      <c r="AC167" s="459" t="s">
        <v>2942</v>
      </c>
      <c r="AD167" s="459"/>
      <c r="AE167" s="459"/>
      <c r="AF167" s="459"/>
      <c r="AG167" s="459"/>
      <c r="AH167" s="459"/>
    </row>
    <row r="168" spans="1:34" ht="38.1" customHeight="1" x14ac:dyDescent="0.25">
      <c r="A168" s="457" t="s">
        <v>2733</v>
      </c>
      <c r="B168" s="457"/>
      <c r="C168" s="457"/>
      <c r="D168" s="457"/>
      <c r="E168" s="457"/>
      <c r="F168" s="457"/>
      <c r="G168" s="457"/>
      <c r="H168" s="457"/>
      <c r="I168" s="457"/>
      <c r="J168" s="454" t="s">
        <v>3007</v>
      </c>
      <c r="K168" s="454"/>
      <c r="L168" s="454"/>
      <c r="M168" s="454"/>
      <c r="N168" s="454"/>
      <c r="O168" s="454"/>
      <c r="P168" s="457" t="s">
        <v>2845</v>
      </c>
      <c r="Q168" s="457"/>
      <c r="R168" s="457"/>
      <c r="S168" s="457"/>
      <c r="T168" s="457"/>
      <c r="U168" s="457"/>
      <c r="V168" s="457"/>
      <c r="W168" s="457"/>
      <c r="X168" s="457"/>
      <c r="Y168" s="457"/>
      <c r="Z168" s="457"/>
      <c r="AA168" s="457"/>
      <c r="AB168" s="457"/>
      <c r="AC168" s="454" t="s">
        <v>3008</v>
      </c>
      <c r="AD168" s="454"/>
      <c r="AE168" s="454"/>
      <c r="AF168" s="454"/>
      <c r="AG168" s="454"/>
      <c r="AH168" s="454"/>
    </row>
    <row r="169" spans="1:34" ht="18" customHeight="1" x14ac:dyDescent="0.25">
      <c r="A169" s="457" t="s">
        <v>2871</v>
      </c>
      <c r="B169" s="457"/>
      <c r="C169" s="457"/>
      <c r="D169" s="457"/>
      <c r="E169" s="457"/>
      <c r="F169" s="457"/>
      <c r="G169" s="457"/>
      <c r="H169" s="457"/>
      <c r="I169" s="457"/>
      <c r="J169" s="454" t="s">
        <v>3009</v>
      </c>
      <c r="K169" s="454"/>
      <c r="L169" s="454"/>
      <c r="M169" s="454"/>
      <c r="N169" s="454"/>
      <c r="O169" s="454"/>
      <c r="P169" s="457" t="s">
        <v>2872</v>
      </c>
      <c r="Q169" s="457"/>
      <c r="R169" s="457"/>
      <c r="S169" s="457"/>
      <c r="T169" s="457"/>
      <c r="U169" s="457"/>
      <c r="V169" s="457"/>
      <c r="W169" s="457"/>
      <c r="X169" s="457"/>
      <c r="Y169" s="457"/>
      <c r="Z169" s="457"/>
      <c r="AA169" s="457"/>
      <c r="AB169" s="457"/>
      <c r="AC169" s="457" t="s">
        <v>3010</v>
      </c>
      <c r="AD169" s="457"/>
      <c r="AE169" s="457"/>
      <c r="AF169" s="457"/>
      <c r="AG169" s="457"/>
      <c r="AH169" s="457"/>
    </row>
    <row r="170" spans="1:34" ht="45" customHeight="1" x14ac:dyDescent="0.25">
      <c r="A170" s="454" t="s">
        <v>2873</v>
      </c>
      <c r="B170" s="454"/>
      <c r="C170" s="454"/>
      <c r="D170" s="454"/>
      <c r="E170" s="454"/>
      <c r="F170" s="454"/>
      <c r="G170" s="454"/>
      <c r="H170" s="454"/>
      <c r="I170" s="454"/>
      <c r="J170" s="454" t="s">
        <v>3011</v>
      </c>
      <c r="K170" s="454"/>
      <c r="L170" s="454"/>
      <c r="M170" s="454"/>
      <c r="N170" s="454"/>
      <c r="O170" s="454"/>
      <c r="P170" s="454" t="s">
        <v>2874</v>
      </c>
      <c r="Q170" s="454"/>
      <c r="R170" s="454"/>
      <c r="S170" s="454"/>
      <c r="T170" s="454"/>
      <c r="U170" s="454"/>
      <c r="V170" s="454"/>
      <c r="W170" s="454"/>
      <c r="X170" s="454"/>
      <c r="Y170" s="454"/>
      <c r="Z170" s="454"/>
      <c r="AA170" s="454"/>
      <c r="AB170" s="454"/>
      <c r="AC170" s="454" t="s">
        <v>3012</v>
      </c>
      <c r="AD170" s="454"/>
      <c r="AE170" s="454"/>
      <c r="AF170" s="454"/>
      <c r="AG170" s="454"/>
      <c r="AH170" s="454"/>
    </row>
    <row r="171" spans="1:34" ht="33" customHeight="1" x14ac:dyDescent="0.25">
      <c r="A171" s="454" t="s">
        <v>2949</v>
      </c>
      <c r="B171" s="454"/>
      <c r="C171" s="454"/>
      <c r="D171" s="454"/>
      <c r="E171" s="454"/>
      <c r="F171" s="454"/>
      <c r="G171" s="454"/>
      <c r="H171" s="454"/>
      <c r="I171" s="454"/>
      <c r="J171" s="459" t="s">
        <v>2950</v>
      </c>
      <c r="K171" s="459"/>
      <c r="L171" s="459"/>
      <c r="M171" s="459"/>
      <c r="N171" s="459"/>
      <c r="O171" s="459"/>
      <c r="P171" s="454"/>
      <c r="Q171" s="454"/>
      <c r="R171" s="454"/>
      <c r="S171" s="454"/>
      <c r="T171" s="454"/>
      <c r="U171" s="454"/>
      <c r="V171" s="454"/>
      <c r="W171" s="454"/>
      <c r="X171" s="454"/>
      <c r="Y171" s="454"/>
      <c r="Z171" s="454"/>
      <c r="AA171" s="454"/>
      <c r="AB171" s="454"/>
      <c r="AC171" s="454"/>
      <c r="AD171" s="454"/>
      <c r="AE171" s="454"/>
      <c r="AF171" s="454"/>
      <c r="AG171" s="454"/>
      <c r="AH171" s="454"/>
    </row>
    <row r="172" spans="1:34" ht="21" customHeight="1" x14ac:dyDescent="0.25">
      <c r="A172" s="467" t="s">
        <v>2824</v>
      </c>
      <c r="B172" s="467"/>
      <c r="C172" s="467"/>
      <c r="D172" s="467"/>
      <c r="E172" s="467"/>
      <c r="F172" s="467"/>
      <c r="G172" s="467"/>
      <c r="H172" s="467"/>
      <c r="I172" s="467"/>
      <c r="J172" s="454"/>
      <c r="K172" s="454"/>
      <c r="L172" s="454"/>
      <c r="M172" s="454"/>
      <c r="N172" s="454"/>
      <c r="O172" s="454"/>
      <c r="P172" s="454"/>
      <c r="Q172" s="454"/>
      <c r="R172" s="454"/>
      <c r="S172" s="454"/>
      <c r="T172" s="454"/>
      <c r="U172" s="454"/>
      <c r="V172" s="454"/>
      <c r="W172" s="454"/>
      <c r="X172" s="454"/>
      <c r="Y172" s="454"/>
      <c r="Z172" s="454"/>
      <c r="AA172" s="454"/>
      <c r="AB172" s="454"/>
      <c r="AC172" s="454"/>
      <c r="AD172" s="454"/>
      <c r="AE172" s="454"/>
      <c r="AF172" s="454"/>
      <c r="AG172" s="454"/>
      <c r="AH172" s="454"/>
    </row>
    <row r="173" spans="1:34" ht="29.1" customHeight="1" x14ac:dyDescent="0.25">
      <c r="A173" s="454" t="s">
        <v>2951</v>
      </c>
      <c r="B173" s="454"/>
      <c r="C173" s="454"/>
      <c r="D173" s="454"/>
      <c r="E173" s="454"/>
      <c r="F173" s="454"/>
      <c r="G173" s="454"/>
      <c r="H173" s="454"/>
      <c r="I173" s="454"/>
      <c r="J173" s="459" t="s">
        <v>2950</v>
      </c>
      <c r="K173" s="459"/>
      <c r="L173" s="459"/>
      <c r="M173" s="459"/>
      <c r="N173" s="459"/>
      <c r="O173" s="459"/>
      <c r="P173" s="454"/>
      <c r="Q173" s="454"/>
      <c r="R173" s="454"/>
      <c r="S173" s="454"/>
      <c r="T173" s="454"/>
      <c r="U173" s="454"/>
      <c r="V173" s="454"/>
      <c r="W173" s="454"/>
      <c r="X173" s="454"/>
      <c r="Y173" s="454"/>
      <c r="Z173" s="454"/>
      <c r="AA173" s="454"/>
      <c r="AB173" s="454"/>
      <c r="AC173" s="454"/>
      <c r="AD173" s="454"/>
      <c r="AE173" s="454"/>
      <c r="AF173" s="454"/>
      <c r="AG173" s="454"/>
      <c r="AH173" s="454"/>
    </row>
    <row r="174" spans="1:34" ht="27" customHeight="1" x14ac:dyDescent="0.25">
      <c r="A174" s="454" t="s">
        <v>2952</v>
      </c>
      <c r="B174" s="454"/>
      <c r="C174" s="454"/>
      <c r="D174" s="454"/>
      <c r="E174" s="454"/>
      <c r="F174" s="454"/>
      <c r="G174" s="454"/>
      <c r="H174" s="454"/>
      <c r="I174" s="454"/>
      <c r="J174" s="454"/>
      <c r="K174" s="454"/>
      <c r="L174" s="454"/>
      <c r="M174" s="454"/>
      <c r="N174" s="454"/>
      <c r="O174" s="454"/>
      <c r="P174" s="459" t="s">
        <v>2809</v>
      </c>
      <c r="Q174" s="459"/>
      <c r="R174" s="459"/>
      <c r="S174" s="459"/>
      <c r="T174" s="459"/>
      <c r="U174" s="459"/>
      <c r="V174" s="459"/>
      <c r="W174" s="459"/>
      <c r="X174" s="459"/>
      <c r="Y174" s="459"/>
      <c r="Z174" s="459"/>
      <c r="AA174" s="459"/>
      <c r="AB174" s="459"/>
      <c r="AC174" s="459" t="s">
        <v>3013</v>
      </c>
      <c r="AD174" s="459"/>
      <c r="AE174" s="459"/>
      <c r="AF174" s="459"/>
      <c r="AG174" s="459"/>
      <c r="AH174" s="459"/>
    </row>
    <row r="175" spans="1:34" ht="12.95" customHeight="1" x14ac:dyDescent="0.25">
      <c r="A175" s="457" t="s">
        <v>2810</v>
      </c>
      <c r="B175" s="457"/>
      <c r="C175" s="457"/>
      <c r="D175" s="457"/>
      <c r="E175" s="457"/>
      <c r="F175" s="457"/>
      <c r="G175" s="457"/>
      <c r="H175" s="457"/>
      <c r="I175" s="457"/>
      <c r="J175" s="454" t="s">
        <v>2880</v>
      </c>
      <c r="K175" s="454"/>
      <c r="L175" s="454"/>
      <c r="M175" s="454"/>
      <c r="N175" s="454"/>
      <c r="O175" s="454"/>
      <c r="P175" s="457" t="s">
        <v>2808</v>
      </c>
      <c r="Q175" s="457"/>
      <c r="R175" s="457"/>
      <c r="S175" s="457"/>
      <c r="T175" s="457"/>
      <c r="U175" s="457"/>
      <c r="V175" s="457"/>
      <c r="W175" s="457"/>
      <c r="X175" s="457"/>
      <c r="Y175" s="457"/>
      <c r="Z175" s="457"/>
      <c r="AA175" s="457"/>
      <c r="AB175" s="457"/>
      <c r="AC175" s="457" t="s">
        <v>2954</v>
      </c>
      <c r="AD175" s="457"/>
      <c r="AE175" s="457"/>
      <c r="AF175" s="457"/>
      <c r="AG175" s="457"/>
      <c r="AH175" s="457"/>
    </row>
    <row r="176" spans="1:34" ht="18" customHeight="1" x14ac:dyDescent="0.25">
      <c r="A176" s="457" t="s">
        <v>2811</v>
      </c>
      <c r="B176" s="457"/>
      <c r="C176" s="457"/>
      <c r="D176" s="457"/>
      <c r="E176" s="457"/>
      <c r="F176" s="457"/>
      <c r="G176" s="457"/>
      <c r="H176" s="457"/>
      <c r="I176" s="457"/>
      <c r="J176" s="457" t="s">
        <v>2823</v>
      </c>
      <c r="K176" s="457"/>
      <c r="L176" s="457"/>
      <c r="M176" s="457"/>
      <c r="N176" s="457"/>
      <c r="O176" s="457"/>
      <c r="P176" s="454"/>
      <c r="Q176" s="454"/>
      <c r="R176" s="454"/>
      <c r="S176" s="454"/>
      <c r="T176" s="454"/>
      <c r="U176" s="454"/>
      <c r="V176" s="454"/>
      <c r="W176" s="454"/>
      <c r="X176" s="454"/>
      <c r="Y176" s="454"/>
      <c r="Z176" s="454"/>
      <c r="AA176" s="454"/>
      <c r="AB176" s="454"/>
      <c r="AC176" s="454"/>
      <c r="AD176" s="454"/>
      <c r="AE176" s="454"/>
      <c r="AF176" s="454"/>
      <c r="AG176" s="454"/>
      <c r="AH176" s="454"/>
    </row>
    <row r="177" spans="1:34" ht="24.95" customHeight="1" x14ac:dyDescent="0.25">
      <c r="A177" s="454" t="s">
        <v>2955</v>
      </c>
      <c r="B177" s="454"/>
      <c r="C177" s="454"/>
      <c r="D177" s="454"/>
      <c r="E177" s="454"/>
      <c r="F177" s="454"/>
      <c r="G177" s="454"/>
      <c r="H177" s="454"/>
      <c r="I177" s="454"/>
      <c r="J177" s="459" t="s">
        <v>2956</v>
      </c>
      <c r="K177" s="459"/>
      <c r="L177" s="459"/>
      <c r="M177" s="459"/>
      <c r="N177" s="459"/>
      <c r="O177" s="459"/>
      <c r="P177" s="459" t="s">
        <v>2818</v>
      </c>
      <c r="Q177" s="459"/>
      <c r="R177" s="459"/>
      <c r="S177" s="459"/>
      <c r="T177" s="459"/>
      <c r="U177" s="459"/>
      <c r="V177" s="459"/>
      <c r="W177" s="459"/>
      <c r="X177" s="459"/>
      <c r="Y177" s="459"/>
      <c r="Z177" s="459"/>
      <c r="AA177" s="459"/>
      <c r="AB177" s="459"/>
      <c r="AC177" s="459" t="s">
        <v>2819</v>
      </c>
      <c r="AD177" s="459"/>
      <c r="AE177" s="459"/>
      <c r="AF177" s="459"/>
      <c r="AG177" s="459"/>
      <c r="AH177" s="459"/>
    </row>
    <row r="178" spans="1:34" ht="9" customHeight="1" x14ac:dyDescent="0.25">
      <c r="A178" s="457" t="s">
        <v>2820</v>
      </c>
      <c r="B178" s="457"/>
      <c r="C178" s="457"/>
      <c r="D178" s="457"/>
      <c r="E178" s="457"/>
      <c r="F178" s="457"/>
      <c r="G178" s="457"/>
      <c r="H178" s="457"/>
      <c r="I178" s="457"/>
      <c r="J178" s="457" t="s">
        <v>3014</v>
      </c>
      <c r="K178" s="457"/>
      <c r="L178" s="457"/>
      <c r="M178" s="457"/>
      <c r="N178" s="457"/>
      <c r="O178" s="457"/>
      <c r="P178" s="457" t="s">
        <v>2821</v>
      </c>
      <c r="Q178" s="457"/>
      <c r="R178" s="457"/>
      <c r="S178" s="457"/>
      <c r="T178" s="457"/>
      <c r="U178" s="457"/>
      <c r="V178" s="457"/>
      <c r="W178" s="457"/>
      <c r="X178" s="457"/>
      <c r="Y178" s="457"/>
      <c r="Z178" s="457"/>
      <c r="AA178" s="457"/>
      <c r="AB178" s="457"/>
      <c r="AC178" s="457" t="s">
        <v>2958</v>
      </c>
      <c r="AD178" s="457"/>
      <c r="AE178" s="457"/>
      <c r="AF178" s="457"/>
      <c r="AG178" s="457"/>
      <c r="AH178" s="457"/>
    </row>
    <row r="179" spans="1:34" ht="9" customHeight="1" x14ac:dyDescent="0.25">
      <c r="A179" s="457" t="s">
        <v>2881</v>
      </c>
      <c r="B179" s="457"/>
      <c r="C179" s="457"/>
      <c r="D179" s="457"/>
      <c r="E179" s="457"/>
      <c r="F179" s="457"/>
      <c r="G179" s="457"/>
      <c r="H179" s="457"/>
      <c r="I179" s="457"/>
      <c r="J179" s="454" t="s">
        <v>3015</v>
      </c>
      <c r="K179" s="454"/>
      <c r="L179" s="454"/>
      <c r="M179" s="454"/>
      <c r="N179" s="454"/>
      <c r="O179" s="454"/>
      <c r="P179" s="457" t="s">
        <v>2882</v>
      </c>
      <c r="Q179" s="457"/>
      <c r="R179" s="457"/>
      <c r="S179" s="457"/>
      <c r="T179" s="457"/>
      <c r="U179" s="457"/>
      <c r="V179" s="457"/>
      <c r="W179" s="457"/>
      <c r="X179" s="457"/>
      <c r="Y179" s="457"/>
      <c r="Z179" s="457"/>
      <c r="AA179" s="457"/>
      <c r="AB179" s="457"/>
      <c r="AC179" s="457" t="s">
        <v>3016</v>
      </c>
      <c r="AD179" s="457"/>
      <c r="AE179" s="457"/>
      <c r="AF179" s="457"/>
      <c r="AG179" s="457"/>
      <c r="AH179" s="457"/>
    </row>
    <row r="180" spans="1:34" ht="27.95" customHeight="1" x14ac:dyDescent="0.25">
      <c r="A180" s="457" t="s">
        <v>2883</v>
      </c>
      <c r="B180" s="457"/>
      <c r="C180" s="457"/>
      <c r="D180" s="457"/>
      <c r="E180" s="457"/>
      <c r="F180" s="457"/>
      <c r="G180" s="457"/>
      <c r="H180" s="457"/>
      <c r="I180" s="457"/>
      <c r="J180" s="454" t="s">
        <v>3017</v>
      </c>
      <c r="K180" s="454"/>
      <c r="L180" s="454"/>
      <c r="M180" s="454"/>
      <c r="N180" s="454"/>
      <c r="O180" s="454"/>
      <c r="P180" s="457" t="s">
        <v>2884</v>
      </c>
      <c r="Q180" s="457"/>
      <c r="R180" s="457"/>
      <c r="S180" s="457"/>
      <c r="T180" s="457"/>
      <c r="U180" s="457"/>
      <c r="V180" s="457"/>
      <c r="W180" s="457"/>
      <c r="X180" s="457"/>
      <c r="Y180" s="457"/>
      <c r="Z180" s="457"/>
      <c r="AA180" s="457"/>
      <c r="AB180" s="457"/>
      <c r="AC180" s="454" t="s">
        <v>3018</v>
      </c>
      <c r="AD180" s="454"/>
      <c r="AE180" s="454"/>
      <c r="AF180" s="454"/>
      <c r="AG180" s="454"/>
      <c r="AH180" s="454"/>
    </row>
    <row r="181" spans="1:34" ht="18" customHeight="1" x14ac:dyDescent="0.25">
      <c r="A181" s="457" t="s">
        <v>2871</v>
      </c>
      <c r="B181" s="457"/>
      <c r="C181" s="457"/>
      <c r="D181" s="457"/>
      <c r="E181" s="457"/>
      <c r="F181" s="457"/>
      <c r="G181" s="457"/>
      <c r="H181" s="457"/>
      <c r="I181" s="457"/>
      <c r="J181" s="454" t="s">
        <v>3019</v>
      </c>
      <c r="K181" s="454"/>
      <c r="L181" s="454"/>
      <c r="M181" s="454"/>
      <c r="N181" s="454"/>
      <c r="O181" s="454"/>
      <c r="P181" s="457" t="s">
        <v>2872</v>
      </c>
      <c r="Q181" s="457"/>
      <c r="R181" s="457"/>
      <c r="S181" s="457"/>
      <c r="T181" s="457"/>
      <c r="U181" s="457"/>
      <c r="V181" s="457"/>
      <c r="W181" s="457"/>
      <c r="X181" s="457"/>
      <c r="Y181" s="457"/>
      <c r="Z181" s="457"/>
      <c r="AA181" s="457"/>
      <c r="AB181" s="457"/>
      <c r="AC181" s="457" t="s">
        <v>3020</v>
      </c>
      <c r="AD181" s="457"/>
      <c r="AE181" s="457"/>
      <c r="AF181" s="457"/>
      <c r="AG181" s="457"/>
      <c r="AH181" s="457"/>
    </row>
    <row r="182" spans="1:34" ht="27.95" customHeight="1" x14ac:dyDescent="0.25">
      <c r="A182" s="454" t="s">
        <v>2885</v>
      </c>
      <c r="B182" s="454"/>
      <c r="C182" s="454"/>
      <c r="D182" s="454"/>
      <c r="E182" s="454"/>
      <c r="F182" s="454"/>
      <c r="G182" s="454"/>
      <c r="H182" s="454"/>
      <c r="I182" s="454"/>
      <c r="J182" s="454" t="s">
        <v>3021</v>
      </c>
      <c r="K182" s="454"/>
      <c r="L182" s="454"/>
      <c r="M182" s="454"/>
      <c r="N182" s="454"/>
      <c r="O182" s="454"/>
      <c r="P182" s="454" t="s">
        <v>2874</v>
      </c>
      <c r="Q182" s="454"/>
      <c r="R182" s="454"/>
      <c r="S182" s="454"/>
      <c r="T182" s="454"/>
      <c r="U182" s="454"/>
      <c r="V182" s="454"/>
      <c r="W182" s="454"/>
      <c r="X182" s="454"/>
      <c r="Y182" s="454"/>
      <c r="Z182" s="454"/>
      <c r="AA182" s="454"/>
      <c r="AB182" s="454"/>
      <c r="AC182" s="454" t="s">
        <v>3022</v>
      </c>
      <c r="AD182" s="454"/>
      <c r="AE182" s="454"/>
      <c r="AF182" s="454"/>
      <c r="AG182" s="454"/>
      <c r="AH182" s="454"/>
    </row>
    <row r="183" spans="1:34" ht="15.95" customHeight="1" x14ac:dyDescent="0.25">
      <c r="A183" s="457" t="s">
        <v>2811</v>
      </c>
      <c r="B183" s="457"/>
      <c r="C183" s="457"/>
      <c r="D183" s="457"/>
      <c r="E183" s="457"/>
      <c r="F183" s="457"/>
      <c r="G183" s="457"/>
      <c r="H183" s="457"/>
      <c r="I183" s="457"/>
      <c r="J183" s="457" t="s">
        <v>2823</v>
      </c>
      <c r="K183" s="457"/>
      <c r="L183" s="457"/>
      <c r="M183" s="457"/>
      <c r="N183" s="457"/>
      <c r="O183" s="457"/>
      <c r="P183" s="454"/>
      <c r="Q183" s="454"/>
      <c r="R183" s="454"/>
      <c r="S183" s="454"/>
      <c r="T183" s="454"/>
      <c r="U183" s="454"/>
      <c r="V183" s="454"/>
      <c r="W183" s="454"/>
      <c r="X183" s="454"/>
      <c r="Y183" s="454"/>
      <c r="Z183" s="454"/>
      <c r="AA183" s="454"/>
      <c r="AB183" s="454"/>
      <c r="AC183" s="454"/>
      <c r="AD183" s="454"/>
      <c r="AE183" s="454"/>
      <c r="AF183" s="454"/>
      <c r="AG183" s="454"/>
      <c r="AH183" s="454"/>
    </row>
    <row r="184" spans="1:34" ht="24.95" customHeight="1" x14ac:dyDescent="0.25">
      <c r="A184" s="454" t="s">
        <v>2967</v>
      </c>
      <c r="B184" s="454"/>
      <c r="C184" s="454"/>
      <c r="D184" s="454"/>
      <c r="E184" s="454"/>
      <c r="F184" s="454"/>
      <c r="G184" s="454"/>
      <c r="H184" s="454"/>
      <c r="I184" s="454"/>
      <c r="J184" s="466" t="s">
        <v>2968</v>
      </c>
      <c r="K184" s="466"/>
      <c r="L184" s="466"/>
      <c r="M184" s="466"/>
      <c r="N184" s="466"/>
      <c r="O184" s="466"/>
      <c r="P184" s="459" t="s">
        <v>2846</v>
      </c>
      <c r="Q184" s="459"/>
      <c r="R184" s="459"/>
      <c r="S184" s="459"/>
      <c r="T184" s="459"/>
      <c r="U184" s="459"/>
      <c r="V184" s="459"/>
      <c r="W184" s="459"/>
      <c r="X184" s="459"/>
      <c r="Y184" s="459"/>
      <c r="Z184" s="459"/>
      <c r="AA184" s="459"/>
      <c r="AB184" s="459"/>
      <c r="AC184" s="466" t="s">
        <v>3023</v>
      </c>
      <c r="AD184" s="466"/>
      <c r="AE184" s="466"/>
      <c r="AF184" s="466"/>
      <c r="AG184" s="466"/>
      <c r="AH184" s="466"/>
    </row>
    <row r="185" spans="1:34" ht="18" customHeight="1" x14ac:dyDescent="0.25">
      <c r="A185" s="457" t="s">
        <v>2886</v>
      </c>
      <c r="B185" s="457"/>
      <c r="C185" s="457"/>
      <c r="D185" s="457"/>
      <c r="E185" s="457"/>
      <c r="F185" s="457"/>
      <c r="G185" s="457"/>
      <c r="H185" s="457"/>
      <c r="I185" s="457"/>
      <c r="J185" s="454" t="s">
        <v>2970</v>
      </c>
      <c r="K185" s="454"/>
      <c r="L185" s="454"/>
      <c r="M185" s="454"/>
      <c r="N185" s="454"/>
      <c r="O185" s="454"/>
      <c r="P185" s="457" t="s">
        <v>2887</v>
      </c>
      <c r="Q185" s="457"/>
      <c r="R185" s="457"/>
      <c r="S185" s="457"/>
      <c r="T185" s="457"/>
      <c r="U185" s="457"/>
      <c r="V185" s="457"/>
      <c r="W185" s="457"/>
      <c r="X185" s="457"/>
      <c r="Y185" s="457"/>
      <c r="Z185" s="457"/>
      <c r="AA185" s="457"/>
      <c r="AB185" s="457"/>
      <c r="AC185" s="454" t="s">
        <v>3024</v>
      </c>
      <c r="AD185" s="454"/>
      <c r="AE185" s="454"/>
      <c r="AF185" s="454"/>
      <c r="AG185" s="454"/>
      <c r="AH185" s="454"/>
    </row>
    <row r="186" spans="1:34" ht="6.95" customHeight="1" x14ac:dyDescent="0.25">
      <c r="A186" s="457" t="s">
        <v>2875</v>
      </c>
      <c r="B186" s="457"/>
      <c r="C186" s="457"/>
      <c r="D186" s="457"/>
      <c r="E186" s="457"/>
      <c r="F186" s="457"/>
      <c r="G186" s="457"/>
      <c r="H186" s="457"/>
      <c r="I186" s="457"/>
      <c r="J186" s="457" t="s">
        <v>3025</v>
      </c>
      <c r="K186" s="457"/>
      <c r="L186" s="457"/>
      <c r="M186" s="457"/>
      <c r="N186" s="457"/>
      <c r="O186" s="457"/>
      <c r="P186" s="457" t="s">
        <v>2809</v>
      </c>
      <c r="Q186" s="457"/>
      <c r="R186" s="457"/>
      <c r="S186" s="457"/>
      <c r="T186" s="457"/>
      <c r="U186" s="457"/>
      <c r="V186" s="457"/>
      <c r="W186" s="457"/>
      <c r="X186" s="457"/>
      <c r="Y186" s="457"/>
      <c r="Z186" s="457"/>
      <c r="AA186" s="457"/>
      <c r="AB186" s="457"/>
      <c r="AC186" s="457" t="s">
        <v>3026</v>
      </c>
      <c r="AD186" s="457"/>
      <c r="AE186" s="457"/>
      <c r="AF186" s="457"/>
      <c r="AG186" s="457"/>
      <c r="AH186" s="457"/>
    </row>
    <row r="187" spans="1:34" ht="18.95" customHeight="1" x14ac:dyDescent="0.25">
      <c r="A187" s="437" t="s">
        <v>3027</v>
      </c>
    </row>
    <row r="188" spans="1:34" ht="12.95" customHeight="1" x14ac:dyDescent="0.25">
      <c r="A188" s="437" t="s">
        <v>2987</v>
      </c>
    </row>
    <row r="189" spans="1:34" ht="12.95" customHeight="1" x14ac:dyDescent="0.25">
      <c r="A189" s="437" t="s">
        <v>2888</v>
      </c>
    </row>
    <row r="190" spans="1:34" ht="12.95" customHeight="1" x14ac:dyDescent="0.25">
      <c r="A190" s="436" t="s">
        <v>2812</v>
      </c>
    </row>
    <row r="191" spans="1:34" ht="12.95" customHeight="1" x14ac:dyDescent="0.25">
      <c r="A191" s="436" t="s">
        <v>2975</v>
      </c>
    </row>
    <row r="192" spans="1:34" ht="12.95" customHeight="1" x14ac:dyDescent="0.25">
      <c r="A192" s="437" t="s">
        <v>2976</v>
      </c>
    </row>
    <row r="193" spans="1:37" ht="12.95" customHeight="1" x14ac:dyDescent="0.25">
      <c r="A193" s="436" t="s">
        <v>2977</v>
      </c>
    </row>
    <row r="194" spans="1:37" ht="12.95" customHeight="1" x14ac:dyDescent="0.25">
      <c r="A194" s="437" t="s">
        <v>3028</v>
      </c>
    </row>
    <row r="195" spans="1:37" ht="12.95" customHeight="1" x14ac:dyDescent="0.25">
      <c r="A195" s="436" t="s">
        <v>2979</v>
      </c>
    </row>
    <row r="196" spans="1:37" ht="12.95" customHeight="1" x14ac:dyDescent="0.25">
      <c r="A196" s="437" t="s">
        <v>2980</v>
      </c>
    </row>
    <row r="197" spans="1:37" ht="12.95" customHeight="1" x14ac:dyDescent="0.25">
      <c r="A197" s="436" t="s">
        <v>2674</v>
      </c>
    </row>
    <row r="198" spans="1:37" ht="12.95" customHeight="1" x14ac:dyDescent="0.25">
      <c r="A198" s="436" t="s">
        <v>2683</v>
      </c>
    </row>
    <row r="199" spans="1:37" ht="12.95" customHeight="1" x14ac:dyDescent="0.25">
      <c r="A199" s="455"/>
      <c r="B199" s="456"/>
      <c r="C199" s="448" t="s">
        <v>2675</v>
      </c>
      <c r="D199" s="453"/>
      <c r="E199" s="453"/>
      <c r="F199" s="449"/>
      <c r="G199" s="448" t="s">
        <v>2676</v>
      </c>
      <c r="H199" s="453"/>
      <c r="I199" s="453"/>
      <c r="J199" s="449"/>
      <c r="K199" s="448" t="s">
        <v>2677</v>
      </c>
      <c r="L199" s="449"/>
      <c r="M199" s="448" t="s">
        <v>2678</v>
      </c>
      <c r="N199" s="453"/>
      <c r="O199" s="453"/>
      <c r="P199" s="453"/>
      <c r="Q199" s="453"/>
      <c r="R199" s="449"/>
      <c r="S199" s="448" t="s">
        <v>2679</v>
      </c>
      <c r="T199" s="449"/>
      <c r="U199" s="439" t="s">
        <v>2680</v>
      </c>
      <c r="V199" s="448" t="s">
        <v>2681</v>
      </c>
      <c r="W199" s="453"/>
      <c r="X199" s="449"/>
      <c r="Y199" s="448" t="s">
        <v>2682</v>
      </c>
      <c r="Z199" s="453"/>
      <c r="AA199" s="453"/>
      <c r="AB199" s="453"/>
      <c r="AC199" s="449"/>
      <c r="AD199" s="448" t="s">
        <v>2684</v>
      </c>
      <c r="AE199" s="453"/>
      <c r="AF199" s="449"/>
    </row>
    <row r="200" spans="1:37" ht="12.95" customHeight="1" x14ac:dyDescent="0.25">
      <c r="A200" s="448" t="s">
        <v>2685</v>
      </c>
      <c r="B200" s="449"/>
      <c r="C200" s="450">
        <v>4471</v>
      </c>
      <c r="D200" s="451"/>
      <c r="E200" s="451"/>
      <c r="F200" s="452"/>
      <c r="G200" s="450">
        <v>5173</v>
      </c>
      <c r="H200" s="451"/>
      <c r="I200" s="451"/>
      <c r="J200" s="452"/>
      <c r="K200" s="450">
        <v>6557</v>
      </c>
      <c r="L200" s="452"/>
      <c r="M200" s="450">
        <v>7190</v>
      </c>
      <c r="N200" s="451"/>
      <c r="O200" s="451"/>
      <c r="P200" s="451"/>
      <c r="Q200" s="451"/>
      <c r="R200" s="452"/>
      <c r="S200" s="450">
        <v>7235</v>
      </c>
      <c r="T200" s="452"/>
      <c r="U200" s="443">
        <v>7323</v>
      </c>
      <c r="V200" s="450">
        <v>7123</v>
      </c>
      <c r="W200" s="451"/>
      <c r="X200" s="452"/>
      <c r="Y200" s="450">
        <v>6583</v>
      </c>
      <c r="Z200" s="451"/>
      <c r="AA200" s="451"/>
      <c r="AB200" s="451"/>
      <c r="AC200" s="452"/>
      <c r="AD200" s="445">
        <v>79</v>
      </c>
      <c r="AE200" s="446"/>
      <c r="AF200" s="447"/>
    </row>
    <row r="201" spans="1:37" ht="12.95" customHeight="1" x14ac:dyDescent="0.25">
      <c r="A201" s="448" t="s">
        <v>2686</v>
      </c>
      <c r="B201" s="449"/>
      <c r="C201" s="450">
        <v>4929</v>
      </c>
      <c r="D201" s="451"/>
      <c r="E201" s="451"/>
      <c r="F201" s="452"/>
      <c r="G201" s="450">
        <v>5846</v>
      </c>
      <c r="H201" s="451"/>
      <c r="I201" s="451"/>
      <c r="J201" s="452"/>
      <c r="K201" s="450">
        <v>7048</v>
      </c>
      <c r="L201" s="452"/>
      <c r="M201" s="450">
        <v>7680</v>
      </c>
      <c r="N201" s="451"/>
      <c r="O201" s="451"/>
      <c r="P201" s="451"/>
      <c r="Q201" s="451"/>
      <c r="R201" s="452"/>
      <c r="S201" s="450">
        <v>8325</v>
      </c>
      <c r="T201" s="452"/>
      <c r="U201" s="443">
        <v>8146</v>
      </c>
      <c r="V201" s="450">
        <v>7694</v>
      </c>
      <c r="W201" s="451"/>
      <c r="X201" s="452"/>
      <c r="Y201" s="450">
        <v>7050</v>
      </c>
      <c r="Z201" s="451"/>
      <c r="AA201" s="451"/>
      <c r="AB201" s="451"/>
      <c r="AC201" s="452"/>
      <c r="AD201" s="445">
        <v>87</v>
      </c>
      <c r="AE201" s="446"/>
      <c r="AF201" s="447"/>
    </row>
    <row r="202" spans="1:37" ht="12.95" customHeight="1" x14ac:dyDescent="0.25">
      <c r="A202" s="448" t="s">
        <v>2687</v>
      </c>
      <c r="B202" s="449"/>
      <c r="C202" s="450">
        <v>1171</v>
      </c>
      <c r="D202" s="451"/>
      <c r="E202" s="451"/>
      <c r="F202" s="452"/>
      <c r="G202" s="450">
        <v>2673</v>
      </c>
      <c r="H202" s="451"/>
      <c r="I202" s="451"/>
      <c r="J202" s="452"/>
      <c r="K202" s="450">
        <v>4157</v>
      </c>
      <c r="L202" s="452"/>
      <c r="M202" s="450">
        <v>469</v>
      </c>
      <c r="N202" s="451"/>
      <c r="O202" s="451"/>
      <c r="P202" s="451"/>
      <c r="Q202" s="451"/>
      <c r="R202" s="452"/>
      <c r="S202" s="450">
        <v>5035</v>
      </c>
      <c r="T202" s="452"/>
      <c r="U202" s="443">
        <v>5023</v>
      </c>
      <c r="V202" s="450">
        <v>4523</v>
      </c>
      <c r="W202" s="451"/>
      <c r="X202" s="452"/>
      <c r="Y202" s="450">
        <v>3583</v>
      </c>
      <c r="Z202" s="451"/>
      <c r="AA202" s="451"/>
      <c r="AB202" s="451"/>
      <c r="AC202" s="452"/>
      <c r="AD202" s="445">
        <v>55</v>
      </c>
      <c r="AE202" s="446"/>
      <c r="AF202" s="447"/>
    </row>
    <row r="203" spans="1:37" ht="12.95" customHeight="1" x14ac:dyDescent="0.25">
      <c r="A203" s="436" t="s">
        <v>2822</v>
      </c>
    </row>
    <row r="204" spans="1:37" ht="12.95" customHeight="1" x14ac:dyDescent="0.25">
      <c r="A204" s="455"/>
      <c r="B204" s="456"/>
      <c r="C204" s="448" t="s">
        <v>2675</v>
      </c>
      <c r="D204" s="453"/>
      <c r="E204" s="453"/>
      <c r="F204" s="449"/>
      <c r="G204" s="448" t="s">
        <v>2676</v>
      </c>
      <c r="H204" s="453"/>
      <c r="I204" s="453"/>
      <c r="J204" s="449"/>
      <c r="K204" s="448" t="s">
        <v>2677</v>
      </c>
      <c r="L204" s="449"/>
      <c r="M204" s="448" t="s">
        <v>2678</v>
      </c>
      <c r="N204" s="453"/>
      <c r="O204" s="453"/>
      <c r="P204" s="453"/>
      <c r="Q204" s="453"/>
      <c r="R204" s="449"/>
      <c r="S204" s="448" t="s">
        <v>2679</v>
      </c>
      <c r="T204" s="449"/>
      <c r="U204" s="439" t="s">
        <v>2680</v>
      </c>
      <c r="V204" s="448" t="s">
        <v>2681</v>
      </c>
      <c r="W204" s="453"/>
      <c r="X204" s="449"/>
      <c r="Y204" s="448" t="s">
        <v>2682</v>
      </c>
      <c r="Z204" s="453"/>
      <c r="AA204" s="453"/>
      <c r="AB204" s="453"/>
      <c r="AC204" s="449"/>
      <c r="AD204" s="448" t="s">
        <v>2684</v>
      </c>
      <c r="AE204" s="453"/>
      <c r="AF204" s="449"/>
    </row>
    <row r="205" spans="1:37" ht="12.95" customHeight="1" x14ac:dyDescent="0.25">
      <c r="A205" s="448" t="s">
        <v>2685</v>
      </c>
      <c r="B205" s="449"/>
      <c r="C205" s="450">
        <v>4213</v>
      </c>
      <c r="D205" s="451"/>
      <c r="E205" s="451"/>
      <c r="F205" s="452"/>
      <c r="G205" s="450">
        <v>4947</v>
      </c>
      <c r="H205" s="451"/>
      <c r="I205" s="451"/>
      <c r="J205" s="452"/>
      <c r="K205" s="450">
        <v>6185</v>
      </c>
      <c r="L205" s="452"/>
      <c r="M205" s="450">
        <v>7079</v>
      </c>
      <c r="N205" s="451"/>
      <c r="O205" s="451"/>
      <c r="P205" s="451"/>
      <c r="Q205" s="451"/>
      <c r="R205" s="452"/>
      <c r="S205" s="450">
        <v>7115</v>
      </c>
      <c r="T205" s="452"/>
      <c r="U205" s="443">
        <v>7175</v>
      </c>
      <c r="V205" s="450">
        <v>7028</v>
      </c>
      <c r="W205" s="451"/>
      <c r="X205" s="452"/>
      <c r="Y205" s="450">
        <v>6512</v>
      </c>
      <c r="Z205" s="451"/>
      <c r="AA205" s="451"/>
      <c r="AB205" s="451"/>
      <c r="AC205" s="452"/>
      <c r="AD205" s="445">
        <v>77</v>
      </c>
      <c r="AE205" s="446"/>
      <c r="AF205" s="447"/>
    </row>
    <row r="206" spans="1:37" ht="12.95" customHeight="1" x14ac:dyDescent="0.25">
      <c r="A206" s="448" t="s">
        <v>2686</v>
      </c>
      <c r="B206" s="449"/>
      <c r="C206" s="450">
        <v>4370</v>
      </c>
      <c r="D206" s="451"/>
      <c r="E206" s="451"/>
      <c r="F206" s="452"/>
      <c r="G206" s="450">
        <v>5340</v>
      </c>
      <c r="H206" s="451"/>
      <c r="I206" s="451"/>
      <c r="J206" s="452"/>
      <c r="K206" s="450">
        <v>6584</v>
      </c>
      <c r="L206" s="452"/>
      <c r="M206" s="450">
        <v>7542</v>
      </c>
      <c r="N206" s="451"/>
      <c r="O206" s="451"/>
      <c r="P206" s="451"/>
      <c r="Q206" s="451"/>
      <c r="R206" s="452"/>
      <c r="S206" s="450">
        <v>8203</v>
      </c>
      <c r="T206" s="452"/>
      <c r="U206" s="443">
        <v>8079</v>
      </c>
      <c r="V206" s="450">
        <v>7604</v>
      </c>
      <c r="W206" s="451"/>
      <c r="X206" s="452"/>
      <c r="Y206" s="450">
        <v>6996</v>
      </c>
      <c r="Z206" s="451"/>
      <c r="AA206" s="451"/>
      <c r="AB206" s="451"/>
      <c r="AC206" s="452"/>
      <c r="AD206" s="445">
        <v>86</v>
      </c>
      <c r="AE206" s="446"/>
      <c r="AF206" s="447"/>
    </row>
    <row r="207" spans="1:37" ht="12.95" customHeight="1" x14ac:dyDescent="0.25">
      <c r="A207" s="448" t="s">
        <v>2687</v>
      </c>
      <c r="B207" s="449"/>
      <c r="C207" s="450">
        <v>913</v>
      </c>
      <c r="D207" s="451"/>
      <c r="E207" s="451"/>
      <c r="F207" s="452"/>
      <c r="G207" s="450">
        <v>2447</v>
      </c>
      <c r="H207" s="451"/>
      <c r="I207" s="451"/>
      <c r="J207" s="452"/>
      <c r="K207" s="450">
        <v>3785</v>
      </c>
      <c r="L207" s="452"/>
      <c r="M207" s="450">
        <v>4579</v>
      </c>
      <c r="N207" s="451"/>
      <c r="O207" s="451"/>
      <c r="P207" s="451"/>
      <c r="Q207" s="451"/>
      <c r="R207" s="452"/>
      <c r="S207" s="450">
        <v>4915</v>
      </c>
      <c r="T207" s="452"/>
      <c r="U207" s="443">
        <v>4875</v>
      </c>
      <c r="V207" s="450">
        <v>4428</v>
      </c>
      <c r="W207" s="451"/>
      <c r="X207" s="452"/>
      <c r="Y207" s="450">
        <v>3512</v>
      </c>
      <c r="Z207" s="451"/>
      <c r="AA207" s="451"/>
      <c r="AB207" s="451"/>
      <c r="AC207" s="452"/>
      <c r="AD207" s="445">
        <v>54</v>
      </c>
      <c r="AE207" s="446"/>
      <c r="AF207" s="447"/>
    </row>
    <row r="208" spans="1:37" ht="17.100000000000001" customHeight="1" x14ac:dyDescent="0.25">
      <c r="A208" s="464" t="s">
        <v>2847</v>
      </c>
      <c r="B208" s="464"/>
      <c r="C208" s="464"/>
      <c r="D208" s="465" t="s">
        <v>2889</v>
      </c>
      <c r="E208" s="465"/>
      <c r="F208" s="465"/>
      <c r="G208" s="465"/>
      <c r="H208" s="465"/>
      <c r="I208" s="465"/>
      <c r="J208" s="465"/>
      <c r="K208" s="465"/>
      <c r="L208" s="465"/>
      <c r="M208" s="465"/>
      <c r="N208" s="465"/>
      <c r="O208" s="464" t="s">
        <v>2848</v>
      </c>
      <c r="P208" s="464"/>
      <c r="Q208" s="464"/>
      <c r="R208" s="464"/>
      <c r="S208" s="464"/>
      <c r="T208" s="464"/>
      <c r="U208" s="464"/>
      <c r="V208" s="465" t="s">
        <v>3029</v>
      </c>
      <c r="W208" s="465"/>
      <c r="X208" s="465"/>
      <c r="Y208" s="465"/>
      <c r="Z208" s="465"/>
      <c r="AA208" s="465"/>
      <c r="AB208" s="465"/>
      <c r="AC208" s="465"/>
      <c r="AD208" s="465"/>
      <c r="AE208" s="465"/>
      <c r="AF208" s="465"/>
      <c r="AG208" s="465"/>
      <c r="AH208" s="465"/>
      <c r="AI208" s="465"/>
      <c r="AJ208" s="465"/>
      <c r="AK208" s="465"/>
    </row>
    <row r="209" spans="1:37" ht="27" customHeight="1" x14ac:dyDescent="0.25">
      <c r="A209" s="454" t="s">
        <v>2891</v>
      </c>
      <c r="B209" s="454"/>
      <c r="C209" s="454"/>
      <c r="D209" s="462" t="s">
        <v>2892</v>
      </c>
      <c r="E209" s="462"/>
      <c r="F209" s="462"/>
      <c r="G209" s="462"/>
      <c r="H209" s="462"/>
      <c r="I209" s="462"/>
      <c r="J209" s="462"/>
      <c r="K209" s="462"/>
      <c r="L209" s="462"/>
      <c r="M209" s="462"/>
      <c r="N209" s="462"/>
      <c r="O209" s="454" t="s">
        <v>2893</v>
      </c>
      <c r="P209" s="454"/>
      <c r="Q209" s="454"/>
      <c r="R209" s="454"/>
      <c r="S209" s="454"/>
      <c r="T209" s="454"/>
      <c r="U209" s="454"/>
      <c r="V209" s="462" t="s">
        <v>2894</v>
      </c>
      <c r="W209" s="462"/>
      <c r="X209" s="462"/>
      <c r="Y209" s="462"/>
      <c r="Z209" s="462"/>
      <c r="AA209" s="462"/>
      <c r="AB209" s="462"/>
      <c r="AC209" s="462"/>
      <c r="AD209" s="462"/>
      <c r="AE209" s="462"/>
      <c r="AF209" s="462"/>
      <c r="AG209" s="462"/>
      <c r="AH209" s="462"/>
      <c r="AI209" s="462"/>
      <c r="AJ209" s="462"/>
      <c r="AK209" s="462"/>
    </row>
    <row r="210" spans="1:37" ht="15" customHeight="1" x14ac:dyDescent="0.25">
      <c r="A210" s="432" t="s">
        <v>2982</v>
      </c>
    </row>
    <row r="211" spans="1:37" ht="12" customHeight="1" x14ac:dyDescent="0.25">
      <c r="A211" s="434" t="s">
        <v>2849</v>
      </c>
    </row>
    <row r="212" spans="1:37" ht="12" customHeight="1" x14ac:dyDescent="0.25">
      <c r="A212" s="434" t="s">
        <v>2850</v>
      </c>
    </row>
    <row r="213" spans="1:37" ht="14.1" customHeight="1" x14ac:dyDescent="0.25">
      <c r="A213" s="435" t="s">
        <v>2896</v>
      </c>
    </row>
    <row r="214" spans="1:37" ht="15" customHeight="1" x14ac:dyDescent="0.25">
      <c r="A214" s="460" t="s">
        <v>2858</v>
      </c>
      <c r="B214" s="460"/>
      <c r="C214" s="460"/>
      <c r="D214" s="460"/>
      <c r="E214" s="470">
        <v>707</v>
      </c>
      <c r="F214" s="470"/>
      <c r="G214" s="470"/>
      <c r="H214" s="470"/>
      <c r="I214" s="470"/>
      <c r="J214" s="470"/>
      <c r="K214" s="470"/>
      <c r="L214" s="460" t="s">
        <v>2859</v>
      </c>
      <c r="M214" s="460"/>
      <c r="N214" s="460"/>
      <c r="O214" s="460"/>
      <c r="P214" s="460"/>
      <c r="Q214" s="460"/>
      <c r="R214" s="460"/>
      <c r="S214" s="460"/>
      <c r="T214" s="460"/>
      <c r="U214" s="460"/>
      <c r="V214" s="460"/>
      <c r="W214" s="460"/>
      <c r="X214" s="462" t="s">
        <v>2860</v>
      </c>
      <c r="Y214" s="462"/>
      <c r="Z214" s="462"/>
      <c r="AA214" s="462"/>
      <c r="AB214" s="462"/>
      <c r="AC214" s="462"/>
      <c r="AD214" s="462"/>
    </row>
    <row r="215" spans="1:37" ht="9.9499999999999993" customHeight="1" x14ac:dyDescent="0.25">
      <c r="A215" s="460" t="s">
        <v>2851</v>
      </c>
      <c r="B215" s="460"/>
      <c r="C215" s="460"/>
      <c r="D215" s="460"/>
      <c r="E215" s="463">
        <v>45</v>
      </c>
      <c r="F215" s="463"/>
      <c r="G215" s="463"/>
      <c r="H215" s="463"/>
      <c r="I215" s="463"/>
      <c r="J215" s="463"/>
      <c r="K215" s="463"/>
      <c r="L215" s="460" t="s">
        <v>2861</v>
      </c>
      <c r="M215" s="460"/>
      <c r="N215" s="460"/>
      <c r="O215" s="460"/>
      <c r="P215" s="460"/>
      <c r="Q215" s="460"/>
      <c r="R215" s="460"/>
      <c r="S215" s="460"/>
      <c r="T215" s="460"/>
      <c r="U215" s="460"/>
      <c r="V215" s="460"/>
      <c r="W215" s="460"/>
      <c r="X215" s="462" t="s">
        <v>2862</v>
      </c>
      <c r="Y215" s="462"/>
      <c r="Z215" s="462"/>
      <c r="AA215" s="462"/>
      <c r="AB215" s="462"/>
      <c r="AC215" s="462"/>
      <c r="AD215" s="462"/>
    </row>
    <row r="216" spans="1:37" ht="9.9499999999999993" customHeight="1" x14ac:dyDescent="0.25">
      <c r="A216" s="460" t="s">
        <v>2876</v>
      </c>
      <c r="B216" s="460"/>
      <c r="C216" s="460"/>
      <c r="D216" s="460"/>
      <c r="E216" s="462" t="s">
        <v>2877</v>
      </c>
      <c r="F216" s="462"/>
      <c r="G216" s="462"/>
      <c r="H216" s="462"/>
      <c r="I216" s="462"/>
      <c r="J216" s="462"/>
      <c r="K216" s="462"/>
      <c r="L216" s="460" t="s">
        <v>2863</v>
      </c>
      <c r="M216" s="460"/>
      <c r="N216" s="460"/>
      <c r="O216" s="460"/>
      <c r="P216" s="460"/>
      <c r="Q216" s="460"/>
      <c r="R216" s="460"/>
      <c r="S216" s="460"/>
      <c r="T216" s="460"/>
      <c r="U216" s="460"/>
      <c r="V216" s="460"/>
      <c r="W216" s="460"/>
      <c r="X216" s="462" t="s">
        <v>2897</v>
      </c>
      <c r="Y216" s="462"/>
      <c r="Z216" s="462"/>
      <c r="AA216" s="462"/>
      <c r="AB216" s="462"/>
      <c r="AC216" s="462"/>
      <c r="AD216" s="462"/>
    </row>
    <row r="217" spans="1:37" ht="15" customHeight="1" x14ac:dyDescent="0.25">
      <c r="A217" s="460" t="s">
        <v>2878</v>
      </c>
      <c r="B217" s="460"/>
      <c r="C217" s="460"/>
      <c r="D217" s="460"/>
      <c r="E217" s="462" t="s">
        <v>2879</v>
      </c>
      <c r="F217" s="462"/>
      <c r="G217" s="462"/>
      <c r="H217" s="462"/>
      <c r="I217" s="462"/>
      <c r="J217" s="462"/>
      <c r="K217" s="462"/>
      <c r="L217" s="454"/>
      <c r="M217" s="454"/>
      <c r="N217" s="454"/>
      <c r="O217" s="454"/>
      <c r="P217" s="454"/>
      <c r="Q217" s="454"/>
      <c r="R217" s="454"/>
      <c r="S217" s="454"/>
      <c r="T217" s="454"/>
      <c r="U217" s="454"/>
      <c r="V217" s="454"/>
      <c r="W217" s="454"/>
      <c r="X217" s="454"/>
      <c r="Y217" s="454"/>
      <c r="Z217" s="454"/>
      <c r="AA217" s="454"/>
      <c r="AB217" s="454"/>
      <c r="AC217" s="454"/>
      <c r="AD217" s="454"/>
    </row>
    <row r="218" spans="1:37" ht="20.100000000000001" customHeight="1" x14ac:dyDescent="0.25">
      <c r="A218" s="454"/>
      <c r="B218" s="454"/>
      <c r="C218" s="454"/>
      <c r="D218" s="454"/>
      <c r="E218" s="454"/>
      <c r="F218" s="460" t="s">
        <v>2864</v>
      </c>
      <c r="G218" s="460"/>
      <c r="H218" s="460"/>
      <c r="I218" s="460"/>
      <c r="J218" s="460"/>
      <c r="K218" s="460"/>
      <c r="L218" s="460"/>
      <c r="M218" s="460"/>
      <c r="N218" s="460"/>
      <c r="O218" s="460"/>
      <c r="P218" s="460"/>
      <c r="Q218" s="460"/>
      <c r="R218" s="460" t="s">
        <v>2865</v>
      </c>
      <c r="S218" s="460"/>
      <c r="T218" s="460"/>
      <c r="U218" s="460"/>
      <c r="V218" s="460"/>
    </row>
    <row r="219" spans="1:37" ht="15.95" customHeight="1" x14ac:dyDescent="0.25">
      <c r="A219" s="460" t="s">
        <v>2854</v>
      </c>
      <c r="B219" s="460"/>
      <c r="C219" s="460"/>
      <c r="D219" s="460"/>
      <c r="E219" s="460"/>
      <c r="F219" s="463">
        <v>2900</v>
      </c>
      <c r="G219" s="463"/>
      <c r="H219" s="463"/>
      <c r="I219" s="463"/>
      <c r="J219" s="463"/>
      <c r="K219" s="463"/>
      <c r="L219" s="463"/>
      <c r="M219" s="463"/>
      <c r="N219" s="463"/>
      <c r="O219" s="463"/>
      <c r="P219" s="463"/>
      <c r="Q219" s="463"/>
      <c r="R219" s="463">
        <v>2900</v>
      </c>
      <c r="S219" s="463"/>
      <c r="T219" s="463"/>
      <c r="U219" s="463"/>
      <c r="V219" s="463"/>
    </row>
    <row r="220" spans="1:37" ht="9.9499999999999993" customHeight="1" x14ac:dyDescent="0.25">
      <c r="A220" s="460" t="s">
        <v>2866</v>
      </c>
      <c r="B220" s="460"/>
      <c r="C220" s="460"/>
      <c r="D220" s="460"/>
      <c r="E220" s="460"/>
      <c r="F220" s="463">
        <v>400</v>
      </c>
      <c r="G220" s="463"/>
      <c r="H220" s="463"/>
      <c r="I220" s="463"/>
      <c r="J220" s="463"/>
      <c r="K220" s="463"/>
      <c r="L220" s="463"/>
      <c r="M220" s="463"/>
      <c r="N220" s="463"/>
      <c r="O220" s="463"/>
      <c r="P220" s="463"/>
      <c r="Q220" s="463"/>
      <c r="R220" s="463">
        <v>400</v>
      </c>
      <c r="S220" s="463"/>
      <c r="T220" s="463"/>
      <c r="U220" s="463"/>
      <c r="V220" s="463"/>
    </row>
    <row r="221" spans="1:37" ht="9.9499999999999993" customHeight="1" x14ac:dyDescent="0.25">
      <c r="A221" s="460" t="s">
        <v>2867</v>
      </c>
      <c r="B221" s="460"/>
      <c r="C221" s="460"/>
      <c r="D221" s="460"/>
      <c r="E221" s="460"/>
      <c r="F221" s="463">
        <v>1185</v>
      </c>
      <c r="G221" s="463"/>
      <c r="H221" s="463"/>
      <c r="I221" s="463"/>
      <c r="J221" s="463"/>
      <c r="K221" s="463"/>
      <c r="L221" s="463"/>
      <c r="M221" s="463"/>
      <c r="N221" s="463"/>
      <c r="O221" s="463"/>
      <c r="P221" s="463"/>
      <c r="Q221" s="463"/>
      <c r="R221" s="463">
        <v>733</v>
      </c>
      <c r="S221" s="463"/>
      <c r="T221" s="463"/>
      <c r="U221" s="463"/>
      <c r="V221" s="463"/>
    </row>
    <row r="222" spans="1:37" ht="15" customHeight="1" x14ac:dyDescent="0.25">
      <c r="A222" s="460" t="s">
        <v>2868</v>
      </c>
      <c r="B222" s="460"/>
      <c r="C222" s="460"/>
      <c r="D222" s="460"/>
      <c r="E222" s="460"/>
      <c r="F222" s="461">
        <v>19</v>
      </c>
      <c r="G222" s="461"/>
      <c r="H222" s="461"/>
      <c r="I222" s="461"/>
      <c r="J222" s="461"/>
      <c r="K222" s="461"/>
      <c r="L222" s="461"/>
      <c r="M222" s="461"/>
      <c r="N222" s="461"/>
      <c r="O222" s="461"/>
      <c r="P222" s="461"/>
      <c r="Q222" s="461"/>
      <c r="R222" s="461">
        <v>19</v>
      </c>
      <c r="S222" s="461"/>
      <c r="T222" s="461"/>
      <c r="U222" s="461"/>
      <c r="V222" s="461"/>
    </row>
    <row r="223" spans="1:37" ht="15" customHeight="1" x14ac:dyDescent="0.25">
      <c r="A223" s="433" t="s">
        <v>2869</v>
      </c>
    </row>
    <row r="224" spans="1:37" ht="15" customHeight="1" x14ac:dyDescent="0.25">
      <c r="A224" s="433" t="s">
        <v>2870</v>
      </c>
    </row>
    <row r="225" spans="1:1" ht="15" customHeight="1" x14ac:dyDescent="0.25">
      <c r="A225" s="433" t="s">
        <v>2855</v>
      </c>
    </row>
    <row r="226" spans="1:1" ht="12.95" customHeight="1" x14ac:dyDescent="0.25">
      <c r="A226" s="436" t="s">
        <v>2898</v>
      </c>
    </row>
    <row r="227" spans="1:1" ht="12.95" customHeight="1" x14ac:dyDescent="0.25">
      <c r="A227" s="436" t="s">
        <v>2899</v>
      </c>
    </row>
    <row r="228" spans="1:1" ht="12.95" customHeight="1" x14ac:dyDescent="0.25">
      <c r="A228" s="437" t="s">
        <v>2900</v>
      </c>
    </row>
    <row r="229" spans="1:1" ht="12.95" customHeight="1" x14ac:dyDescent="0.25">
      <c r="A229" s="436" t="s">
        <v>2901</v>
      </c>
    </row>
    <row r="230" spans="1:1" ht="12.95" customHeight="1" x14ac:dyDescent="0.25">
      <c r="A230" s="437" t="s">
        <v>2983</v>
      </c>
    </row>
    <row r="231" spans="1:1" ht="12.95" customHeight="1" x14ac:dyDescent="0.25">
      <c r="A231" s="436" t="s">
        <v>2903</v>
      </c>
    </row>
    <row r="232" spans="1:1" ht="12.95" customHeight="1" x14ac:dyDescent="0.25">
      <c r="A232" s="437" t="s">
        <v>3030</v>
      </c>
    </row>
    <row r="233" spans="1:1" ht="12.95" customHeight="1" x14ac:dyDescent="0.25">
      <c r="A233" s="442" t="s">
        <v>2905</v>
      </c>
    </row>
    <row r="234" spans="1:1" ht="18" customHeight="1" x14ac:dyDescent="0.25">
      <c r="A234" s="437" t="s">
        <v>2906</v>
      </c>
    </row>
    <row r="235" spans="1:1" ht="18" customHeight="1" x14ac:dyDescent="0.25">
      <c r="A235" s="437" t="s">
        <v>2813</v>
      </c>
    </row>
    <row r="236" spans="1:1" ht="12.95" customHeight="1" x14ac:dyDescent="0.25">
      <c r="A236" s="436" t="s">
        <v>2907</v>
      </c>
    </row>
    <row r="237" spans="1:1" ht="12.95" customHeight="1" x14ac:dyDescent="0.25">
      <c r="A237" s="437" t="s">
        <v>3031</v>
      </c>
    </row>
    <row r="238" spans="1:1" ht="12.95" customHeight="1" x14ac:dyDescent="0.25">
      <c r="A238" s="437" t="s">
        <v>2909</v>
      </c>
    </row>
    <row r="239" spans="1:1" ht="12.95" customHeight="1" x14ac:dyDescent="0.25">
      <c r="A239" s="437" t="s">
        <v>2813</v>
      </c>
    </row>
    <row r="240" spans="1:1" ht="12.95" customHeight="1" x14ac:dyDescent="0.25">
      <c r="A240" s="436" t="s">
        <v>2910</v>
      </c>
    </row>
    <row r="241" spans="1:1" ht="14.1" customHeight="1" x14ac:dyDescent="0.25">
      <c r="A241" s="432" t="s">
        <v>3032</v>
      </c>
    </row>
    <row r="242" spans="1:1" ht="18.95" customHeight="1" x14ac:dyDescent="0.25">
      <c r="A242" s="437" t="s">
        <v>2912</v>
      </c>
    </row>
    <row r="243" spans="1:1" ht="12.95" customHeight="1" x14ac:dyDescent="0.25">
      <c r="A243" s="437" t="s">
        <v>3033</v>
      </c>
    </row>
    <row r="244" spans="1:1" ht="12.95" customHeight="1" x14ac:dyDescent="0.25">
      <c r="A244" s="437" t="s">
        <v>3034</v>
      </c>
    </row>
    <row r="245" spans="1:1" ht="12.95" customHeight="1" x14ac:dyDescent="0.25">
      <c r="A245" s="436" t="s">
        <v>2812</v>
      </c>
    </row>
    <row r="246" spans="1:1" ht="12.95" customHeight="1" x14ac:dyDescent="0.25">
      <c r="A246" s="436" t="s">
        <v>2915</v>
      </c>
    </row>
    <row r="247" spans="1:1" ht="14.1" customHeight="1" x14ac:dyDescent="0.25">
      <c r="A247" s="432" t="s">
        <v>3035</v>
      </c>
    </row>
    <row r="248" spans="1:1" ht="12.95" customHeight="1" x14ac:dyDescent="0.25">
      <c r="A248" s="437" t="s">
        <v>2814</v>
      </c>
    </row>
    <row r="249" spans="1:1" ht="18" customHeight="1" x14ac:dyDescent="0.25">
      <c r="A249" s="437" t="s">
        <v>2917</v>
      </c>
    </row>
    <row r="250" spans="1:1" ht="12.95" customHeight="1" x14ac:dyDescent="0.25">
      <c r="A250" s="437" t="s">
        <v>2814</v>
      </c>
    </row>
    <row r="251" spans="1:1" ht="18" customHeight="1" x14ac:dyDescent="0.25">
      <c r="A251" s="437" t="s">
        <v>3036</v>
      </c>
    </row>
    <row r="252" spans="1:1" ht="18.95" customHeight="1" x14ac:dyDescent="0.25">
      <c r="A252" s="437" t="s">
        <v>2919</v>
      </c>
    </row>
    <row r="253" spans="1:1" ht="18.95" customHeight="1" x14ac:dyDescent="0.25">
      <c r="A253" s="432" t="s">
        <v>2991</v>
      </c>
    </row>
    <row r="254" spans="1:1" ht="18.95" customHeight="1" x14ac:dyDescent="0.25">
      <c r="A254" s="432" t="s">
        <v>3037</v>
      </c>
    </row>
    <row r="255" spans="1:1" ht="18.95" customHeight="1" x14ac:dyDescent="0.25">
      <c r="A255" s="436" t="s">
        <v>2812</v>
      </c>
    </row>
    <row r="256" spans="1:1" ht="18.95" customHeight="1" x14ac:dyDescent="0.25">
      <c r="A256" s="437" t="s">
        <v>2817</v>
      </c>
    </row>
    <row r="257" spans="1:19" ht="12.95" customHeight="1" x14ac:dyDescent="0.25">
      <c r="A257" s="436" t="s">
        <v>2921</v>
      </c>
    </row>
    <row r="258" spans="1:19" ht="14.1" customHeight="1" x14ac:dyDescent="0.25">
      <c r="A258" s="432" t="s">
        <v>2922</v>
      </c>
    </row>
    <row r="259" spans="1:19" ht="18" customHeight="1" x14ac:dyDescent="0.25">
      <c r="A259" s="432" t="s">
        <v>3038</v>
      </c>
    </row>
    <row r="260" spans="1:19" ht="12.95" customHeight="1" x14ac:dyDescent="0.25">
      <c r="A260" s="437" t="s">
        <v>2924</v>
      </c>
    </row>
    <row r="261" spans="1:19" ht="12.95" customHeight="1" x14ac:dyDescent="0.25">
      <c r="A261" s="437" t="s">
        <v>2814</v>
      </c>
    </row>
    <row r="262" spans="1:19" ht="18" customHeight="1" x14ac:dyDescent="0.25">
      <c r="A262" s="437" t="s">
        <v>2994</v>
      </c>
    </row>
    <row r="263" spans="1:19" ht="18" customHeight="1" x14ac:dyDescent="0.25">
      <c r="A263" s="437" t="s">
        <v>2995</v>
      </c>
    </row>
    <row r="264" spans="1:19" ht="18" customHeight="1" x14ac:dyDescent="0.25">
      <c r="A264" s="437" t="s">
        <v>3039</v>
      </c>
    </row>
    <row r="265" spans="1:19" ht="18" customHeight="1" x14ac:dyDescent="0.25">
      <c r="A265" s="432" t="s">
        <v>3040</v>
      </c>
    </row>
    <row r="266" spans="1:19" ht="18.95" customHeight="1" x14ac:dyDescent="0.25">
      <c r="A266" s="432" t="s">
        <v>3041</v>
      </c>
    </row>
    <row r="267" spans="1:19" ht="18" customHeight="1" x14ac:dyDescent="0.25">
      <c r="A267" s="437" t="s">
        <v>3042</v>
      </c>
    </row>
    <row r="268" spans="1:19" ht="12.95" customHeight="1" x14ac:dyDescent="0.25">
      <c r="A268" s="437" t="s">
        <v>3000</v>
      </c>
    </row>
    <row r="269" spans="1:19" ht="12.95" customHeight="1" x14ac:dyDescent="0.25">
      <c r="A269" s="432" t="s">
        <v>3001</v>
      </c>
    </row>
    <row r="270" spans="1:19" ht="12.95" customHeight="1" x14ac:dyDescent="0.25">
      <c r="A270" s="437" t="s">
        <v>2817</v>
      </c>
    </row>
    <row r="271" spans="1:19" ht="12.95" customHeight="1" x14ac:dyDescent="0.25">
      <c r="A271" s="440" t="s">
        <v>3043</v>
      </c>
      <c r="B271" s="457" t="s">
        <v>2935</v>
      </c>
      <c r="C271" s="457"/>
      <c r="D271" s="457"/>
      <c r="E271" s="457"/>
      <c r="F271" s="457"/>
      <c r="G271" s="457"/>
      <c r="H271" s="457"/>
      <c r="I271" s="457"/>
      <c r="J271" s="457"/>
      <c r="K271" s="457"/>
      <c r="L271" s="457"/>
      <c r="M271" s="457"/>
      <c r="N271" s="469">
        <v>1</v>
      </c>
      <c r="O271" s="469"/>
      <c r="P271" s="469"/>
      <c r="Q271" s="469"/>
      <c r="R271" s="469"/>
      <c r="S271" s="469"/>
    </row>
    <row r="272" spans="1:19" ht="27.95" customHeight="1" x14ac:dyDescent="0.25">
      <c r="A272" s="441" t="s">
        <v>3044</v>
      </c>
      <c r="B272" s="454" t="s">
        <v>2937</v>
      </c>
      <c r="C272" s="454"/>
      <c r="D272" s="454"/>
      <c r="E272" s="454"/>
      <c r="F272" s="454"/>
      <c r="G272" s="454"/>
      <c r="H272" s="454"/>
      <c r="I272" s="454"/>
      <c r="J272" s="454"/>
      <c r="K272" s="454"/>
      <c r="L272" s="454"/>
      <c r="M272" s="454"/>
      <c r="N272" s="454" t="s">
        <v>3045</v>
      </c>
      <c r="O272" s="454"/>
      <c r="P272" s="454"/>
      <c r="Q272" s="454"/>
      <c r="R272" s="454"/>
      <c r="S272" s="454"/>
    </row>
    <row r="273" spans="1:34" ht="32.1" customHeight="1" x14ac:dyDescent="0.25">
      <c r="A273" s="454" t="s">
        <v>3005</v>
      </c>
      <c r="B273" s="454"/>
      <c r="C273" s="454"/>
      <c r="D273" s="454"/>
      <c r="E273" s="454"/>
      <c r="F273" s="454"/>
      <c r="G273" s="454"/>
      <c r="H273" s="454"/>
      <c r="I273" s="454"/>
      <c r="J273" s="459" t="s">
        <v>3006</v>
      </c>
      <c r="K273" s="459"/>
      <c r="L273" s="459"/>
      <c r="M273" s="459"/>
      <c r="N273" s="459"/>
      <c r="O273" s="459"/>
      <c r="P273" s="459" t="s">
        <v>2732</v>
      </c>
      <c r="Q273" s="459"/>
      <c r="R273" s="459"/>
      <c r="S273" s="459"/>
      <c r="T273" s="459"/>
      <c r="U273" s="459"/>
      <c r="V273" s="459"/>
      <c r="W273" s="459"/>
      <c r="X273" s="459"/>
      <c r="Y273" s="459"/>
      <c r="Z273" s="459"/>
      <c r="AA273" s="459"/>
      <c r="AB273" s="459"/>
      <c r="AC273" s="459" t="s">
        <v>2942</v>
      </c>
      <c r="AD273" s="459"/>
      <c r="AE273" s="459"/>
      <c r="AF273" s="459"/>
      <c r="AG273" s="459"/>
      <c r="AH273" s="459"/>
    </row>
    <row r="274" spans="1:34" ht="38.1" customHeight="1" x14ac:dyDescent="0.25">
      <c r="A274" s="457" t="s">
        <v>2733</v>
      </c>
      <c r="B274" s="457"/>
      <c r="C274" s="457"/>
      <c r="D274" s="457"/>
      <c r="E274" s="457"/>
      <c r="F274" s="457"/>
      <c r="G274" s="457"/>
      <c r="H274" s="457"/>
      <c r="I274" s="457"/>
      <c r="J274" s="454" t="s">
        <v>3046</v>
      </c>
      <c r="K274" s="454"/>
      <c r="L274" s="454"/>
      <c r="M274" s="454"/>
      <c r="N274" s="454"/>
      <c r="O274" s="454"/>
      <c r="P274" s="457" t="s">
        <v>2845</v>
      </c>
      <c r="Q274" s="457"/>
      <c r="R274" s="457"/>
      <c r="S274" s="457"/>
      <c r="T274" s="457"/>
      <c r="U274" s="457"/>
      <c r="V274" s="457"/>
      <c r="W274" s="457"/>
      <c r="X274" s="457"/>
      <c r="Y274" s="457"/>
      <c r="Z274" s="457"/>
      <c r="AA274" s="457"/>
      <c r="AB274" s="457"/>
      <c r="AC274" s="454" t="s">
        <v>3047</v>
      </c>
      <c r="AD274" s="454"/>
      <c r="AE274" s="454"/>
      <c r="AF274" s="454"/>
      <c r="AG274" s="454"/>
      <c r="AH274" s="454"/>
    </row>
    <row r="275" spans="1:34" ht="18" customHeight="1" x14ac:dyDescent="0.25">
      <c r="A275" s="457" t="s">
        <v>2871</v>
      </c>
      <c r="B275" s="457"/>
      <c r="C275" s="457"/>
      <c r="D275" s="457"/>
      <c r="E275" s="457"/>
      <c r="F275" s="457"/>
      <c r="G275" s="457"/>
      <c r="H275" s="457"/>
      <c r="I275" s="457"/>
      <c r="J275" s="454" t="s">
        <v>3048</v>
      </c>
      <c r="K275" s="454"/>
      <c r="L275" s="454"/>
      <c r="M275" s="454"/>
      <c r="N275" s="454"/>
      <c r="O275" s="454"/>
      <c r="P275" s="457" t="s">
        <v>2872</v>
      </c>
      <c r="Q275" s="457"/>
      <c r="R275" s="457"/>
      <c r="S275" s="457"/>
      <c r="T275" s="457"/>
      <c r="U275" s="457"/>
      <c r="V275" s="457"/>
      <c r="W275" s="457"/>
      <c r="X275" s="457"/>
      <c r="Y275" s="457"/>
      <c r="Z275" s="457"/>
      <c r="AA275" s="457"/>
      <c r="AB275" s="457"/>
      <c r="AC275" s="457" t="s">
        <v>3049</v>
      </c>
      <c r="AD275" s="457"/>
      <c r="AE275" s="457"/>
      <c r="AF275" s="457"/>
      <c r="AG275" s="457"/>
      <c r="AH275" s="457"/>
    </row>
    <row r="276" spans="1:34" ht="45" customHeight="1" x14ac:dyDescent="0.25">
      <c r="A276" s="454" t="s">
        <v>2873</v>
      </c>
      <c r="B276" s="454"/>
      <c r="C276" s="454"/>
      <c r="D276" s="454"/>
      <c r="E276" s="454"/>
      <c r="F276" s="454"/>
      <c r="G276" s="454"/>
      <c r="H276" s="454"/>
      <c r="I276" s="454"/>
      <c r="J276" s="454" t="s">
        <v>3050</v>
      </c>
      <c r="K276" s="454"/>
      <c r="L276" s="454"/>
      <c r="M276" s="454"/>
      <c r="N276" s="454"/>
      <c r="O276" s="454"/>
      <c r="P276" s="454" t="s">
        <v>2874</v>
      </c>
      <c r="Q276" s="454"/>
      <c r="R276" s="454"/>
      <c r="S276" s="454"/>
      <c r="T276" s="454"/>
      <c r="U276" s="454"/>
      <c r="V276" s="454"/>
      <c r="W276" s="454"/>
      <c r="X276" s="454"/>
      <c r="Y276" s="454"/>
      <c r="Z276" s="454"/>
      <c r="AA276" s="454"/>
      <c r="AB276" s="454"/>
      <c r="AC276" s="454" t="s">
        <v>3051</v>
      </c>
      <c r="AD276" s="454"/>
      <c r="AE276" s="454"/>
      <c r="AF276" s="454"/>
      <c r="AG276" s="454"/>
      <c r="AH276" s="454"/>
    </row>
    <row r="277" spans="1:34" ht="33" customHeight="1" x14ac:dyDescent="0.25">
      <c r="A277" s="454" t="s">
        <v>2949</v>
      </c>
      <c r="B277" s="454"/>
      <c r="C277" s="454"/>
      <c r="D277" s="454"/>
      <c r="E277" s="454"/>
      <c r="F277" s="454"/>
      <c r="G277" s="454"/>
      <c r="H277" s="454"/>
      <c r="I277" s="454"/>
      <c r="J277" s="459" t="s">
        <v>2950</v>
      </c>
      <c r="K277" s="459"/>
      <c r="L277" s="459"/>
      <c r="M277" s="459"/>
      <c r="N277" s="459"/>
      <c r="O277" s="459"/>
      <c r="P277" s="454"/>
      <c r="Q277" s="454"/>
      <c r="R277" s="454"/>
      <c r="S277" s="454"/>
      <c r="T277" s="454"/>
      <c r="U277" s="454"/>
      <c r="V277" s="454"/>
      <c r="W277" s="454"/>
      <c r="X277" s="454"/>
      <c r="Y277" s="454"/>
      <c r="Z277" s="454"/>
      <c r="AA277" s="454"/>
      <c r="AB277" s="454"/>
      <c r="AC277" s="454"/>
      <c r="AD277" s="454"/>
      <c r="AE277" s="454"/>
      <c r="AF277" s="454"/>
      <c r="AG277" s="454"/>
      <c r="AH277" s="454"/>
    </row>
    <row r="278" spans="1:34" ht="21" customHeight="1" x14ac:dyDescent="0.25">
      <c r="A278" s="467" t="s">
        <v>2824</v>
      </c>
      <c r="B278" s="467"/>
      <c r="C278" s="467"/>
      <c r="D278" s="467"/>
      <c r="E278" s="467"/>
      <c r="F278" s="467"/>
      <c r="G278" s="467"/>
      <c r="H278" s="467"/>
      <c r="I278" s="467"/>
      <c r="J278" s="454"/>
      <c r="K278" s="454"/>
      <c r="L278" s="454"/>
      <c r="M278" s="454"/>
      <c r="N278" s="454"/>
      <c r="O278" s="454"/>
      <c r="P278" s="454"/>
      <c r="Q278" s="454"/>
      <c r="R278" s="454"/>
      <c r="S278" s="454"/>
      <c r="T278" s="454"/>
      <c r="U278" s="454"/>
      <c r="V278" s="454"/>
      <c r="W278" s="454"/>
      <c r="X278" s="454"/>
      <c r="Y278" s="454"/>
      <c r="Z278" s="454"/>
      <c r="AA278" s="454"/>
      <c r="AB278" s="454"/>
      <c r="AC278" s="454"/>
      <c r="AD278" s="454"/>
      <c r="AE278" s="454"/>
      <c r="AF278" s="454"/>
      <c r="AG278" s="454"/>
      <c r="AH278" s="454"/>
    </row>
    <row r="279" spans="1:34" ht="29.1" customHeight="1" x14ac:dyDescent="0.25">
      <c r="A279" s="454" t="s">
        <v>2951</v>
      </c>
      <c r="B279" s="454"/>
      <c r="C279" s="454"/>
      <c r="D279" s="454"/>
      <c r="E279" s="454"/>
      <c r="F279" s="454"/>
      <c r="G279" s="454"/>
      <c r="H279" s="454"/>
      <c r="I279" s="454"/>
      <c r="J279" s="459" t="s">
        <v>2950</v>
      </c>
      <c r="K279" s="459"/>
      <c r="L279" s="459"/>
      <c r="M279" s="459"/>
      <c r="N279" s="459"/>
      <c r="O279" s="459"/>
      <c r="P279" s="454"/>
      <c r="Q279" s="454"/>
      <c r="R279" s="454"/>
      <c r="S279" s="454"/>
      <c r="T279" s="454"/>
      <c r="U279" s="454"/>
      <c r="V279" s="454"/>
      <c r="W279" s="454"/>
      <c r="X279" s="454"/>
      <c r="Y279" s="454"/>
      <c r="Z279" s="454"/>
      <c r="AA279" s="454"/>
      <c r="AB279" s="454"/>
      <c r="AC279" s="454"/>
      <c r="AD279" s="454"/>
      <c r="AE279" s="454"/>
      <c r="AF279" s="454"/>
      <c r="AG279" s="454"/>
      <c r="AH279" s="454"/>
    </row>
    <row r="280" spans="1:34" ht="27" customHeight="1" x14ac:dyDescent="0.25">
      <c r="A280" s="454" t="s">
        <v>2952</v>
      </c>
      <c r="B280" s="454"/>
      <c r="C280" s="454"/>
      <c r="D280" s="454"/>
      <c r="E280" s="454"/>
      <c r="F280" s="454"/>
      <c r="G280" s="454"/>
      <c r="H280" s="454"/>
      <c r="I280" s="454"/>
      <c r="J280" s="454"/>
      <c r="K280" s="454"/>
      <c r="L280" s="454"/>
      <c r="M280" s="454"/>
      <c r="N280" s="454"/>
      <c r="O280" s="454"/>
      <c r="P280" s="459" t="s">
        <v>2809</v>
      </c>
      <c r="Q280" s="459"/>
      <c r="R280" s="459"/>
      <c r="S280" s="459"/>
      <c r="T280" s="459"/>
      <c r="U280" s="459"/>
      <c r="V280" s="459"/>
      <c r="W280" s="459"/>
      <c r="X280" s="459"/>
      <c r="Y280" s="459"/>
      <c r="Z280" s="459"/>
      <c r="AA280" s="459"/>
      <c r="AB280" s="459"/>
      <c r="AC280" s="459" t="s">
        <v>3052</v>
      </c>
      <c r="AD280" s="459"/>
      <c r="AE280" s="459"/>
      <c r="AF280" s="459"/>
      <c r="AG280" s="459"/>
      <c r="AH280" s="459"/>
    </row>
    <row r="281" spans="1:34" ht="12.95" customHeight="1" x14ac:dyDescent="0.25">
      <c r="A281" s="457" t="s">
        <v>2810</v>
      </c>
      <c r="B281" s="457"/>
      <c r="C281" s="457"/>
      <c r="D281" s="457"/>
      <c r="E281" s="457"/>
      <c r="F281" s="457"/>
      <c r="G281" s="457"/>
      <c r="H281" s="457"/>
      <c r="I281" s="457"/>
      <c r="J281" s="454" t="s">
        <v>2880</v>
      </c>
      <c r="K281" s="454"/>
      <c r="L281" s="454"/>
      <c r="M281" s="454"/>
      <c r="N281" s="454"/>
      <c r="O281" s="454"/>
      <c r="P281" s="457" t="s">
        <v>2808</v>
      </c>
      <c r="Q281" s="457"/>
      <c r="R281" s="457"/>
      <c r="S281" s="457"/>
      <c r="T281" s="457"/>
      <c r="U281" s="457"/>
      <c r="V281" s="457"/>
      <c r="W281" s="457"/>
      <c r="X281" s="457"/>
      <c r="Y281" s="457"/>
      <c r="Z281" s="457"/>
      <c r="AA281" s="457"/>
      <c r="AB281" s="457"/>
      <c r="AC281" s="457" t="s">
        <v>2954</v>
      </c>
      <c r="AD281" s="457"/>
      <c r="AE281" s="457"/>
      <c r="AF281" s="457"/>
      <c r="AG281" s="457"/>
      <c r="AH281" s="457"/>
    </row>
    <row r="282" spans="1:34" ht="18" customHeight="1" x14ac:dyDescent="0.25">
      <c r="A282" s="457" t="s">
        <v>2811</v>
      </c>
      <c r="B282" s="457"/>
      <c r="C282" s="457"/>
      <c r="D282" s="457"/>
      <c r="E282" s="457"/>
      <c r="F282" s="457"/>
      <c r="G282" s="457"/>
      <c r="H282" s="457"/>
      <c r="I282" s="457"/>
      <c r="J282" s="457" t="s">
        <v>2823</v>
      </c>
      <c r="K282" s="457"/>
      <c r="L282" s="457"/>
      <c r="M282" s="457"/>
      <c r="N282" s="457"/>
      <c r="O282" s="457"/>
      <c r="P282" s="454"/>
      <c r="Q282" s="454"/>
      <c r="R282" s="454"/>
      <c r="S282" s="454"/>
      <c r="T282" s="454"/>
      <c r="U282" s="454"/>
      <c r="V282" s="454"/>
      <c r="W282" s="454"/>
      <c r="X282" s="454"/>
      <c r="Y282" s="454"/>
      <c r="Z282" s="454"/>
      <c r="AA282" s="454"/>
      <c r="AB282" s="454"/>
      <c r="AC282" s="454"/>
      <c r="AD282" s="454"/>
      <c r="AE282" s="454"/>
      <c r="AF282" s="454"/>
      <c r="AG282" s="454"/>
      <c r="AH282" s="454"/>
    </row>
    <row r="283" spans="1:34" ht="24.95" customHeight="1" x14ac:dyDescent="0.25">
      <c r="A283" s="454" t="s">
        <v>2955</v>
      </c>
      <c r="B283" s="454"/>
      <c r="C283" s="454"/>
      <c r="D283" s="454"/>
      <c r="E283" s="454"/>
      <c r="F283" s="454"/>
      <c r="G283" s="454"/>
      <c r="H283" s="454"/>
      <c r="I283" s="454"/>
      <c r="J283" s="459" t="s">
        <v>2956</v>
      </c>
      <c r="K283" s="459"/>
      <c r="L283" s="459"/>
      <c r="M283" s="459"/>
      <c r="N283" s="459"/>
      <c r="O283" s="459"/>
      <c r="P283" s="459" t="s">
        <v>2818</v>
      </c>
      <c r="Q283" s="459"/>
      <c r="R283" s="459"/>
      <c r="S283" s="459"/>
      <c r="T283" s="459"/>
      <c r="U283" s="459"/>
      <c r="V283" s="459"/>
      <c r="W283" s="459"/>
      <c r="X283" s="459"/>
      <c r="Y283" s="459"/>
      <c r="Z283" s="459"/>
      <c r="AA283" s="459"/>
      <c r="AB283" s="459"/>
      <c r="AC283" s="459" t="s">
        <v>2819</v>
      </c>
      <c r="AD283" s="459"/>
      <c r="AE283" s="459"/>
      <c r="AF283" s="459"/>
      <c r="AG283" s="459"/>
      <c r="AH283" s="459"/>
    </row>
    <row r="284" spans="1:34" ht="9" customHeight="1" x14ac:dyDescent="0.25">
      <c r="A284" s="457" t="s">
        <v>2820</v>
      </c>
      <c r="B284" s="457"/>
      <c r="C284" s="457"/>
      <c r="D284" s="457"/>
      <c r="E284" s="457"/>
      <c r="F284" s="457"/>
      <c r="G284" s="457"/>
      <c r="H284" s="457"/>
      <c r="I284" s="457"/>
      <c r="J284" s="457" t="s">
        <v>3014</v>
      </c>
      <c r="K284" s="457"/>
      <c r="L284" s="457"/>
      <c r="M284" s="457"/>
      <c r="N284" s="457"/>
      <c r="O284" s="457"/>
      <c r="P284" s="457" t="s">
        <v>2821</v>
      </c>
      <c r="Q284" s="457"/>
      <c r="R284" s="457"/>
      <c r="S284" s="457"/>
      <c r="T284" s="457"/>
      <c r="U284" s="457"/>
      <c r="V284" s="457"/>
      <c r="W284" s="457"/>
      <c r="X284" s="457"/>
      <c r="Y284" s="457"/>
      <c r="Z284" s="457"/>
      <c r="AA284" s="457"/>
      <c r="AB284" s="457"/>
      <c r="AC284" s="457" t="s">
        <v>2958</v>
      </c>
      <c r="AD284" s="457"/>
      <c r="AE284" s="457"/>
      <c r="AF284" s="457"/>
      <c r="AG284" s="457"/>
      <c r="AH284" s="457"/>
    </row>
    <row r="285" spans="1:34" ht="9" customHeight="1" x14ac:dyDescent="0.25">
      <c r="A285" s="457" t="s">
        <v>2881</v>
      </c>
      <c r="B285" s="457"/>
      <c r="C285" s="457"/>
      <c r="D285" s="457"/>
      <c r="E285" s="457"/>
      <c r="F285" s="457"/>
      <c r="G285" s="457"/>
      <c r="H285" s="457"/>
      <c r="I285" s="457"/>
      <c r="J285" s="454" t="s">
        <v>3053</v>
      </c>
      <c r="K285" s="454"/>
      <c r="L285" s="454"/>
      <c r="M285" s="454"/>
      <c r="N285" s="454"/>
      <c r="O285" s="454"/>
      <c r="P285" s="457" t="s">
        <v>2882</v>
      </c>
      <c r="Q285" s="457"/>
      <c r="R285" s="457"/>
      <c r="S285" s="457"/>
      <c r="T285" s="457"/>
      <c r="U285" s="457"/>
      <c r="V285" s="457"/>
      <c r="W285" s="457"/>
      <c r="X285" s="457"/>
      <c r="Y285" s="457"/>
      <c r="Z285" s="457"/>
      <c r="AA285" s="457"/>
      <c r="AB285" s="457"/>
      <c r="AC285" s="457" t="s">
        <v>3016</v>
      </c>
      <c r="AD285" s="457"/>
      <c r="AE285" s="457"/>
      <c r="AF285" s="457"/>
      <c r="AG285" s="457"/>
      <c r="AH285" s="457"/>
    </row>
    <row r="286" spans="1:34" ht="27.95" customHeight="1" x14ac:dyDescent="0.25">
      <c r="A286" s="457" t="s">
        <v>2883</v>
      </c>
      <c r="B286" s="457"/>
      <c r="C286" s="457"/>
      <c r="D286" s="457"/>
      <c r="E286" s="457"/>
      <c r="F286" s="457"/>
      <c r="G286" s="457"/>
      <c r="H286" s="457"/>
      <c r="I286" s="457"/>
      <c r="J286" s="454" t="s">
        <v>3054</v>
      </c>
      <c r="K286" s="454"/>
      <c r="L286" s="454"/>
      <c r="M286" s="454"/>
      <c r="N286" s="454"/>
      <c r="O286" s="454"/>
      <c r="P286" s="457" t="s">
        <v>2884</v>
      </c>
      <c r="Q286" s="457"/>
      <c r="R286" s="457"/>
      <c r="S286" s="457"/>
      <c r="T286" s="457"/>
      <c r="U286" s="457"/>
      <c r="V286" s="457"/>
      <c r="W286" s="457"/>
      <c r="X286" s="457"/>
      <c r="Y286" s="457"/>
      <c r="Z286" s="457"/>
      <c r="AA286" s="457"/>
      <c r="AB286" s="457"/>
      <c r="AC286" s="454" t="s">
        <v>3055</v>
      </c>
      <c r="AD286" s="454"/>
      <c r="AE286" s="454"/>
      <c r="AF286" s="454"/>
      <c r="AG286" s="454"/>
      <c r="AH286" s="454"/>
    </row>
    <row r="287" spans="1:34" ht="18" customHeight="1" x14ac:dyDescent="0.25">
      <c r="A287" s="457" t="s">
        <v>2871</v>
      </c>
      <c r="B287" s="457"/>
      <c r="C287" s="457"/>
      <c r="D287" s="457"/>
      <c r="E287" s="457"/>
      <c r="F287" s="457"/>
      <c r="G287" s="457"/>
      <c r="H287" s="457"/>
      <c r="I287" s="457"/>
      <c r="J287" s="454" t="s">
        <v>3056</v>
      </c>
      <c r="K287" s="454"/>
      <c r="L287" s="454"/>
      <c r="M287" s="454"/>
      <c r="N287" s="454"/>
      <c r="O287" s="454"/>
      <c r="P287" s="457" t="s">
        <v>2872</v>
      </c>
      <c r="Q287" s="457"/>
      <c r="R287" s="457"/>
      <c r="S287" s="457"/>
      <c r="T287" s="457"/>
      <c r="U287" s="457"/>
      <c r="V287" s="457"/>
      <c r="W287" s="457"/>
      <c r="X287" s="457"/>
      <c r="Y287" s="457"/>
      <c r="Z287" s="457"/>
      <c r="AA287" s="457"/>
      <c r="AB287" s="457"/>
      <c r="AC287" s="457" t="s">
        <v>3057</v>
      </c>
      <c r="AD287" s="457"/>
      <c r="AE287" s="457"/>
      <c r="AF287" s="457"/>
      <c r="AG287" s="457"/>
      <c r="AH287" s="457"/>
    </row>
    <row r="288" spans="1:34" ht="27.95" customHeight="1" x14ac:dyDescent="0.25">
      <c r="A288" s="454" t="s">
        <v>2885</v>
      </c>
      <c r="B288" s="454"/>
      <c r="C288" s="454"/>
      <c r="D288" s="454"/>
      <c r="E288" s="454"/>
      <c r="F288" s="454"/>
      <c r="G288" s="454"/>
      <c r="H288" s="454"/>
      <c r="I288" s="454"/>
      <c r="J288" s="454" t="s">
        <v>3058</v>
      </c>
      <c r="K288" s="454"/>
      <c r="L288" s="454"/>
      <c r="M288" s="454"/>
      <c r="N288" s="454"/>
      <c r="O288" s="454"/>
      <c r="P288" s="454" t="s">
        <v>2874</v>
      </c>
      <c r="Q288" s="454"/>
      <c r="R288" s="454"/>
      <c r="S288" s="454"/>
      <c r="T288" s="454"/>
      <c r="U288" s="454"/>
      <c r="V288" s="454"/>
      <c r="W288" s="454"/>
      <c r="X288" s="454"/>
      <c r="Y288" s="454"/>
      <c r="Z288" s="454"/>
      <c r="AA288" s="454"/>
      <c r="AB288" s="454"/>
      <c r="AC288" s="454" t="s">
        <v>3059</v>
      </c>
      <c r="AD288" s="454"/>
      <c r="AE288" s="454"/>
      <c r="AF288" s="454"/>
      <c r="AG288" s="454"/>
      <c r="AH288" s="454"/>
    </row>
    <row r="289" spans="1:34" ht="15.95" customHeight="1" x14ac:dyDescent="0.25">
      <c r="A289" s="457" t="s">
        <v>2811</v>
      </c>
      <c r="B289" s="457"/>
      <c r="C289" s="457"/>
      <c r="D289" s="457"/>
      <c r="E289" s="457"/>
      <c r="F289" s="457"/>
      <c r="G289" s="457"/>
      <c r="H289" s="457"/>
      <c r="I289" s="457"/>
      <c r="J289" s="457" t="s">
        <v>2823</v>
      </c>
      <c r="K289" s="457"/>
      <c r="L289" s="457"/>
      <c r="M289" s="457"/>
      <c r="N289" s="457"/>
      <c r="O289" s="457"/>
      <c r="P289" s="454"/>
      <c r="Q289" s="454"/>
      <c r="R289" s="454"/>
      <c r="S289" s="454"/>
      <c r="T289" s="454"/>
      <c r="U289" s="454"/>
      <c r="V289" s="454"/>
      <c r="W289" s="454"/>
      <c r="X289" s="454"/>
      <c r="Y289" s="454"/>
      <c r="Z289" s="454"/>
      <c r="AA289" s="454"/>
      <c r="AB289" s="454"/>
      <c r="AC289" s="454"/>
      <c r="AD289" s="454"/>
      <c r="AE289" s="454"/>
      <c r="AF289" s="454"/>
      <c r="AG289" s="454"/>
      <c r="AH289" s="454"/>
    </row>
    <row r="290" spans="1:34" ht="24.95" customHeight="1" x14ac:dyDescent="0.25">
      <c r="A290" s="454" t="s">
        <v>2967</v>
      </c>
      <c r="B290" s="454"/>
      <c r="C290" s="454"/>
      <c r="D290" s="454"/>
      <c r="E290" s="454"/>
      <c r="F290" s="454"/>
      <c r="G290" s="454"/>
      <c r="H290" s="454"/>
      <c r="I290" s="454"/>
      <c r="J290" s="466" t="s">
        <v>2968</v>
      </c>
      <c r="K290" s="466"/>
      <c r="L290" s="466"/>
      <c r="M290" s="466"/>
      <c r="N290" s="466"/>
      <c r="O290" s="466"/>
      <c r="P290" s="459" t="s">
        <v>2846</v>
      </c>
      <c r="Q290" s="459"/>
      <c r="R290" s="459"/>
      <c r="S290" s="459"/>
      <c r="T290" s="459"/>
      <c r="U290" s="459"/>
      <c r="V290" s="459"/>
      <c r="W290" s="459"/>
      <c r="X290" s="459"/>
      <c r="Y290" s="459"/>
      <c r="Z290" s="459"/>
      <c r="AA290" s="459"/>
      <c r="AB290" s="459"/>
      <c r="AC290" s="466" t="s">
        <v>3060</v>
      </c>
      <c r="AD290" s="466"/>
      <c r="AE290" s="466"/>
      <c r="AF290" s="466"/>
      <c r="AG290" s="466"/>
      <c r="AH290" s="466"/>
    </row>
    <row r="291" spans="1:34" ht="18" customHeight="1" x14ac:dyDescent="0.25">
      <c r="A291" s="457" t="s">
        <v>2886</v>
      </c>
      <c r="B291" s="457"/>
      <c r="C291" s="457"/>
      <c r="D291" s="457"/>
      <c r="E291" s="457"/>
      <c r="F291" s="457"/>
      <c r="G291" s="457"/>
      <c r="H291" s="457"/>
      <c r="I291" s="457"/>
      <c r="J291" s="454" t="s">
        <v>2970</v>
      </c>
      <c r="K291" s="454"/>
      <c r="L291" s="454"/>
      <c r="M291" s="454"/>
      <c r="N291" s="454"/>
      <c r="O291" s="454"/>
      <c r="P291" s="457" t="s">
        <v>2887</v>
      </c>
      <c r="Q291" s="457"/>
      <c r="R291" s="457"/>
      <c r="S291" s="457"/>
      <c r="T291" s="457"/>
      <c r="U291" s="457"/>
      <c r="V291" s="457"/>
      <c r="W291" s="457"/>
      <c r="X291" s="457"/>
      <c r="Y291" s="457"/>
      <c r="Z291" s="457"/>
      <c r="AA291" s="457"/>
      <c r="AB291" s="457"/>
      <c r="AC291" s="454" t="s">
        <v>3061</v>
      </c>
      <c r="AD291" s="454"/>
      <c r="AE291" s="454"/>
      <c r="AF291" s="454"/>
      <c r="AG291" s="454"/>
      <c r="AH291" s="454"/>
    </row>
    <row r="292" spans="1:34" ht="6.95" customHeight="1" x14ac:dyDescent="0.25">
      <c r="A292" s="457" t="s">
        <v>2875</v>
      </c>
      <c r="B292" s="457"/>
      <c r="C292" s="457"/>
      <c r="D292" s="457"/>
      <c r="E292" s="457"/>
      <c r="F292" s="457"/>
      <c r="G292" s="457"/>
      <c r="H292" s="457"/>
      <c r="I292" s="457"/>
      <c r="J292" s="457" t="s">
        <v>3062</v>
      </c>
      <c r="K292" s="457"/>
      <c r="L292" s="457"/>
      <c r="M292" s="457"/>
      <c r="N292" s="457"/>
      <c r="O292" s="457"/>
      <c r="P292" s="457" t="s">
        <v>2809</v>
      </c>
      <c r="Q292" s="457"/>
      <c r="R292" s="457"/>
      <c r="S292" s="457"/>
      <c r="T292" s="457"/>
      <c r="U292" s="457"/>
      <c r="V292" s="457"/>
      <c r="W292" s="457"/>
      <c r="X292" s="457"/>
      <c r="Y292" s="457"/>
      <c r="Z292" s="457"/>
      <c r="AA292" s="457"/>
      <c r="AB292" s="457"/>
      <c r="AC292" s="457" t="s">
        <v>3063</v>
      </c>
      <c r="AD292" s="457"/>
      <c r="AE292" s="457"/>
      <c r="AF292" s="457"/>
      <c r="AG292" s="457"/>
      <c r="AH292" s="457"/>
    </row>
    <row r="293" spans="1:34" ht="18.95" customHeight="1" x14ac:dyDescent="0.25">
      <c r="A293" s="437" t="s">
        <v>3064</v>
      </c>
    </row>
    <row r="294" spans="1:34" ht="12.95" customHeight="1" x14ac:dyDescent="0.25">
      <c r="A294" s="437" t="s">
        <v>3033</v>
      </c>
    </row>
    <row r="295" spans="1:34" ht="12.95" customHeight="1" x14ac:dyDescent="0.25">
      <c r="A295" s="437" t="s">
        <v>2888</v>
      </c>
    </row>
    <row r="296" spans="1:34" ht="12.95" customHeight="1" x14ac:dyDescent="0.25">
      <c r="A296" s="436" t="s">
        <v>2812</v>
      </c>
    </row>
    <row r="297" spans="1:34" ht="12.95" customHeight="1" x14ac:dyDescent="0.25">
      <c r="A297" s="436" t="s">
        <v>2975</v>
      </c>
    </row>
    <row r="298" spans="1:34" ht="12.95" customHeight="1" x14ac:dyDescent="0.25">
      <c r="A298" s="437" t="s">
        <v>2976</v>
      </c>
    </row>
    <row r="299" spans="1:34" ht="12.95" customHeight="1" x14ac:dyDescent="0.25">
      <c r="A299" s="436" t="s">
        <v>2977</v>
      </c>
    </row>
    <row r="300" spans="1:34" ht="12.95" customHeight="1" x14ac:dyDescent="0.25">
      <c r="A300" s="437" t="s">
        <v>3065</v>
      </c>
    </row>
    <row r="301" spans="1:34" ht="12.95" customHeight="1" x14ac:dyDescent="0.25">
      <c r="A301" s="436" t="s">
        <v>2979</v>
      </c>
    </row>
    <row r="302" spans="1:34" ht="12.95" customHeight="1" x14ac:dyDescent="0.25">
      <c r="A302" s="437" t="s">
        <v>2980</v>
      </c>
    </row>
    <row r="303" spans="1:34" ht="12.95" customHeight="1" x14ac:dyDescent="0.25">
      <c r="A303" s="436" t="s">
        <v>2674</v>
      </c>
    </row>
    <row r="304" spans="1:34" ht="12.95" customHeight="1" x14ac:dyDescent="0.25">
      <c r="A304" s="436" t="s">
        <v>2683</v>
      </c>
    </row>
    <row r="305" spans="1:37" ht="12.95" customHeight="1" x14ac:dyDescent="0.25">
      <c r="A305" s="455"/>
      <c r="B305" s="456"/>
      <c r="C305" s="448" t="s">
        <v>2675</v>
      </c>
      <c r="D305" s="453"/>
      <c r="E305" s="453"/>
      <c r="F305" s="449"/>
      <c r="G305" s="448" t="s">
        <v>2676</v>
      </c>
      <c r="H305" s="453"/>
      <c r="I305" s="453"/>
      <c r="J305" s="449"/>
      <c r="K305" s="448" t="s">
        <v>2677</v>
      </c>
      <c r="L305" s="449"/>
      <c r="M305" s="448" t="s">
        <v>2678</v>
      </c>
      <c r="N305" s="453"/>
      <c r="O305" s="453"/>
      <c r="P305" s="453"/>
      <c r="Q305" s="453"/>
      <c r="R305" s="449"/>
      <c r="S305" s="448" t="s">
        <v>2679</v>
      </c>
      <c r="T305" s="449"/>
      <c r="U305" s="439" t="s">
        <v>2680</v>
      </c>
      <c r="V305" s="448" t="s">
        <v>2681</v>
      </c>
      <c r="W305" s="453"/>
      <c r="X305" s="449"/>
      <c r="Y305" s="448" t="s">
        <v>2682</v>
      </c>
      <c r="Z305" s="453"/>
      <c r="AA305" s="453"/>
      <c r="AB305" s="453"/>
      <c r="AC305" s="449"/>
      <c r="AD305" s="448" t="s">
        <v>2684</v>
      </c>
      <c r="AE305" s="453"/>
      <c r="AF305" s="449"/>
    </row>
    <row r="306" spans="1:37" ht="12.95" customHeight="1" x14ac:dyDescent="0.25">
      <c r="A306" s="448" t="s">
        <v>2685</v>
      </c>
      <c r="B306" s="449"/>
      <c r="C306" s="450">
        <v>4480</v>
      </c>
      <c r="D306" s="451"/>
      <c r="E306" s="451"/>
      <c r="F306" s="452"/>
      <c r="G306" s="450">
        <v>5177</v>
      </c>
      <c r="H306" s="451"/>
      <c r="I306" s="451"/>
      <c r="J306" s="452"/>
      <c r="K306" s="450">
        <v>6515</v>
      </c>
      <c r="L306" s="452"/>
      <c r="M306" s="450">
        <v>7246</v>
      </c>
      <c r="N306" s="451"/>
      <c r="O306" s="451"/>
      <c r="P306" s="451"/>
      <c r="Q306" s="451"/>
      <c r="R306" s="452"/>
      <c r="S306" s="450">
        <v>7244</v>
      </c>
      <c r="T306" s="452"/>
      <c r="U306" s="443">
        <v>7365</v>
      </c>
      <c r="V306" s="450">
        <v>7173</v>
      </c>
      <c r="W306" s="451"/>
      <c r="X306" s="452"/>
      <c r="Y306" s="450">
        <v>6623</v>
      </c>
      <c r="Z306" s="451"/>
      <c r="AA306" s="451"/>
      <c r="AB306" s="451"/>
      <c r="AC306" s="452"/>
      <c r="AD306" s="445">
        <v>79</v>
      </c>
      <c r="AE306" s="446"/>
      <c r="AF306" s="447"/>
    </row>
    <row r="307" spans="1:37" ht="12.95" customHeight="1" x14ac:dyDescent="0.25">
      <c r="A307" s="448" t="s">
        <v>2686</v>
      </c>
      <c r="B307" s="449"/>
      <c r="C307" s="450">
        <v>4959</v>
      </c>
      <c r="D307" s="451"/>
      <c r="E307" s="451"/>
      <c r="F307" s="452"/>
      <c r="G307" s="450">
        <v>5863</v>
      </c>
      <c r="H307" s="451"/>
      <c r="I307" s="451"/>
      <c r="J307" s="452"/>
      <c r="K307" s="450">
        <v>7006</v>
      </c>
      <c r="L307" s="452"/>
      <c r="M307" s="450">
        <v>7740</v>
      </c>
      <c r="N307" s="451"/>
      <c r="O307" s="451"/>
      <c r="P307" s="451"/>
      <c r="Q307" s="451"/>
      <c r="R307" s="452"/>
      <c r="S307" s="450">
        <v>8342</v>
      </c>
      <c r="T307" s="452"/>
      <c r="U307" s="443">
        <v>8196</v>
      </c>
      <c r="V307" s="450">
        <v>7750</v>
      </c>
      <c r="W307" s="451"/>
      <c r="X307" s="452"/>
      <c r="Y307" s="450">
        <v>7097</v>
      </c>
      <c r="Z307" s="451"/>
      <c r="AA307" s="451"/>
      <c r="AB307" s="451"/>
      <c r="AC307" s="452"/>
      <c r="AD307" s="445">
        <v>87</v>
      </c>
      <c r="AE307" s="446"/>
      <c r="AF307" s="447"/>
    </row>
    <row r="308" spans="1:37" ht="12.95" customHeight="1" x14ac:dyDescent="0.25">
      <c r="A308" s="448" t="s">
        <v>2687</v>
      </c>
      <c r="B308" s="449"/>
      <c r="C308" s="450">
        <v>118</v>
      </c>
      <c r="D308" s="451"/>
      <c r="E308" s="451"/>
      <c r="F308" s="452"/>
      <c r="G308" s="450">
        <v>2677</v>
      </c>
      <c r="H308" s="451"/>
      <c r="I308" s="451"/>
      <c r="J308" s="452"/>
      <c r="K308" s="450">
        <v>4115</v>
      </c>
      <c r="L308" s="452"/>
      <c r="M308" s="450">
        <v>4746</v>
      </c>
      <c r="N308" s="451"/>
      <c r="O308" s="451"/>
      <c r="P308" s="451"/>
      <c r="Q308" s="451"/>
      <c r="R308" s="452"/>
      <c r="S308" s="450">
        <v>5044</v>
      </c>
      <c r="T308" s="452"/>
      <c r="U308" s="443">
        <v>5065</v>
      </c>
      <c r="V308" s="450">
        <v>4573</v>
      </c>
      <c r="W308" s="451"/>
      <c r="X308" s="452"/>
      <c r="Y308" s="450">
        <v>3623</v>
      </c>
      <c r="Z308" s="451"/>
      <c r="AA308" s="451"/>
      <c r="AB308" s="451"/>
      <c r="AC308" s="452"/>
      <c r="AD308" s="445">
        <v>55</v>
      </c>
      <c r="AE308" s="446"/>
      <c r="AF308" s="447"/>
    </row>
    <row r="309" spans="1:37" ht="12.95" customHeight="1" x14ac:dyDescent="0.25">
      <c r="A309" s="436" t="s">
        <v>2822</v>
      </c>
    </row>
    <row r="310" spans="1:37" ht="12.95" customHeight="1" x14ac:dyDescent="0.25">
      <c r="A310" s="455"/>
      <c r="B310" s="456"/>
      <c r="C310" s="448" t="s">
        <v>2675</v>
      </c>
      <c r="D310" s="453"/>
      <c r="E310" s="453"/>
      <c r="F310" s="449"/>
      <c r="G310" s="448" t="s">
        <v>2676</v>
      </c>
      <c r="H310" s="453"/>
      <c r="I310" s="453"/>
      <c r="J310" s="449"/>
      <c r="K310" s="448" t="s">
        <v>2677</v>
      </c>
      <c r="L310" s="449"/>
      <c r="M310" s="448" t="s">
        <v>2678</v>
      </c>
      <c r="N310" s="453"/>
      <c r="O310" s="453"/>
      <c r="P310" s="453"/>
      <c r="Q310" s="453"/>
      <c r="R310" s="449"/>
      <c r="S310" s="448" t="s">
        <v>2679</v>
      </c>
      <c r="T310" s="449"/>
      <c r="U310" s="439" t="s">
        <v>2680</v>
      </c>
      <c r="V310" s="448" t="s">
        <v>2681</v>
      </c>
      <c r="W310" s="453"/>
      <c r="X310" s="449"/>
      <c r="Y310" s="448" t="s">
        <v>2682</v>
      </c>
      <c r="Z310" s="453"/>
      <c r="AA310" s="453"/>
      <c r="AB310" s="453"/>
      <c r="AC310" s="449"/>
      <c r="AD310" s="448" t="s">
        <v>2684</v>
      </c>
      <c r="AE310" s="453"/>
      <c r="AF310" s="449"/>
    </row>
    <row r="311" spans="1:37" ht="12.95" customHeight="1" x14ac:dyDescent="0.25">
      <c r="A311" s="448" t="s">
        <v>2685</v>
      </c>
      <c r="B311" s="449"/>
      <c r="C311" s="450">
        <v>4266</v>
      </c>
      <c r="D311" s="451"/>
      <c r="E311" s="451"/>
      <c r="F311" s="452"/>
      <c r="G311" s="450">
        <v>4975</v>
      </c>
      <c r="H311" s="451"/>
      <c r="I311" s="451"/>
      <c r="J311" s="452"/>
      <c r="K311" s="450">
        <v>6211</v>
      </c>
      <c r="L311" s="452"/>
      <c r="M311" s="450">
        <v>7159</v>
      </c>
      <c r="N311" s="451"/>
      <c r="O311" s="451"/>
      <c r="P311" s="451"/>
      <c r="Q311" s="451"/>
      <c r="R311" s="452"/>
      <c r="S311" s="450">
        <v>7171</v>
      </c>
      <c r="T311" s="452"/>
      <c r="U311" s="443">
        <v>7238</v>
      </c>
      <c r="V311" s="450">
        <v>7088</v>
      </c>
      <c r="W311" s="451"/>
      <c r="X311" s="452"/>
      <c r="Y311" s="450">
        <v>6579</v>
      </c>
      <c r="Z311" s="451"/>
      <c r="AA311" s="451"/>
      <c r="AB311" s="451"/>
      <c r="AC311" s="452"/>
      <c r="AD311" s="445">
        <v>78</v>
      </c>
      <c r="AE311" s="446"/>
      <c r="AF311" s="447"/>
    </row>
    <row r="312" spans="1:37" ht="12.95" customHeight="1" x14ac:dyDescent="0.25">
      <c r="A312" s="448" t="s">
        <v>2686</v>
      </c>
      <c r="B312" s="449"/>
      <c r="C312" s="450">
        <v>4438</v>
      </c>
      <c r="D312" s="451"/>
      <c r="E312" s="451"/>
      <c r="F312" s="452"/>
      <c r="G312" s="450">
        <v>5384</v>
      </c>
      <c r="H312" s="451"/>
      <c r="I312" s="451"/>
      <c r="J312" s="452"/>
      <c r="K312" s="450">
        <v>6609</v>
      </c>
      <c r="L312" s="452"/>
      <c r="M312" s="450">
        <v>7617</v>
      </c>
      <c r="N312" s="451"/>
      <c r="O312" s="451"/>
      <c r="P312" s="451"/>
      <c r="Q312" s="451"/>
      <c r="R312" s="452"/>
      <c r="S312" s="450">
        <v>8268</v>
      </c>
      <c r="T312" s="452"/>
      <c r="U312" s="443">
        <v>8156</v>
      </c>
      <c r="V312" s="450">
        <v>7670</v>
      </c>
      <c r="W312" s="451"/>
      <c r="X312" s="452"/>
      <c r="Y312" s="450">
        <v>7072</v>
      </c>
      <c r="Z312" s="451"/>
      <c r="AA312" s="451"/>
      <c r="AB312" s="451"/>
      <c r="AC312" s="452"/>
      <c r="AD312" s="445">
        <v>87</v>
      </c>
      <c r="AE312" s="446"/>
      <c r="AF312" s="447"/>
    </row>
    <row r="313" spans="1:37" ht="12.95" customHeight="1" x14ac:dyDescent="0.25">
      <c r="A313" s="448" t="s">
        <v>2687</v>
      </c>
      <c r="B313" s="449"/>
      <c r="C313" s="450">
        <v>966</v>
      </c>
      <c r="D313" s="451"/>
      <c r="E313" s="451"/>
      <c r="F313" s="452"/>
      <c r="G313" s="450">
        <v>2475</v>
      </c>
      <c r="H313" s="451"/>
      <c r="I313" s="451"/>
      <c r="J313" s="452"/>
      <c r="K313" s="450">
        <v>3811</v>
      </c>
      <c r="L313" s="452"/>
      <c r="M313" s="450">
        <v>4659</v>
      </c>
      <c r="N313" s="451"/>
      <c r="O313" s="451"/>
      <c r="P313" s="451"/>
      <c r="Q313" s="451"/>
      <c r="R313" s="452"/>
      <c r="S313" s="450">
        <v>4971</v>
      </c>
      <c r="T313" s="452"/>
      <c r="U313" s="443">
        <v>4938</v>
      </c>
      <c r="V313" s="450">
        <v>4488</v>
      </c>
      <c r="W313" s="451"/>
      <c r="X313" s="452"/>
      <c r="Y313" s="450">
        <v>3579</v>
      </c>
      <c r="Z313" s="451"/>
      <c r="AA313" s="451"/>
      <c r="AB313" s="451"/>
      <c r="AC313" s="452"/>
      <c r="AD313" s="445">
        <v>54</v>
      </c>
      <c r="AE313" s="446"/>
      <c r="AF313" s="447"/>
    </row>
    <row r="314" spans="1:37" ht="17.100000000000001" customHeight="1" x14ac:dyDescent="0.25">
      <c r="A314" s="464" t="s">
        <v>2847</v>
      </c>
      <c r="B314" s="464"/>
      <c r="C314" s="464"/>
      <c r="D314" s="465" t="s">
        <v>2889</v>
      </c>
      <c r="E314" s="465"/>
      <c r="F314" s="465"/>
      <c r="G314" s="465"/>
      <c r="H314" s="465"/>
      <c r="I314" s="465"/>
      <c r="J314" s="465"/>
      <c r="K314" s="465"/>
      <c r="L314" s="465"/>
      <c r="M314" s="465"/>
      <c r="N314" s="465"/>
      <c r="O314" s="464" t="s">
        <v>2848</v>
      </c>
      <c r="P314" s="464"/>
      <c r="Q314" s="464"/>
      <c r="R314" s="464"/>
      <c r="S314" s="464"/>
      <c r="T314" s="464"/>
      <c r="U314" s="464"/>
      <c r="V314" s="465" t="s">
        <v>3066</v>
      </c>
      <c r="W314" s="465"/>
      <c r="X314" s="465"/>
      <c r="Y314" s="465"/>
      <c r="Z314" s="465"/>
      <c r="AA314" s="465"/>
      <c r="AB314" s="465"/>
      <c r="AC314" s="465"/>
      <c r="AD314" s="465"/>
      <c r="AE314" s="465"/>
      <c r="AF314" s="465"/>
      <c r="AG314" s="465"/>
      <c r="AH314" s="465"/>
      <c r="AI314" s="465"/>
      <c r="AJ314" s="465"/>
      <c r="AK314" s="465"/>
    </row>
    <row r="315" spans="1:37" ht="27" customHeight="1" x14ac:dyDescent="0.25">
      <c r="A315" s="454" t="s">
        <v>2891</v>
      </c>
      <c r="B315" s="454"/>
      <c r="C315" s="454"/>
      <c r="D315" s="462" t="s">
        <v>2892</v>
      </c>
      <c r="E315" s="462"/>
      <c r="F315" s="462"/>
      <c r="G315" s="462"/>
      <c r="H315" s="462"/>
      <c r="I315" s="462"/>
      <c r="J315" s="462"/>
      <c r="K315" s="462"/>
      <c r="L315" s="462"/>
      <c r="M315" s="462"/>
      <c r="N315" s="462"/>
      <c r="O315" s="454" t="s">
        <v>2893</v>
      </c>
      <c r="P315" s="454"/>
      <c r="Q315" s="454"/>
      <c r="R315" s="454"/>
      <c r="S315" s="454"/>
      <c r="T315" s="454"/>
      <c r="U315" s="454"/>
      <c r="V315" s="462" t="s">
        <v>2894</v>
      </c>
      <c r="W315" s="462"/>
      <c r="X315" s="462"/>
      <c r="Y315" s="462"/>
      <c r="Z315" s="462"/>
      <c r="AA315" s="462"/>
      <c r="AB315" s="462"/>
      <c r="AC315" s="462"/>
      <c r="AD315" s="462"/>
      <c r="AE315" s="462"/>
      <c r="AF315" s="462"/>
      <c r="AG315" s="462"/>
      <c r="AH315" s="462"/>
      <c r="AI315" s="462"/>
      <c r="AJ315" s="462"/>
      <c r="AK315" s="462"/>
    </row>
    <row r="316" spans="1:37" ht="15" customHeight="1" x14ac:dyDescent="0.25">
      <c r="A316" s="432" t="s">
        <v>3067</v>
      </c>
    </row>
    <row r="317" spans="1:37" ht="12" customHeight="1" x14ac:dyDescent="0.25">
      <c r="A317" s="434" t="s">
        <v>2849</v>
      </c>
    </row>
    <row r="318" spans="1:37" ht="12" customHeight="1" x14ac:dyDescent="0.25">
      <c r="A318" s="434" t="s">
        <v>2850</v>
      </c>
    </row>
    <row r="319" spans="1:37" ht="14.1" customHeight="1" x14ac:dyDescent="0.25">
      <c r="A319" s="435" t="s">
        <v>2896</v>
      </c>
    </row>
    <row r="320" spans="1:37" ht="15" customHeight="1" x14ac:dyDescent="0.25">
      <c r="A320" s="460" t="s">
        <v>2858</v>
      </c>
      <c r="B320" s="460"/>
      <c r="C320" s="460"/>
      <c r="D320" s="460"/>
      <c r="E320" s="470">
        <v>707</v>
      </c>
      <c r="F320" s="470"/>
      <c r="G320" s="470"/>
      <c r="H320" s="470"/>
      <c r="I320" s="470"/>
      <c r="J320" s="470"/>
      <c r="K320" s="470"/>
      <c r="L320" s="460" t="s">
        <v>2859</v>
      </c>
      <c r="M320" s="460"/>
      <c r="N320" s="460"/>
      <c r="O320" s="460"/>
      <c r="P320" s="460"/>
      <c r="Q320" s="460"/>
      <c r="R320" s="460"/>
      <c r="S320" s="460"/>
      <c r="T320" s="460"/>
      <c r="U320" s="460"/>
      <c r="V320" s="460"/>
      <c r="W320" s="460"/>
      <c r="X320" s="462" t="s">
        <v>2860</v>
      </c>
      <c r="Y320" s="462"/>
      <c r="Z320" s="462"/>
      <c r="AA320" s="462"/>
      <c r="AB320" s="462"/>
      <c r="AC320" s="462"/>
      <c r="AD320" s="462"/>
    </row>
    <row r="321" spans="1:30" ht="9.9499999999999993" customHeight="1" x14ac:dyDescent="0.25">
      <c r="A321" s="460" t="s">
        <v>2851</v>
      </c>
      <c r="B321" s="460"/>
      <c r="C321" s="460"/>
      <c r="D321" s="460"/>
      <c r="E321" s="463">
        <v>45</v>
      </c>
      <c r="F321" s="463"/>
      <c r="G321" s="463"/>
      <c r="H321" s="463"/>
      <c r="I321" s="463"/>
      <c r="J321" s="463"/>
      <c r="K321" s="463"/>
      <c r="L321" s="460" t="s">
        <v>2861</v>
      </c>
      <c r="M321" s="460"/>
      <c r="N321" s="460"/>
      <c r="O321" s="460"/>
      <c r="P321" s="460"/>
      <c r="Q321" s="460"/>
      <c r="R321" s="460"/>
      <c r="S321" s="460"/>
      <c r="T321" s="460"/>
      <c r="U321" s="460"/>
      <c r="V321" s="460"/>
      <c r="W321" s="460"/>
      <c r="X321" s="462" t="s">
        <v>2862</v>
      </c>
      <c r="Y321" s="462"/>
      <c r="Z321" s="462"/>
      <c r="AA321" s="462"/>
      <c r="AB321" s="462"/>
      <c r="AC321" s="462"/>
      <c r="AD321" s="462"/>
    </row>
    <row r="322" spans="1:30" ht="9.9499999999999993" customHeight="1" x14ac:dyDescent="0.25">
      <c r="A322" s="460" t="s">
        <v>2876</v>
      </c>
      <c r="B322" s="460"/>
      <c r="C322" s="460"/>
      <c r="D322" s="460"/>
      <c r="E322" s="462" t="s">
        <v>2877</v>
      </c>
      <c r="F322" s="462"/>
      <c r="G322" s="462"/>
      <c r="H322" s="462"/>
      <c r="I322" s="462"/>
      <c r="J322" s="462"/>
      <c r="K322" s="462"/>
      <c r="L322" s="460" t="s">
        <v>2863</v>
      </c>
      <c r="M322" s="460"/>
      <c r="N322" s="460"/>
      <c r="O322" s="460"/>
      <c r="P322" s="460"/>
      <c r="Q322" s="460"/>
      <c r="R322" s="460"/>
      <c r="S322" s="460"/>
      <c r="T322" s="460"/>
      <c r="U322" s="460"/>
      <c r="V322" s="460"/>
      <c r="W322" s="460"/>
      <c r="X322" s="462" t="s">
        <v>2897</v>
      </c>
      <c r="Y322" s="462"/>
      <c r="Z322" s="462"/>
      <c r="AA322" s="462"/>
      <c r="AB322" s="462"/>
      <c r="AC322" s="462"/>
      <c r="AD322" s="462"/>
    </row>
    <row r="323" spans="1:30" ht="15" customHeight="1" x14ac:dyDescent="0.25">
      <c r="A323" s="460" t="s">
        <v>2878</v>
      </c>
      <c r="B323" s="460"/>
      <c r="C323" s="460"/>
      <c r="D323" s="460"/>
      <c r="E323" s="462" t="s">
        <v>2879</v>
      </c>
      <c r="F323" s="462"/>
      <c r="G323" s="462"/>
      <c r="H323" s="462"/>
      <c r="I323" s="462"/>
      <c r="J323" s="462"/>
      <c r="K323" s="462"/>
      <c r="L323" s="454"/>
      <c r="M323" s="454"/>
      <c r="N323" s="454"/>
      <c r="O323" s="454"/>
      <c r="P323" s="454"/>
      <c r="Q323" s="454"/>
      <c r="R323" s="454"/>
      <c r="S323" s="454"/>
      <c r="T323" s="454"/>
      <c r="U323" s="454"/>
      <c r="V323" s="454"/>
      <c r="W323" s="454"/>
      <c r="X323" s="454"/>
      <c r="Y323" s="454"/>
      <c r="Z323" s="454"/>
      <c r="AA323" s="454"/>
      <c r="AB323" s="454"/>
      <c r="AC323" s="454"/>
      <c r="AD323" s="454"/>
    </row>
    <row r="324" spans="1:30" ht="20.100000000000001" customHeight="1" x14ac:dyDescent="0.25">
      <c r="A324" s="454"/>
      <c r="B324" s="454"/>
      <c r="C324" s="454"/>
      <c r="D324" s="454"/>
      <c r="E324" s="454"/>
      <c r="F324" s="460" t="s">
        <v>2864</v>
      </c>
      <c r="G324" s="460"/>
      <c r="H324" s="460"/>
      <c r="I324" s="460"/>
      <c r="J324" s="460"/>
      <c r="K324" s="460"/>
      <c r="L324" s="460"/>
      <c r="M324" s="460"/>
      <c r="N324" s="460"/>
      <c r="O324" s="460"/>
      <c r="P324" s="460"/>
      <c r="Q324" s="460"/>
      <c r="R324" s="460" t="s">
        <v>2865</v>
      </c>
      <c r="S324" s="460"/>
      <c r="T324" s="460"/>
      <c r="U324" s="460"/>
      <c r="V324" s="460"/>
    </row>
    <row r="325" spans="1:30" ht="15.95" customHeight="1" x14ac:dyDescent="0.25">
      <c r="A325" s="460" t="s">
        <v>2854</v>
      </c>
      <c r="B325" s="460"/>
      <c r="C325" s="460"/>
      <c r="D325" s="460"/>
      <c r="E325" s="460"/>
      <c r="F325" s="463">
        <v>2000</v>
      </c>
      <c r="G325" s="463"/>
      <c r="H325" s="463"/>
      <c r="I325" s="463"/>
      <c r="J325" s="463"/>
      <c r="K325" s="463"/>
      <c r="L325" s="463"/>
      <c r="M325" s="463"/>
      <c r="N325" s="463"/>
      <c r="O325" s="463"/>
      <c r="P325" s="463"/>
      <c r="Q325" s="463"/>
      <c r="R325" s="463">
        <v>2000</v>
      </c>
      <c r="S325" s="463"/>
      <c r="T325" s="463"/>
      <c r="U325" s="463"/>
      <c r="V325" s="463"/>
    </row>
    <row r="326" spans="1:30" ht="9.9499999999999993" customHeight="1" x14ac:dyDescent="0.25">
      <c r="A326" s="460" t="s">
        <v>2866</v>
      </c>
      <c r="B326" s="460"/>
      <c r="C326" s="460"/>
      <c r="D326" s="460"/>
      <c r="E326" s="460"/>
      <c r="F326" s="463">
        <v>400</v>
      </c>
      <c r="G326" s="463"/>
      <c r="H326" s="463"/>
      <c r="I326" s="463"/>
      <c r="J326" s="463"/>
      <c r="K326" s="463"/>
      <c r="L326" s="463"/>
      <c r="M326" s="463"/>
      <c r="N326" s="463"/>
      <c r="O326" s="463"/>
      <c r="P326" s="463"/>
      <c r="Q326" s="463"/>
      <c r="R326" s="463">
        <v>400</v>
      </c>
      <c r="S326" s="463"/>
      <c r="T326" s="463"/>
      <c r="U326" s="463"/>
      <c r="V326" s="463"/>
    </row>
    <row r="327" spans="1:30" ht="9.9499999999999993" customHeight="1" x14ac:dyDescent="0.25">
      <c r="A327" s="460" t="s">
        <v>2867</v>
      </c>
      <c r="B327" s="460"/>
      <c r="C327" s="460"/>
      <c r="D327" s="460"/>
      <c r="E327" s="460"/>
      <c r="F327" s="463">
        <v>868</v>
      </c>
      <c r="G327" s="463"/>
      <c r="H327" s="463"/>
      <c r="I327" s="463"/>
      <c r="J327" s="463"/>
      <c r="K327" s="463"/>
      <c r="L327" s="463"/>
      <c r="M327" s="463"/>
      <c r="N327" s="463"/>
      <c r="O327" s="463"/>
      <c r="P327" s="463"/>
      <c r="Q327" s="463"/>
      <c r="R327" s="463">
        <v>632</v>
      </c>
      <c r="S327" s="463"/>
      <c r="T327" s="463"/>
      <c r="U327" s="463"/>
      <c r="V327" s="463"/>
    </row>
    <row r="328" spans="1:30" ht="15" customHeight="1" x14ac:dyDescent="0.25">
      <c r="A328" s="460" t="s">
        <v>2868</v>
      </c>
      <c r="B328" s="460"/>
      <c r="C328" s="460"/>
      <c r="D328" s="460"/>
      <c r="E328" s="460"/>
      <c r="F328" s="461">
        <v>131</v>
      </c>
      <c r="G328" s="461"/>
      <c r="H328" s="461"/>
      <c r="I328" s="461"/>
      <c r="J328" s="461"/>
      <c r="K328" s="461"/>
      <c r="L328" s="461"/>
      <c r="M328" s="461"/>
      <c r="N328" s="461"/>
      <c r="O328" s="461"/>
      <c r="P328" s="461"/>
      <c r="Q328" s="461"/>
      <c r="R328" s="461">
        <v>131</v>
      </c>
      <c r="S328" s="461"/>
      <c r="T328" s="461"/>
      <c r="U328" s="461"/>
      <c r="V328" s="461"/>
    </row>
    <row r="329" spans="1:30" ht="15" customHeight="1" x14ac:dyDescent="0.25">
      <c r="A329" s="433" t="s">
        <v>2869</v>
      </c>
    </row>
    <row r="330" spans="1:30" ht="15" customHeight="1" x14ac:dyDescent="0.25">
      <c r="A330" s="433" t="s">
        <v>2870</v>
      </c>
    </row>
    <row r="331" spans="1:30" ht="15" customHeight="1" x14ac:dyDescent="0.25">
      <c r="A331" s="433" t="s">
        <v>2855</v>
      </c>
    </row>
    <row r="332" spans="1:30" ht="12.95" customHeight="1" x14ac:dyDescent="0.25">
      <c r="A332" s="436" t="s">
        <v>2898</v>
      </c>
    </row>
    <row r="333" spans="1:30" ht="12.95" customHeight="1" x14ac:dyDescent="0.25">
      <c r="A333" s="436" t="s">
        <v>2899</v>
      </c>
    </row>
    <row r="334" spans="1:30" ht="12.95" customHeight="1" x14ac:dyDescent="0.25">
      <c r="A334" s="437" t="s">
        <v>2900</v>
      </c>
    </row>
    <row r="335" spans="1:30" ht="12.95" customHeight="1" x14ac:dyDescent="0.25">
      <c r="A335" s="436" t="s">
        <v>2901</v>
      </c>
    </row>
    <row r="336" spans="1:30" ht="12.95" customHeight="1" x14ac:dyDescent="0.25">
      <c r="A336" s="437" t="s">
        <v>3068</v>
      </c>
    </row>
    <row r="337" spans="1:1" ht="12.95" customHeight="1" x14ac:dyDescent="0.25">
      <c r="A337" s="436" t="s">
        <v>2903</v>
      </c>
    </row>
    <row r="338" spans="1:1" ht="12.95" customHeight="1" x14ac:dyDescent="0.25">
      <c r="A338" s="437" t="s">
        <v>3069</v>
      </c>
    </row>
    <row r="339" spans="1:1" ht="12.95" customHeight="1" x14ac:dyDescent="0.25">
      <c r="A339" s="442" t="s">
        <v>2905</v>
      </c>
    </row>
    <row r="340" spans="1:1" ht="18" customHeight="1" x14ac:dyDescent="0.25">
      <c r="A340" s="437" t="s">
        <v>2906</v>
      </c>
    </row>
    <row r="341" spans="1:1" ht="18" customHeight="1" x14ac:dyDescent="0.25">
      <c r="A341" s="437" t="s">
        <v>2813</v>
      </c>
    </row>
    <row r="342" spans="1:1" ht="12.95" customHeight="1" x14ac:dyDescent="0.25">
      <c r="A342" s="436" t="s">
        <v>2907</v>
      </c>
    </row>
    <row r="343" spans="1:1" ht="12.95" customHeight="1" x14ac:dyDescent="0.25">
      <c r="A343" s="437" t="s">
        <v>3070</v>
      </c>
    </row>
    <row r="344" spans="1:1" ht="12.95" customHeight="1" x14ac:dyDescent="0.25">
      <c r="A344" s="437" t="s">
        <v>2909</v>
      </c>
    </row>
    <row r="345" spans="1:1" ht="12.95" customHeight="1" x14ac:dyDescent="0.25">
      <c r="A345" s="437" t="s">
        <v>2813</v>
      </c>
    </row>
    <row r="346" spans="1:1" ht="12.95" customHeight="1" x14ac:dyDescent="0.25">
      <c r="A346" s="436" t="s">
        <v>2910</v>
      </c>
    </row>
    <row r="347" spans="1:1" ht="14.1" customHeight="1" x14ac:dyDescent="0.25">
      <c r="A347" s="432" t="s">
        <v>3071</v>
      </c>
    </row>
    <row r="348" spans="1:1" ht="18.95" customHeight="1" x14ac:dyDescent="0.25">
      <c r="A348" s="437" t="s">
        <v>2912</v>
      </c>
    </row>
    <row r="349" spans="1:1" ht="12.95" customHeight="1" x14ac:dyDescent="0.25">
      <c r="A349" s="437" t="s">
        <v>3072</v>
      </c>
    </row>
    <row r="350" spans="1:1" ht="12.95" customHeight="1" x14ac:dyDescent="0.25">
      <c r="A350" s="437" t="s">
        <v>3073</v>
      </c>
    </row>
    <row r="351" spans="1:1" ht="12.95" customHeight="1" x14ac:dyDescent="0.25">
      <c r="A351" s="436" t="s">
        <v>2812</v>
      </c>
    </row>
    <row r="352" spans="1:1" ht="12.95" customHeight="1" x14ac:dyDescent="0.25">
      <c r="A352" s="436" t="s">
        <v>2915</v>
      </c>
    </row>
    <row r="353" spans="1:35" ht="14.1" customHeight="1" x14ac:dyDescent="0.25">
      <c r="A353" s="432" t="s">
        <v>3074</v>
      </c>
    </row>
    <row r="354" spans="1:35" ht="12.95" customHeight="1" x14ac:dyDescent="0.25">
      <c r="A354" s="437" t="s">
        <v>2814</v>
      </c>
    </row>
    <row r="355" spans="1:35" ht="18" customHeight="1" x14ac:dyDescent="0.25">
      <c r="A355" s="437" t="s">
        <v>2917</v>
      </c>
    </row>
    <row r="356" spans="1:35" ht="12.95" customHeight="1" x14ac:dyDescent="0.25">
      <c r="A356" s="437" t="s">
        <v>2814</v>
      </c>
    </row>
    <row r="357" spans="1:35" ht="18" customHeight="1" x14ac:dyDescent="0.25">
      <c r="A357" s="437" t="s">
        <v>3075</v>
      </c>
    </row>
    <row r="358" spans="1:35" ht="18.95" customHeight="1" x14ac:dyDescent="0.25">
      <c r="A358" s="437" t="s">
        <v>2919</v>
      </c>
    </row>
    <row r="359" spans="1:35" ht="18.95" customHeight="1" x14ac:dyDescent="0.25">
      <c r="A359" s="432" t="s">
        <v>3076</v>
      </c>
    </row>
    <row r="360" spans="1:35" ht="18.95" customHeight="1" x14ac:dyDescent="0.25">
      <c r="A360" s="436" t="s">
        <v>2812</v>
      </c>
    </row>
    <row r="361" spans="1:35" ht="18.95" customHeight="1" x14ac:dyDescent="0.25">
      <c r="A361" s="437" t="s">
        <v>2817</v>
      </c>
    </row>
    <row r="362" spans="1:35" ht="12.95" customHeight="1" x14ac:dyDescent="0.25">
      <c r="A362" s="436" t="s">
        <v>2921</v>
      </c>
    </row>
    <row r="363" spans="1:35" ht="14.1" customHeight="1" x14ac:dyDescent="0.25">
      <c r="A363" s="432" t="s">
        <v>2922</v>
      </c>
    </row>
    <row r="364" spans="1:35" ht="18" customHeight="1" x14ac:dyDescent="0.25">
      <c r="A364" s="432" t="s">
        <v>3077</v>
      </c>
    </row>
    <row r="365" spans="1:35" ht="12.95" customHeight="1" x14ac:dyDescent="0.25">
      <c r="A365" s="437" t="s">
        <v>2924</v>
      </c>
    </row>
    <row r="366" spans="1:35" ht="12.95" customHeight="1" x14ac:dyDescent="0.25">
      <c r="A366" s="437" t="s">
        <v>2814</v>
      </c>
    </row>
    <row r="367" spans="1:35" ht="18" customHeight="1" x14ac:dyDescent="0.25">
      <c r="A367" s="437" t="s">
        <v>3078</v>
      </c>
    </row>
    <row r="368" spans="1:35" ht="24.95" customHeight="1" x14ac:dyDescent="0.25">
      <c r="A368" s="454" t="s">
        <v>2926</v>
      </c>
      <c r="B368" s="454"/>
      <c r="C368" s="454"/>
      <c r="D368" s="454"/>
      <c r="E368" s="454"/>
      <c r="F368" s="454"/>
      <c r="G368" s="454"/>
      <c r="H368" s="454"/>
      <c r="I368" s="454" t="s">
        <v>2927</v>
      </c>
      <c r="J368" s="454"/>
      <c r="K368" s="454"/>
      <c r="L368" s="454"/>
      <c r="M368" s="454"/>
      <c r="N368" s="454"/>
      <c r="O368" s="454"/>
      <c r="P368" s="454"/>
      <c r="Q368" s="454"/>
      <c r="R368" s="454" t="s">
        <v>2928</v>
      </c>
      <c r="S368" s="454"/>
      <c r="T368" s="454"/>
      <c r="U368" s="454"/>
      <c r="V368" s="454"/>
      <c r="W368" s="454"/>
      <c r="X368" s="454"/>
      <c r="Y368" s="454"/>
      <c r="Z368" s="454"/>
      <c r="AA368" s="454"/>
      <c r="AB368" s="454" t="s">
        <v>3079</v>
      </c>
      <c r="AC368" s="454"/>
      <c r="AD368" s="454"/>
      <c r="AE368" s="454"/>
      <c r="AF368" s="454"/>
      <c r="AG368" s="454"/>
      <c r="AH368" s="454"/>
      <c r="AI368" s="454"/>
    </row>
    <row r="369" spans="1:37" ht="12" customHeight="1" x14ac:dyDescent="0.25">
      <c r="A369" s="457" t="s">
        <v>2930</v>
      </c>
      <c r="B369" s="457"/>
      <c r="C369" s="457"/>
      <c r="D369" s="457"/>
      <c r="E369" s="457"/>
      <c r="F369" s="457"/>
      <c r="G369" s="457"/>
      <c r="H369" s="457"/>
      <c r="I369" s="454" t="s">
        <v>3080</v>
      </c>
      <c r="J369" s="454"/>
      <c r="K369" s="454"/>
      <c r="L369" s="454"/>
      <c r="M369" s="454"/>
      <c r="N369" s="454"/>
      <c r="O369" s="454"/>
      <c r="P369" s="454"/>
      <c r="Q369" s="454"/>
      <c r="R369" s="457" t="s">
        <v>2932</v>
      </c>
      <c r="S369" s="457"/>
      <c r="T369" s="457"/>
      <c r="U369" s="457"/>
      <c r="V369" s="457"/>
      <c r="W369" s="457"/>
      <c r="X369" s="457"/>
      <c r="Y369" s="457"/>
      <c r="Z369" s="457"/>
      <c r="AA369" s="457"/>
      <c r="AB369" s="457" t="s">
        <v>3081</v>
      </c>
      <c r="AC369" s="457"/>
      <c r="AD369" s="457"/>
      <c r="AE369" s="457"/>
      <c r="AF369" s="457"/>
      <c r="AG369" s="457"/>
      <c r="AH369" s="457"/>
      <c r="AI369" s="457"/>
    </row>
    <row r="370" spans="1:37" ht="12.95" customHeight="1" x14ac:dyDescent="0.25">
      <c r="A370" s="454" t="s">
        <v>3082</v>
      </c>
      <c r="B370" s="454"/>
      <c r="C370" s="454"/>
      <c r="D370" s="454"/>
      <c r="E370" s="454"/>
      <c r="F370" s="454"/>
      <c r="G370" s="454"/>
      <c r="H370" s="454"/>
      <c r="I370" s="454"/>
      <c r="J370" s="454"/>
      <c r="K370" s="454"/>
      <c r="L370" s="454"/>
      <c r="M370" s="454"/>
      <c r="N370" s="454"/>
      <c r="O370" s="454"/>
      <c r="P370" s="454"/>
      <c r="Q370" s="454"/>
      <c r="R370" s="457" t="s">
        <v>2935</v>
      </c>
      <c r="S370" s="457"/>
      <c r="T370" s="457"/>
      <c r="U370" s="457"/>
      <c r="V370" s="457"/>
      <c r="W370" s="457"/>
      <c r="X370" s="457"/>
      <c r="Y370" s="457"/>
      <c r="Z370" s="457"/>
      <c r="AA370" s="457"/>
      <c r="AB370" s="469">
        <v>1</v>
      </c>
      <c r="AC370" s="469"/>
      <c r="AD370" s="469"/>
      <c r="AE370" s="469"/>
      <c r="AF370" s="469"/>
      <c r="AG370" s="469"/>
      <c r="AH370" s="469"/>
      <c r="AI370" s="469"/>
    </row>
    <row r="371" spans="1:37" ht="27.95" customHeight="1" x14ac:dyDescent="0.25">
      <c r="A371" s="454" t="s">
        <v>3083</v>
      </c>
      <c r="B371" s="454"/>
      <c r="C371" s="454"/>
      <c r="D371" s="454"/>
      <c r="E371" s="454"/>
      <c r="F371" s="454"/>
      <c r="G371" s="454"/>
      <c r="H371" s="454"/>
      <c r="I371" s="454"/>
      <c r="J371" s="454"/>
      <c r="K371" s="454"/>
      <c r="L371" s="454"/>
      <c r="M371" s="454"/>
      <c r="N371" s="454"/>
      <c r="O371" s="454"/>
      <c r="P371" s="454"/>
      <c r="Q371" s="454"/>
      <c r="R371" s="454" t="s">
        <v>2937</v>
      </c>
      <c r="S371" s="454"/>
      <c r="T371" s="454"/>
      <c r="U371" s="454"/>
      <c r="V371" s="454"/>
      <c r="W371" s="454"/>
      <c r="X371" s="454"/>
      <c r="Y371" s="454"/>
      <c r="Z371" s="454"/>
      <c r="AA371" s="454"/>
      <c r="AB371" s="454" t="s">
        <v>3084</v>
      </c>
      <c r="AC371" s="454"/>
      <c r="AD371" s="454"/>
      <c r="AE371" s="454"/>
      <c r="AF371" s="454"/>
      <c r="AG371" s="454"/>
      <c r="AH371" s="454"/>
      <c r="AI371" s="454"/>
    </row>
    <row r="372" spans="1:37" ht="12.95" customHeight="1" x14ac:dyDescent="0.25">
      <c r="A372" s="436" t="s">
        <v>2812</v>
      </c>
    </row>
    <row r="373" spans="1:37" ht="12.95" customHeight="1" x14ac:dyDescent="0.25">
      <c r="A373" s="437" t="s">
        <v>2817</v>
      </c>
    </row>
    <row r="374" spans="1:37" ht="12.95" customHeight="1" x14ac:dyDescent="0.25">
      <c r="A374" s="436" t="s">
        <v>2939</v>
      </c>
    </row>
    <row r="375" spans="1:37" ht="29.1" customHeight="1" x14ac:dyDescent="0.25">
      <c r="A375" s="468" t="s">
        <v>2940</v>
      </c>
      <c r="B375" s="468"/>
      <c r="C375" s="468"/>
      <c r="D375" s="468"/>
      <c r="E375" s="468"/>
      <c r="F375" s="468"/>
      <c r="G375" s="468"/>
      <c r="H375" s="468"/>
      <c r="I375" s="468"/>
      <c r="J375" s="468" t="s">
        <v>3085</v>
      </c>
      <c r="K375" s="468"/>
      <c r="L375" s="468"/>
      <c r="M375" s="468"/>
      <c r="N375" s="468"/>
      <c r="O375" s="468"/>
      <c r="P375" s="468" t="s">
        <v>2732</v>
      </c>
      <c r="Q375" s="468"/>
      <c r="R375" s="468"/>
      <c r="S375" s="468"/>
      <c r="T375" s="468"/>
      <c r="U375" s="468"/>
      <c r="V375" s="468"/>
      <c r="W375" s="468"/>
      <c r="X375" s="468"/>
      <c r="Y375" s="468"/>
      <c r="Z375" s="468"/>
      <c r="AA375" s="468"/>
      <c r="AB375" s="468"/>
      <c r="AC375" s="468" t="s">
        <v>2942</v>
      </c>
      <c r="AD375" s="468"/>
      <c r="AE375" s="468"/>
      <c r="AF375" s="468"/>
      <c r="AG375" s="468"/>
      <c r="AH375" s="468"/>
      <c r="AI375" s="468"/>
      <c r="AJ375" s="468"/>
      <c r="AK375" s="468"/>
    </row>
    <row r="376" spans="1:37" ht="38.1" customHeight="1" x14ac:dyDescent="0.25">
      <c r="A376" s="457" t="s">
        <v>2733</v>
      </c>
      <c r="B376" s="457"/>
      <c r="C376" s="457"/>
      <c r="D376" s="457"/>
      <c r="E376" s="457"/>
      <c r="F376" s="457"/>
      <c r="G376" s="457"/>
      <c r="H376" s="457"/>
      <c r="I376" s="457"/>
      <c r="J376" s="454" t="s">
        <v>3086</v>
      </c>
      <c r="K376" s="454"/>
      <c r="L376" s="454"/>
      <c r="M376" s="454"/>
      <c r="N376" s="454"/>
      <c r="O376" s="454"/>
      <c r="P376" s="457" t="s">
        <v>2845</v>
      </c>
      <c r="Q376" s="457"/>
      <c r="R376" s="457"/>
      <c r="S376" s="457"/>
      <c r="T376" s="457"/>
      <c r="U376" s="457"/>
      <c r="V376" s="457"/>
      <c r="W376" s="457"/>
      <c r="X376" s="457"/>
      <c r="Y376" s="457"/>
      <c r="Z376" s="457"/>
      <c r="AA376" s="457"/>
      <c r="AB376" s="457"/>
      <c r="AC376" s="454" t="s">
        <v>3087</v>
      </c>
      <c r="AD376" s="454"/>
      <c r="AE376" s="454"/>
      <c r="AF376" s="454"/>
      <c r="AG376" s="454"/>
      <c r="AH376" s="454"/>
      <c r="AI376" s="454"/>
      <c r="AJ376" s="454"/>
      <c r="AK376" s="454"/>
    </row>
    <row r="377" spans="1:37" ht="18" customHeight="1" x14ac:dyDescent="0.25">
      <c r="A377" s="457" t="s">
        <v>2871</v>
      </c>
      <c r="B377" s="457"/>
      <c r="C377" s="457"/>
      <c r="D377" s="457"/>
      <c r="E377" s="457"/>
      <c r="F377" s="457"/>
      <c r="G377" s="457"/>
      <c r="H377" s="457"/>
      <c r="I377" s="457"/>
      <c r="J377" s="454" t="s">
        <v>3088</v>
      </c>
      <c r="K377" s="454"/>
      <c r="L377" s="454"/>
      <c r="M377" s="454"/>
      <c r="N377" s="454"/>
      <c r="O377" s="454"/>
      <c r="P377" s="457" t="s">
        <v>2872</v>
      </c>
      <c r="Q377" s="457"/>
      <c r="R377" s="457"/>
      <c r="S377" s="457"/>
      <c r="T377" s="457"/>
      <c r="U377" s="457"/>
      <c r="V377" s="457"/>
      <c r="W377" s="457"/>
      <c r="X377" s="457"/>
      <c r="Y377" s="457"/>
      <c r="Z377" s="457"/>
      <c r="AA377" s="457"/>
      <c r="AB377" s="457"/>
      <c r="AC377" s="457" t="s">
        <v>3089</v>
      </c>
      <c r="AD377" s="457"/>
      <c r="AE377" s="457"/>
      <c r="AF377" s="457"/>
      <c r="AG377" s="457"/>
      <c r="AH377" s="457"/>
      <c r="AI377" s="457"/>
      <c r="AJ377" s="457"/>
      <c r="AK377" s="457"/>
    </row>
    <row r="378" spans="1:37" ht="45" customHeight="1" x14ac:dyDescent="0.25">
      <c r="A378" s="454" t="s">
        <v>2873</v>
      </c>
      <c r="B378" s="454"/>
      <c r="C378" s="454"/>
      <c r="D378" s="454"/>
      <c r="E378" s="454"/>
      <c r="F378" s="454"/>
      <c r="G378" s="454"/>
      <c r="H378" s="454"/>
      <c r="I378" s="454"/>
      <c r="J378" s="454" t="s">
        <v>3090</v>
      </c>
      <c r="K378" s="454"/>
      <c r="L378" s="454"/>
      <c r="M378" s="454"/>
      <c r="N378" s="454"/>
      <c r="O378" s="454"/>
      <c r="P378" s="454" t="s">
        <v>2874</v>
      </c>
      <c r="Q378" s="454"/>
      <c r="R378" s="454"/>
      <c r="S378" s="454"/>
      <c r="T378" s="454"/>
      <c r="U378" s="454"/>
      <c r="V378" s="454"/>
      <c r="W378" s="454"/>
      <c r="X378" s="454"/>
      <c r="Y378" s="454"/>
      <c r="Z378" s="454"/>
      <c r="AA378" s="454"/>
      <c r="AB378" s="454"/>
      <c r="AC378" s="454" t="s">
        <v>3091</v>
      </c>
      <c r="AD378" s="454"/>
      <c r="AE378" s="454"/>
      <c r="AF378" s="454"/>
      <c r="AG378" s="454"/>
      <c r="AH378" s="454"/>
      <c r="AI378" s="454"/>
      <c r="AJ378" s="454"/>
      <c r="AK378" s="454"/>
    </row>
    <row r="379" spans="1:37" ht="33" customHeight="1" x14ac:dyDescent="0.25">
      <c r="A379" s="454" t="s">
        <v>2949</v>
      </c>
      <c r="B379" s="454"/>
      <c r="C379" s="454"/>
      <c r="D379" s="454"/>
      <c r="E379" s="454"/>
      <c r="F379" s="454"/>
      <c r="G379" s="454"/>
      <c r="H379" s="454"/>
      <c r="I379" s="454"/>
      <c r="J379" s="459" t="s">
        <v>2950</v>
      </c>
      <c r="K379" s="459"/>
      <c r="L379" s="459"/>
      <c r="M379" s="459"/>
      <c r="N379" s="459"/>
      <c r="O379" s="459"/>
      <c r="P379" s="454"/>
      <c r="Q379" s="454"/>
      <c r="R379" s="454"/>
      <c r="S379" s="454"/>
      <c r="T379" s="454"/>
      <c r="U379" s="454"/>
      <c r="V379" s="454"/>
      <c r="W379" s="454"/>
      <c r="X379" s="454"/>
      <c r="Y379" s="454"/>
      <c r="Z379" s="454"/>
      <c r="AA379" s="454"/>
      <c r="AB379" s="454"/>
      <c r="AC379" s="454"/>
      <c r="AD379" s="454"/>
      <c r="AE379" s="454"/>
      <c r="AF379" s="454"/>
      <c r="AG379" s="454"/>
      <c r="AH379" s="454"/>
      <c r="AI379" s="454"/>
      <c r="AJ379" s="454"/>
      <c r="AK379" s="454"/>
    </row>
    <row r="380" spans="1:37" ht="21" customHeight="1" x14ac:dyDescent="0.25">
      <c r="A380" s="467" t="s">
        <v>2824</v>
      </c>
      <c r="B380" s="467"/>
      <c r="C380" s="467"/>
      <c r="D380" s="467"/>
      <c r="E380" s="467"/>
      <c r="F380" s="467"/>
      <c r="G380" s="467"/>
      <c r="H380" s="467"/>
      <c r="I380" s="467"/>
      <c r="J380" s="454"/>
      <c r="K380" s="454"/>
      <c r="L380" s="454"/>
      <c r="M380" s="454"/>
      <c r="N380" s="454"/>
      <c r="O380" s="454"/>
      <c r="P380" s="454"/>
      <c r="Q380" s="454"/>
      <c r="R380" s="454"/>
      <c r="S380" s="454"/>
      <c r="T380" s="454"/>
      <c r="U380" s="454"/>
      <c r="V380" s="454"/>
      <c r="W380" s="454"/>
      <c r="X380" s="454"/>
      <c r="Y380" s="454"/>
      <c r="Z380" s="454"/>
      <c r="AA380" s="454"/>
      <c r="AB380" s="454"/>
      <c r="AC380" s="454"/>
      <c r="AD380" s="454"/>
      <c r="AE380" s="454"/>
      <c r="AF380" s="454"/>
      <c r="AG380" s="454"/>
      <c r="AH380" s="454"/>
      <c r="AI380" s="454"/>
      <c r="AJ380" s="454"/>
      <c r="AK380" s="454"/>
    </row>
    <row r="381" spans="1:37" ht="29.1" customHeight="1" x14ac:dyDescent="0.25">
      <c r="A381" s="454" t="s">
        <v>2951</v>
      </c>
      <c r="B381" s="454"/>
      <c r="C381" s="454"/>
      <c r="D381" s="454"/>
      <c r="E381" s="454"/>
      <c r="F381" s="454"/>
      <c r="G381" s="454"/>
      <c r="H381" s="454"/>
      <c r="I381" s="454"/>
      <c r="J381" s="459" t="s">
        <v>2950</v>
      </c>
      <c r="K381" s="459"/>
      <c r="L381" s="459"/>
      <c r="M381" s="459"/>
      <c r="N381" s="459"/>
      <c r="O381" s="459"/>
      <c r="P381" s="454"/>
      <c r="Q381" s="454"/>
      <c r="R381" s="454"/>
      <c r="S381" s="454"/>
      <c r="T381" s="454"/>
      <c r="U381" s="454"/>
      <c r="V381" s="454"/>
      <c r="W381" s="454"/>
      <c r="X381" s="454"/>
      <c r="Y381" s="454"/>
      <c r="Z381" s="454"/>
      <c r="AA381" s="454"/>
      <c r="AB381" s="454"/>
      <c r="AC381" s="454"/>
      <c r="AD381" s="454"/>
      <c r="AE381" s="454"/>
      <c r="AF381" s="454"/>
      <c r="AG381" s="454"/>
      <c r="AH381" s="454"/>
      <c r="AI381" s="454"/>
      <c r="AJ381" s="454"/>
      <c r="AK381" s="454"/>
    </row>
    <row r="382" spans="1:37" ht="27" customHeight="1" x14ac:dyDescent="0.25">
      <c r="A382" s="454" t="s">
        <v>2952</v>
      </c>
      <c r="B382" s="454"/>
      <c r="C382" s="454"/>
      <c r="D382" s="454"/>
      <c r="E382" s="454"/>
      <c r="F382" s="454"/>
      <c r="G382" s="454"/>
      <c r="H382" s="454"/>
      <c r="I382" s="454"/>
      <c r="J382" s="454"/>
      <c r="K382" s="454"/>
      <c r="L382" s="454"/>
      <c r="M382" s="454"/>
      <c r="N382" s="454"/>
      <c r="O382" s="454"/>
      <c r="P382" s="459" t="s">
        <v>2809</v>
      </c>
      <c r="Q382" s="459"/>
      <c r="R382" s="459"/>
      <c r="S382" s="459"/>
      <c r="T382" s="459"/>
      <c r="U382" s="459"/>
      <c r="V382" s="459"/>
      <c r="W382" s="459"/>
      <c r="X382" s="459"/>
      <c r="Y382" s="459"/>
      <c r="Z382" s="459"/>
      <c r="AA382" s="459"/>
      <c r="AB382" s="459"/>
      <c r="AC382" s="459" t="s">
        <v>3092</v>
      </c>
      <c r="AD382" s="459"/>
      <c r="AE382" s="459"/>
      <c r="AF382" s="459"/>
      <c r="AG382" s="459"/>
      <c r="AH382" s="459"/>
      <c r="AI382" s="459"/>
      <c r="AJ382" s="459"/>
      <c r="AK382" s="459"/>
    </row>
    <row r="383" spans="1:37" ht="12.95" customHeight="1" x14ac:dyDescent="0.25">
      <c r="A383" s="457" t="s">
        <v>2810</v>
      </c>
      <c r="B383" s="457"/>
      <c r="C383" s="457"/>
      <c r="D383" s="457"/>
      <c r="E383" s="457"/>
      <c r="F383" s="457"/>
      <c r="G383" s="457"/>
      <c r="H383" s="457"/>
      <c r="I383" s="457"/>
      <c r="J383" s="454" t="s">
        <v>2880</v>
      </c>
      <c r="K383" s="454"/>
      <c r="L383" s="454"/>
      <c r="M383" s="454"/>
      <c r="N383" s="454"/>
      <c r="O383" s="454"/>
      <c r="P383" s="457" t="s">
        <v>2808</v>
      </c>
      <c r="Q383" s="457"/>
      <c r="R383" s="457"/>
      <c r="S383" s="457"/>
      <c r="T383" s="457"/>
      <c r="U383" s="457"/>
      <c r="V383" s="457"/>
      <c r="W383" s="457"/>
      <c r="X383" s="457"/>
      <c r="Y383" s="457"/>
      <c r="Z383" s="457"/>
      <c r="AA383" s="457"/>
      <c r="AB383" s="457"/>
      <c r="AC383" s="457" t="s">
        <v>2954</v>
      </c>
      <c r="AD383" s="457"/>
      <c r="AE383" s="457"/>
      <c r="AF383" s="457"/>
      <c r="AG383" s="457"/>
      <c r="AH383" s="457"/>
      <c r="AI383" s="457"/>
      <c r="AJ383" s="457"/>
      <c r="AK383" s="457"/>
    </row>
    <row r="384" spans="1:37" ht="18" customHeight="1" x14ac:dyDescent="0.25">
      <c r="A384" s="457" t="s">
        <v>2811</v>
      </c>
      <c r="B384" s="457"/>
      <c r="C384" s="457"/>
      <c r="D384" s="457"/>
      <c r="E384" s="457"/>
      <c r="F384" s="457"/>
      <c r="G384" s="457"/>
      <c r="H384" s="457"/>
      <c r="I384" s="457"/>
      <c r="J384" s="457" t="s">
        <v>2823</v>
      </c>
      <c r="K384" s="457"/>
      <c r="L384" s="457"/>
      <c r="M384" s="457"/>
      <c r="N384" s="457"/>
      <c r="O384" s="457"/>
      <c r="P384" s="454"/>
      <c r="Q384" s="454"/>
      <c r="R384" s="454"/>
      <c r="S384" s="454"/>
      <c r="T384" s="454"/>
      <c r="U384" s="454"/>
      <c r="V384" s="454"/>
      <c r="W384" s="454"/>
      <c r="X384" s="454"/>
      <c r="Y384" s="454"/>
      <c r="Z384" s="454"/>
      <c r="AA384" s="454"/>
      <c r="AB384" s="454"/>
      <c r="AC384" s="454"/>
      <c r="AD384" s="454"/>
      <c r="AE384" s="454"/>
      <c r="AF384" s="454"/>
      <c r="AG384" s="454"/>
      <c r="AH384" s="454"/>
      <c r="AI384" s="454"/>
      <c r="AJ384" s="454"/>
      <c r="AK384" s="454"/>
    </row>
    <row r="385" spans="1:37" ht="24.95" customHeight="1" x14ac:dyDescent="0.25">
      <c r="A385" s="454" t="s">
        <v>2955</v>
      </c>
      <c r="B385" s="454"/>
      <c r="C385" s="454"/>
      <c r="D385" s="454"/>
      <c r="E385" s="454"/>
      <c r="F385" s="454"/>
      <c r="G385" s="454"/>
      <c r="H385" s="454"/>
      <c r="I385" s="454"/>
      <c r="J385" s="459" t="s">
        <v>2956</v>
      </c>
      <c r="K385" s="459"/>
      <c r="L385" s="459"/>
      <c r="M385" s="459"/>
      <c r="N385" s="459"/>
      <c r="O385" s="459"/>
      <c r="P385" s="459" t="s">
        <v>2818</v>
      </c>
      <c r="Q385" s="459"/>
      <c r="R385" s="459"/>
      <c r="S385" s="459"/>
      <c r="T385" s="459"/>
      <c r="U385" s="459"/>
      <c r="V385" s="459"/>
      <c r="W385" s="459"/>
      <c r="X385" s="459"/>
      <c r="Y385" s="459"/>
      <c r="Z385" s="459"/>
      <c r="AA385" s="459"/>
      <c r="AB385" s="459"/>
      <c r="AC385" s="459" t="s">
        <v>2819</v>
      </c>
      <c r="AD385" s="459"/>
      <c r="AE385" s="459"/>
      <c r="AF385" s="459"/>
      <c r="AG385" s="459"/>
      <c r="AH385" s="459"/>
      <c r="AI385" s="459"/>
      <c r="AJ385" s="459"/>
      <c r="AK385" s="459"/>
    </row>
    <row r="386" spans="1:37" ht="9" customHeight="1" x14ac:dyDescent="0.25">
      <c r="A386" s="457" t="s">
        <v>2820</v>
      </c>
      <c r="B386" s="457"/>
      <c r="C386" s="457"/>
      <c r="D386" s="457"/>
      <c r="E386" s="457"/>
      <c r="F386" s="457"/>
      <c r="G386" s="457"/>
      <c r="H386" s="457"/>
      <c r="I386" s="457"/>
      <c r="J386" s="457" t="s">
        <v>2957</v>
      </c>
      <c r="K386" s="457"/>
      <c r="L386" s="457"/>
      <c r="M386" s="457"/>
      <c r="N386" s="457"/>
      <c r="O386" s="457"/>
      <c r="P386" s="457" t="s">
        <v>2821</v>
      </c>
      <c r="Q386" s="457"/>
      <c r="R386" s="457"/>
      <c r="S386" s="457"/>
      <c r="T386" s="457"/>
      <c r="U386" s="457"/>
      <c r="V386" s="457"/>
      <c r="W386" s="457"/>
      <c r="X386" s="457"/>
      <c r="Y386" s="457"/>
      <c r="Z386" s="457"/>
      <c r="AA386" s="457"/>
      <c r="AB386" s="457"/>
      <c r="AC386" s="457" t="s">
        <v>2958</v>
      </c>
      <c r="AD386" s="457"/>
      <c r="AE386" s="457"/>
      <c r="AF386" s="457"/>
      <c r="AG386" s="457"/>
      <c r="AH386" s="457"/>
      <c r="AI386" s="457"/>
      <c r="AJ386" s="457"/>
      <c r="AK386" s="457"/>
    </row>
    <row r="387" spans="1:37" ht="9" customHeight="1" x14ac:dyDescent="0.25">
      <c r="A387" s="457" t="s">
        <v>2881</v>
      </c>
      <c r="B387" s="457"/>
      <c r="C387" s="457"/>
      <c r="D387" s="457"/>
      <c r="E387" s="457"/>
      <c r="F387" s="457"/>
      <c r="G387" s="457"/>
      <c r="H387" s="457"/>
      <c r="I387" s="457"/>
      <c r="J387" s="454" t="s">
        <v>3093</v>
      </c>
      <c r="K387" s="454"/>
      <c r="L387" s="454"/>
      <c r="M387" s="454"/>
      <c r="N387" s="454"/>
      <c r="O387" s="454"/>
      <c r="P387" s="457" t="s">
        <v>2882</v>
      </c>
      <c r="Q387" s="457"/>
      <c r="R387" s="457"/>
      <c r="S387" s="457"/>
      <c r="T387" s="457"/>
      <c r="U387" s="457"/>
      <c r="V387" s="457"/>
      <c r="W387" s="457"/>
      <c r="X387" s="457"/>
      <c r="Y387" s="457"/>
      <c r="Z387" s="457"/>
      <c r="AA387" s="457"/>
      <c r="AB387" s="457"/>
      <c r="AC387" s="457" t="s">
        <v>2960</v>
      </c>
      <c r="AD387" s="457"/>
      <c r="AE387" s="457"/>
      <c r="AF387" s="457"/>
      <c r="AG387" s="457"/>
      <c r="AH387" s="457"/>
      <c r="AI387" s="457"/>
      <c r="AJ387" s="457"/>
      <c r="AK387" s="457"/>
    </row>
    <row r="388" spans="1:37" ht="27.95" customHeight="1" x14ac:dyDescent="0.25">
      <c r="A388" s="457" t="s">
        <v>2883</v>
      </c>
      <c r="B388" s="457"/>
      <c r="C388" s="457"/>
      <c r="D388" s="457"/>
      <c r="E388" s="457"/>
      <c r="F388" s="457"/>
      <c r="G388" s="457"/>
      <c r="H388" s="457"/>
      <c r="I388" s="457"/>
      <c r="J388" s="454" t="s">
        <v>3094</v>
      </c>
      <c r="K388" s="454"/>
      <c r="L388" s="454"/>
      <c r="M388" s="454"/>
      <c r="N388" s="454"/>
      <c r="O388" s="454"/>
      <c r="P388" s="457" t="s">
        <v>2884</v>
      </c>
      <c r="Q388" s="457"/>
      <c r="R388" s="457"/>
      <c r="S388" s="457"/>
      <c r="T388" s="457"/>
      <c r="U388" s="457"/>
      <c r="V388" s="457"/>
      <c r="W388" s="457"/>
      <c r="X388" s="457"/>
      <c r="Y388" s="457"/>
      <c r="Z388" s="457"/>
      <c r="AA388" s="457"/>
      <c r="AB388" s="457"/>
      <c r="AC388" s="454" t="s">
        <v>3095</v>
      </c>
      <c r="AD388" s="454"/>
      <c r="AE388" s="454"/>
      <c r="AF388" s="454"/>
      <c r="AG388" s="454"/>
      <c r="AH388" s="454"/>
      <c r="AI388" s="454"/>
      <c r="AJ388" s="454"/>
      <c r="AK388" s="454"/>
    </row>
    <row r="389" spans="1:37" ht="18" customHeight="1" x14ac:dyDescent="0.25">
      <c r="A389" s="457" t="s">
        <v>2871</v>
      </c>
      <c r="B389" s="457"/>
      <c r="C389" s="457"/>
      <c r="D389" s="457"/>
      <c r="E389" s="457"/>
      <c r="F389" s="457"/>
      <c r="G389" s="457"/>
      <c r="H389" s="457"/>
      <c r="I389" s="457"/>
      <c r="J389" s="454" t="s">
        <v>3096</v>
      </c>
      <c r="K389" s="454"/>
      <c r="L389" s="454"/>
      <c r="M389" s="454"/>
      <c r="N389" s="454"/>
      <c r="O389" s="454"/>
      <c r="P389" s="457" t="s">
        <v>2872</v>
      </c>
      <c r="Q389" s="457"/>
      <c r="R389" s="457"/>
      <c r="S389" s="457"/>
      <c r="T389" s="457"/>
      <c r="U389" s="457"/>
      <c r="V389" s="457"/>
      <c r="W389" s="457"/>
      <c r="X389" s="457"/>
      <c r="Y389" s="457"/>
      <c r="Z389" s="457"/>
      <c r="AA389" s="457"/>
      <c r="AB389" s="457"/>
      <c r="AC389" s="457" t="s">
        <v>3097</v>
      </c>
      <c r="AD389" s="457"/>
      <c r="AE389" s="457"/>
      <c r="AF389" s="457"/>
      <c r="AG389" s="457"/>
      <c r="AH389" s="457"/>
      <c r="AI389" s="457"/>
      <c r="AJ389" s="457"/>
      <c r="AK389" s="457"/>
    </row>
    <row r="390" spans="1:37" ht="27.95" customHeight="1" x14ac:dyDescent="0.25">
      <c r="A390" s="454" t="s">
        <v>2885</v>
      </c>
      <c r="B390" s="454"/>
      <c r="C390" s="454"/>
      <c r="D390" s="454"/>
      <c r="E390" s="454"/>
      <c r="F390" s="454"/>
      <c r="G390" s="454"/>
      <c r="H390" s="454"/>
      <c r="I390" s="454"/>
      <c r="J390" s="454" t="s">
        <v>3098</v>
      </c>
      <c r="K390" s="454"/>
      <c r="L390" s="454"/>
      <c r="M390" s="454"/>
      <c r="N390" s="454"/>
      <c r="O390" s="454"/>
      <c r="P390" s="454" t="s">
        <v>2874</v>
      </c>
      <c r="Q390" s="454"/>
      <c r="R390" s="454"/>
      <c r="S390" s="454"/>
      <c r="T390" s="454"/>
      <c r="U390" s="454"/>
      <c r="V390" s="454"/>
      <c r="W390" s="454"/>
      <c r="X390" s="454"/>
      <c r="Y390" s="454"/>
      <c r="Z390" s="454"/>
      <c r="AA390" s="454"/>
      <c r="AB390" s="454"/>
      <c r="AC390" s="454" t="s">
        <v>3099</v>
      </c>
      <c r="AD390" s="454"/>
      <c r="AE390" s="454"/>
      <c r="AF390" s="454"/>
      <c r="AG390" s="454"/>
      <c r="AH390" s="454"/>
      <c r="AI390" s="454"/>
      <c r="AJ390" s="454"/>
      <c r="AK390" s="454"/>
    </row>
    <row r="391" spans="1:37" ht="15.95" customHeight="1" x14ac:dyDescent="0.25">
      <c r="A391" s="457" t="s">
        <v>2811</v>
      </c>
      <c r="B391" s="457"/>
      <c r="C391" s="457"/>
      <c r="D391" s="457"/>
      <c r="E391" s="457"/>
      <c r="F391" s="457"/>
      <c r="G391" s="457"/>
      <c r="H391" s="457"/>
      <c r="I391" s="457"/>
      <c r="J391" s="457" t="s">
        <v>2823</v>
      </c>
      <c r="K391" s="457"/>
      <c r="L391" s="457"/>
      <c r="M391" s="457"/>
      <c r="N391" s="457"/>
      <c r="O391" s="457"/>
      <c r="P391" s="454"/>
      <c r="Q391" s="454"/>
      <c r="R391" s="454"/>
      <c r="S391" s="454"/>
      <c r="T391" s="454"/>
      <c r="U391" s="454"/>
      <c r="V391" s="454"/>
      <c r="W391" s="454"/>
      <c r="X391" s="454"/>
      <c r="Y391" s="454"/>
      <c r="Z391" s="454"/>
      <c r="AA391" s="454"/>
      <c r="AB391" s="454"/>
      <c r="AC391" s="454"/>
      <c r="AD391" s="454"/>
      <c r="AE391" s="454"/>
      <c r="AF391" s="454"/>
      <c r="AG391" s="454"/>
      <c r="AH391" s="454"/>
      <c r="AI391" s="454"/>
      <c r="AJ391" s="454"/>
      <c r="AK391" s="454"/>
    </row>
    <row r="392" spans="1:37" ht="24.95" customHeight="1" x14ac:dyDescent="0.25">
      <c r="A392" s="454" t="s">
        <v>2967</v>
      </c>
      <c r="B392" s="454"/>
      <c r="C392" s="454"/>
      <c r="D392" s="454"/>
      <c r="E392" s="454"/>
      <c r="F392" s="454"/>
      <c r="G392" s="454"/>
      <c r="H392" s="454"/>
      <c r="I392" s="454"/>
      <c r="J392" s="466" t="s">
        <v>2968</v>
      </c>
      <c r="K392" s="466"/>
      <c r="L392" s="466"/>
      <c r="M392" s="466"/>
      <c r="N392" s="466"/>
      <c r="O392" s="466"/>
      <c r="P392" s="459" t="s">
        <v>2846</v>
      </c>
      <c r="Q392" s="459"/>
      <c r="R392" s="459"/>
      <c r="S392" s="459"/>
      <c r="T392" s="459"/>
      <c r="U392" s="459"/>
      <c r="V392" s="459"/>
      <c r="W392" s="459"/>
      <c r="X392" s="459"/>
      <c r="Y392" s="459"/>
      <c r="Z392" s="459"/>
      <c r="AA392" s="459"/>
      <c r="AB392" s="459"/>
      <c r="AC392" s="466" t="s">
        <v>3100</v>
      </c>
      <c r="AD392" s="466"/>
      <c r="AE392" s="466"/>
      <c r="AF392" s="466"/>
      <c r="AG392" s="466"/>
      <c r="AH392" s="466"/>
      <c r="AI392" s="466"/>
      <c r="AJ392" s="466"/>
      <c r="AK392" s="466"/>
    </row>
    <row r="393" spans="1:37" ht="18" customHeight="1" x14ac:dyDescent="0.25">
      <c r="A393" s="457" t="s">
        <v>2886</v>
      </c>
      <c r="B393" s="457"/>
      <c r="C393" s="457"/>
      <c r="D393" s="457"/>
      <c r="E393" s="457"/>
      <c r="F393" s="457"/>
      <c r="G393" s="457"/>
      <c r="H393" s="457"/>
      <c r="I393" s="457"/>
      <c r="J393" s="454" t="s">
        <v>2970</v>
      </c>
      <c r="K393" s="454"/>
      <c r="L393" s="454"/>
      <c r="M393" s="454"/>
      <c r="N393" s="454"/>
      <c r="O393" s="454"/>
      <c r="P393" s="457" t="s">
        <v>2887</v>
      </c>
      <c r="Q393" s="457"/>
      <c r="R393" s="457"/>
      <c r="S393" s="457"/>
      <c r="T393" s="457"/>
      <c r="U393" s="457"/>
      <c r="V393" s="457"/>
      <c r="W393" s="457"/>
      <c r="X393" s="457"/>
      <c r="Y393" s="457"/>
      <c r="Z393" s="457"/>
      <c r="AA393" s="457"/>
      <c r="AB393" s="457"/>
      <c r="AC393" s="454" t="s">
        <v>3101</v>
      </c>
      <c r="AD393" s="454"/>
      <c r="AE393" s="454"/>
      <c r="AF393" s="454"/>
      <c r="AG393" s="454"/>
      <c r="AH393" s="454"/>
      <c r="AI393" s="454"/>
      <c r="AJ393" s="454"/>
      <c r="AK393" s="454"/>
    </row>
    <row r="394" spans="1:37" ht="6.95" customHeight="1" x14ac:dyDescent="0.25">
      <c r="A394" s="457" t="s">
        <v>2875</v>
      </c>
      <c r="B394" s="457"/>
      <c r="C394" s="457"/>
      <c r="D394" s="457"/>
      <c r="E394" s="457"/>
      <c r="F394" s="457"/>
      <c r="G394" s="457"/>
      <c r="H394" s="457"/>
      <c r="I394" s="457"/>
      <c r="J394" s="457" t="s">
        <v>3102</v>
      </c>
      <c r="K394" s="457"/>
      <c r="L394" s="457"/>
      <c r="M394" s="457"/>
      <c r="N394" s="457"/>
      <c r="O394" s="457"/>
      <c r="P394" s="457" t="s">
        <v>2809</v>
      </c>
      <c r="Q394" s="457"/>
      <c r="R394" s="457"/>
      <c r="S394" s="457"/>
      <c r="T394" s="457"/>
      <c r="U394" s="457"/>
      <c r="V394" s="457"/>
      <c r="W394" s="457"/>
      <c r="X394" s="457"/>
      <c r="Y394" s="457"/>
      <c r="Z394" s="457"/>
      <c r="AA394" s="457"/>
      <c r="AB394" s="457"/>
      <c r="AC394" s="457" t="s">
        <v>3103</v>
      </c>
      <c r="AD394" s="457"/>
      <c r="AE394" s="457"/>
      <c r="AF394" s="457"/>
      <c r="AG394" s="457"/>
      <c r="AH394" s="457"/>
      <c r="AI394" s="457"/>
      <c r="AJ394" s="457"/>
      <c r="AK394" s="457"/>
    </row>
    <row r="395" spans="1:37" ht="18.95" customHeight="1" x14ac:dyDescent="0.25">
      <c r="A395" s="437" t="s">
        <v>3104</v>
      </c>
    </row>
    <row r="396" spans="1:37" ht="12.95" customHeight="1" x14ac:dyDescent="0.25">
      <c r="A396" s="437" t="s">
        <v>3072</v>
      </c>
    </row>
    <row r="397" spans="1:37" ht="12.95" customHeight="1" x14ac:dyDescent="0.25">
      <c r="A397" s="437" t="s">
        <v>2888</v>
      </c>
    </row>
    <row r="398" spans="1:37" ht="12.95" customHeight="1" x14ac:dyDescent="0.25">
      <c r="A398" s="436" t="s">
        <v>2812</v>
      </c>
    </row>
    <row r="399" spans="1:37" ht="12.95" customHeight="1" x14ac:dyDescent="0.25">
      <c r="A399" s="436" t="s">
        <v>2975</v>
      </c>
    </row>
    <row r="400" spans="1:37" ht="12.95" customHeight="1" x14ac:dyDescent="0.25">
      <c r="A400" s="437" t="s">
        <v>2976</v>
      </c>
    </row>
    <row r="401" spans="1:37" ht="12.95" customHeight="1" x14ac:dyDescent="0.25">
      <c r="A401" s="436" t="s">
        <v>2977</v>
      </c>
    </row>
    <row r="402" spans="1:37" ht="12.95" customHeight="1" x14ac:dyDescent="0.25">
      <c r="A402" s="437" t="s">
        <v>3105</v>
      </c>
    </row>
    <row r="403" spans="1:37" ht="12.95" customHeight="1" x14ac:dyDescent="0.25">
      <c r="A403" s="436" t="s">
        <v>2979</v>
      </c>
    </row>
    <row r="404" spans="1:37" ht="12.95" customHeight="1" x14ac:dyDescent="0.25">
      <c r="A404" s="437" t="s">
        <v>2980</v>
      </c>
    </row>
    <row r="405" spans="1:37" ht="12.95" customHeight="1" x14ac:dyDescent="0.25">
      <c r="A405" s="436" t="s">
        <v>2674</v>
      </c>
    </row>
    <row r="406" spans="1:37" ht="12.95" customHeight="1" x14ac:dyDescent="0.25">
      <c r="A406" s="436" t="s">
        <v>2683</v>
      </c>
    </row>
    <row r="407" spans="1:37" ht="12.95" customHeight="1" x14ac:dyDescent="0.25">
      <c r="A407" s="455"/>
      <c r="B407" s="456"/>
      <c r="C407" s="448" t="s">
        <v>2675</v>
      </c>
      <c r="D407" s="453"/>
      <c r="E407" s="453"/>
      <c r="F407" s="449"/>
      <c r="G407" s="448" t="s">
        <v>2676</v>
      </c>
      <c r="H407" s="453"/>
      <c r="I407" s="453"/>
      <c r="J407" s="449"/>
      <c r="K407" s="448" t="s">
        <v>2677</v>
      </c>
      <c r="L407" s="449"/>
      <c r="M407" s="448" t="s">
        <v>2678</v>
      </c>
      <c r="N407" s="453"/>
      <c r="O407" s="453"/>
      <c r="P407" s="453"/>
      <c r="Q407" s="453"/>
      <c r="R407" s="449"/>
      <c r="S407" s="448" t="s">
        <v>2679</v>
      </c>
      <c r="T407" s="449"/>
      <c r="U407" s="439" t="s">
        <v>2680</v>
      </c>
      <c r="V407" s="448" t="s">
        <v>2681</v>
      </c>
      <c r="W407" s="453"/>
      <c r="X407" s="449"/>
      <c r="Y407" s="448" t="s">
        <v>2682</v>
      </c>
      <c r="Z407" s="453"/>
      <c r="AA407" s="453"/>
      <c r="AB407" s="453"/>
      <c r="AC407" s="449"/>
      <c r="AD407" s="448" t="s">
        <v>2684</v>
      </c>
      <c r="AE407" s="453"/>
      <c r="AF407" s="449"/>
    </row>
    <row r="408" spans="1:37" ht="12.95" customHeight="1" x14ac:dyDescent="0.25">
      <c r="A408" s="448" t="s">
        <v>2685</v>
      </c>
      <c r="B408" s="449"/>
      <c r="C408" s="450">
        <v>4231</v>
      </c>
      <c r="D408" s="451"/>
      <c r="E408" s="451"/>
      <c r="F408" s="452"/>
      <c r="G408" s="450">
        <v>4938</v>
      </c>
      <c r="H408" s="451"/>
      <c r="I408" s="451"/>
      <c r="J408" s="452"/>
      <c r="K408" s="450">
        <v>6201</v>
      </c>
      <c r="L408" s="452"/>
      <c r="M408" s="450">
        <v>6897</v>
      </c>
      <c r="N408" s="451"/>
      <c r="O408" s="451"/>
      <c r="P408" s="451"/>
      <c r="Q408" s="451"/>
      <c r="R408" s="452"/>
      <c r="S408" s="450">
        <v>6934</v>
      </c>
      <c r="T408" s="452"/>
      <c r="U408" s="443">
        <v>6943</v>
      </c>
      <c r="V408" s="450">
        <v>6846</v>
      </c>
      <c r="W408" s="451"/>
      <c r="X408" s="452"/>
      <c r="Y408" s="450">
        <v>6350</v>
      </c>
      <c r="Z408" s="451"/>
      <c r="AA408" s="451"/>
      <c r="AB408" s="451"/>
      <c r="AC408" s="452"/>
      <c r="AD408" s="445">
        <v>75</v>
      </c>
      <c r="AE408" s="446"/>
      <c r="AF408" s="447"/>
    </row>
    <row r="409" spans="1:37" ht="12.95" customHeight="1" x14ac:dyDescent="0.25">
      <c r="A409" s="448" t="s">
        <v>2686</v>
      </c>
      <c r="B409" s="449"/>
      <c r="C409" s="450">
        <v>4485</v>
      </c>
      <c r="D409" s="451"/>
      <c r="E409" s="451"/>
      <c r="F409" s="452"/>
      <c r="G409" s="450">
        <v>5392</v>
      </c>
      <c r="H409" s="451"/>
      <c r="I409" s="451"/>
      <c r="J409" s="452"/>
      <c r="K409" s="450">
        <v>6568</v>
      </c>
      <c r="L409" s="452"/>
      <c r="M409" s="450">
        <v>7273</v>
      </c>
      <c r="N409" s="451"/>
      <c r="O409" s="451"/>
      <c r="P409" s="451"/>
      <c r="Q409" s="451"/>
      <c r="R409" s="452"/>
      <c r="S409" s="450">
        <v>7983</v>
      </c>
      <c r="T409" s="452"/>
      <c r="U409" s="443">
        <v>7814</v>
      </c>
      <c r="V409" s="450">
        <v>7403</v>
      </c>
      <c r="W409" s="451"/>
      <c r="X409" s="452"/>
      <c r="Y409" s="450">
        <v>6792</v>
      </c>
      <c r="Z409" s="451"/>
      <c r="AA409" s="451"/>
      <c r="AB409" s="451"/>
      <c r="AC409" s="452"/>
      <c r="AD409" s="445">
        <v>83</v>
      </c>
      <c r="AE409" s="446"/>
      <c r="AF409" s="447"/>
    </row>
    <row r="410" spans="1:37" ht="12.95" customHeight="1" x14ac:dyDescent="0.25">
      <c r="A410" s="448" t="s">
        <v>2687</v>
      </c>
      <c r="B410" s="449"/>
      <c r="C410" s="450">
        <v>931</v>
      </c>
      <c r="D410" s="451"/>
      <c r="E410" s="451"/>
      <c r="F410" s="452"/>
      <c r="G410" s="450">
        <v>2438</v>
      </c>
      <c r="H410" s="451"/>
      <c r="I410" s="451"/>
      <c r="J410" s="452"/>
      <c r="K410" s="450">
        <v>3801</v>
      </c>
      <c r="L410" s="452"/>
      <c r="M410" s="450">
        <v>4397</v>
      </c>
      <c r="N410" s="451"/>
      <c r="O410" s="451"/>
      <c r="P410" s="451"/>
      <c r="Q410" s="451"/>
      <c r="R410" s="452"/>
      <c r="S410" s="450">
        <v>4734</v>
      </c>
      <c r="T410" s="452"/>
      <c r="U410" s="443">
        <v>4643</v>
      </c>
      <c r="V410" s="450">
        <v>4246</v>
      </c>
      <c r="W410" s="451"/>
      <c r="X410" s="452"/>
      <c r="Y410" s="450">
        <v>335</v>
      </c>
      <c r="Z410" s="451"/>
      <c r="AA410" s="451"/>
      <c r="AB410" s="451"/>
      <c r="AC410" s="452"/>
      <c r="AD410" s="445">
        <v>51</v>
      </c>
      <c r="AE410" s="446"/>
      <c r="AF410" s="447"/>
    </row>
    <row r="411" spans="1:37" ht="12.95" customHeight="1" x14ac:dyDescent="0.25">
      <c r="A411" s="436" t="s">
        <v>2822</v>
      </c>
    </row>
    <row r="412" spans="1:37" ht="12.95" customHeight="1" x14ac:dyDescent="0.25">
      <c r="A412" s="455"/>
      <c r="B412" s="456"/>
      <c r="C412" s="448" t="s">
        <v>2675</v>
      </c>
      <c r="D412" s="453"/>
      <c r="E412" s="453"/>
      <c r="F412" s="449"/>
      <c r="G412" s="448" t="s">
        <v>2676</v>
      </c>
      <c r="H412" s="453"/>
      <c r="I412" s="453"/>
      <c r="J412" s="449"/>
      <c r="K412" s="448" t="s">
        <v>2677</v>
      </c>
      <c r="L412" s="449"/>
      <c r="M412" s="448" t="s">
        <v>2678</v>
      </c>
      <c r="N412" s="453"/>
      <c r="O412" s="453"/>
      <c r="P412" s="453"/>
      <c r="Q412" s="453"/>
      <c r="R412" s="449"/>
      <c r="S412" s="448" t="s">
        <v>2679</v>
      </c>
      <c r="T412" s="449"/>
      <c r="U412" s="439" t="s">
        <v>2680</v>
      </c>
      <c r="V412" s="448" t="s">
        <v>2681</v>
      </c>
      <c r="W412" s="453"/>
      <c r="X412" s="449"/>
      <c r="Y412" s="448" t="s">
        <v>2682</v>
      </c>
      <c r="Z412" s="453"/>
      <c r="AA412" s="453"/>
      <c r="AB412" s="453"/>
      <c r="AC412" s="449"/>
      <c r="AD412" s="448" t="s">
        <v>2684</v>
      </c>
      <c r="AE412" s="453"/>
      <c r="AF412" s="449"/>
    </row>
    <row r="413" spans="1:37" ht="12.95" customHeight="1" x14ac:dyDescent="0.25">
      <c r="A413" s="448" t="s">
        <v>2685</v>
      </c>
      <c r="B413" s="449"/>
      <c r="C413" s="450">
        <v>3780</v>
      </c>
      <c r="D413" s="451"/>
      <c r="E413" s="451"/>
      <c r="F413" s="452"/>
      <c r="G413" s="450">
        <v>4653</v>
      </c>
      <c r="H413" s="451"/>
      <c r="I413" s="451"/>
      <c r="J413" s="452"/>
      <c r="K413" s="450">
        <v>6008</v>
      </c>
      <c r="L413" s="452"/>
      <c r="M413" s="450">
        <v>6568</v>
      </c>
      <c r="N413" s="451"/>
      <c r="O413" s="451"/>
      <c r="P413" s="451"/>
      <c r="Q413" s="451"/>
      <c r="R413" s="452"/>
      <c r="S413" s="450">
        <v>6549</v>
      </c>
      <c r="T413" s="452"/>
      <c r="U413" s="443">
        <v>6700</v>
      </c>
      <c r="V413" s="450">
        <v>6604</v>
      </c>
      <c r="W413" s="451"/>
      <c r="X413" s="452"/>
      <c r="Y413" s="450">
        <v>6035</v>
      </c>
      <c r="Z413" s="451"/>
      <c r="AA413" s="451"/>
      <c r="AB413" s="451"/>
      <c r="AC413" s="452"/>
      <c r="AD413" s="445">
        <v>73</v>
      </c>
      <c r="AE413" s="446"/>
      <c r="AF413" s="447"/>
    </row>
    <row r="414" spans="1:37" ht="12.95" customHeight="1" x14ac:dyDescent="0.25">
      <c r="A414" s="448" t="s">
        <v>2686</v>
      </c>
      <c r="B414" s="449"/>
      <c r="C414" s="450">
        <v>3993</v>
      </c>
      <c r="D414" s="451"/>
      <c r="E414" s="451"/>
      <c r="F414" s="452"/>
      <c r="G414" s="450">
        <v>4996</v>
      </c>
      <c r="H414" s="451"/>
      <c r="I414" s="451"/>
      <c r="J414" s="452"/>
      <c r="K414" s="450">
        <v>6412</v>
      </c>
      <c r="L414" s="452"/>
      <c r="M414" s="450">
        <v>7013</v>
      </c>
      <c r="N414" s="451"/>
      <c r="O414" s="451"/>
      <c r="P414" s="451"/>
      <c r="Q414" s="451"/>
      <c r="R414" s="452"/>
      <c r="S414" s="450">
        <v>7637</v>
      </c>
      <c r="T414" s="452"/>
      <c r="U414" s="443">
        <v>7511</v>
      </c>
      <c r="V414" s="450">
        <v>7268</v>
      </c>
      <c r="W414" s="451"/>
      <c r="X414" s="452"/>
      <c r="Y414" s="450">
        <v>6468</v>
      </c>
      <c r="Z414" s="451"/>
      <c r="AA414" s="451"/>
      <c r="AB414" s="451"/>
      <c r="AC414" s="452"/>
      <c r="AD414" s="445">
        <v>80</v>
      </c>
      <c r="AE414" s="446"/>
      <c r="AF414" s="447"/>
    </row>
    <row r="415" spans="1:37" ht="12.95" customHeight="1" x14ac:dyDescent="0.25">
      <c r="A415" s="448" t="s">
        <v>2687</v>
      </c>
      <c r="B415" s="449"/>
      <c r="C415" s="471">
        <v>48</v>
      </c>
      <c r="D415" s="472"/>
      <c r="E415" s="472"/>
      <c r="F415" s="473"/>
      <c r="G415" s="450">
        <v>2153</v>
      </c>
      <c r="H415" s="451"/>
      <c r="I415" s="451"/>
      <c r="J415" s="452"/>
      <c r="K415" s="450">
        <v>3608</v>
      </c>
      <c r="L415" s="452"/>
      <c r="M415" s="450">
        <v>4068</v>
      </c>
      <c r="N415" s="451"/>
      <c r="O415" s="451"/>
      <c r="P415" s="451"/>
      <c r="Q415" s="451"/>
      <c r="R415" s="452"/>
      <c r="S415" s="450">
        <v>4349</v>
      </c>
      <c r="T415" s="452"/>
      <c r="U415" s="444">
        <v>44</v>
      </c>
      <c r="V415" s="450">
        <v>4004</v>
      </c>
      <c r="W415" s="451"/>
      <c r="X415" s="452"/>
      <c r="Y415" s="450">
        <v>3035</v>
      </c>
      <c r="Z415" s="451"/>
      <c r="AA415" s="451"/>
      <c r="AB415" s="451"/>
      <c r="AC415" s="452"/>
      <c r="AD415" s="445">
        <v>49</v>
      </c>
      <c r="AE415" s="446"/>
      <c r="AF415" s="447"/>
    </row>
    <row r="416" spans="1:37" ht="17.100000000000001" customHeight="1" x14ac:dyDescent="0.25">
      <c r="A416" s="464" t="s">
        <v>2847</v>
      </c>
      <c r="B416" s="464"/>
      <c r="C416" s="464"/>
      <c r="D416" s="465" t="s">
        <v>2889</v>
      </c>
      <c r="E416" s="465"/>
      <c r="F416" s="465"/>
      <c r="G416" s="465"/>
      <c r="H416" s="465"/>
      <c r="I416" s="465"/>
      <c r="J416" s="465"/>
      <c r="K416" s="465"/>
      <c r="L416" s="465"/>
      <c r="M416" s="465"/>
      <c r="N416" s="465"/>
      <c r="O416" s="464" t="s">
        <v>2848</v>
      </c>
      <c r="P416" s="464"/>
      <c r="Q416" s="464"/>
      <c r="R416" s="464"/>
      <c r="S416" s="464"/>
      <c r="T416" s="464"/>
      <c r="U416" s="464"/>
      <c r="V416" s="465" t="s">
        <v>3106</v>
      </c>
      <c r="W416" s="465"/>
      <c r="X416" s="465"/>
      <c r="Y416" s="465"/>
      <c r="Z416" s="465"/>
      <c r="AA416" s="465"/>
      <c r="AB416" s="465"/>
      <c r="AC416" s="465"/>
      <c r="AD416" s="465"/>
      <c r="AE416" s="465"/>
      <c r="AF416" s="465"/>
      <c r="AG416" s="465"/>
      <c r="AH416" s="465"/>
      <c r="AI416" s="465"/>
      <c r="AJ416" s="465"/>
      <c r="AK416" s="465"/>
    </row>
    <row r="417" spans="1:37" ht="27" customHeight="1" x14ac:dyDescent="0.25">
      <c r="A417" s="454" t="s">
        <v>2891</v>
      </c>
      <c r="B417" s="454"/>
      <c r="C417" s="454"/>
      <c r="D417" s="462" t="s">
        <v>2892</v>
      </c>
      <c r="E417" s="462"/>
      <c r="F417" s="462"/>
      <c r="G417" s="462"/>
      <c r="H417" s="462"/>
      <c r="I417" s="462"/>
      <c r="J417" s="462"/>
      <c r="K417" s="462"/>
      <c r="L417" s="462"/>
      <c r="M417" s="462"/>
      <c r="N417" s="462"/>
      <c r="O417" s="454" t="s">
        <v>2893</v>
      </c>
      <c r="P417" s="454"/>
      <c r="Q417" s="454"/>
      <c r="R417" s="454"/>
      <c r="S417" s="454"/>
      <c r="T417" s="454"/>
      <c r="U417" s="454"/>
      <c r="V417" s="462" t="s">
        <v>2894</v>
      </c>
      <c r="W417" s="462"/>
      <c r="X417" s="462"/>
      <c r="Y417" s="462"/>
      <c r="Z417" s="462"/>
      <c r="AA417" s="462"/>
      <c r="AB417" s="462"/>
      <c r="AC417" s="462"/>
      <c r="AD417" s="462"/>
      <c r="AE417" s="462"/>
      <c r="AF417" s="462"/>
      <c r="AG417" s="462"/>
      <c r="AH417" s="462"/>
      <c r="AI417" s="462"/>
      <c r="AJ417" s="462"/>
      <c r="AK417" s="462"/>
    </row>
    <row r="418" spans="1:37" ht="15" customHeight="1" x14ac:dyDescent="0.25">
      <c r="A418" s="432" t="s">
        <v>3107</v>
      </c>
    </row>
    <row r="419" spans="1:37" ht="12" customHeight="1" x14ac:dyDescent="0.25">
      <c r="A419" s="434" t="s">
        <v>2849</v>
      </c>
    </row>
    <row r="420" spans="1:37" ht="12" customHeight="1" x14ac:dyDescent="0.25">
      <c r="A420" s="434" t="s">
        <v>2850</v>
      </c>
    </row>
    <row r="421" spans="1:37" ht="14.1" customHeight="1" x14ac:dyDescent="0.25">
      <c r="A421" s="435" t="s">
        <v>2896</v>
      </c>
    </row>
    <row r="422" spans="1:37" ht="15" customHeight="1" x14ac:dyDescent="0.25">
      <c r="A422" s="460" t="s">
        <v>2858</v>
      </c>
      <c r="B422" s="460"/>
      <c r="C422" s="460"/>
      <c r="D422" s="460"/>
      <c r="E422" s="470">
        <v>707</v>
      </c>
      <c r="F422" s="470"/>
      <c r="G422" s="470"/>
      <c r="H422" s="470"/>
      <c r="I422" s="470"/>
      <c r="J422" s="470"/>
      <c r="K422" s="470"/>
      <c r="L422" s="460" t="s">
        <v>2859</v>
      </c>
      <c r="M422" s="460"/>
      <c r="N422" s="460"/>
      <c r="O422" s="460"/>
      <c r="P422" s="460"/>
      <c r="Q422" s="460"/>
      <c r="R422" s="460"/>
      <c r="S422" s="460"/>
      <c r="T422" s="460"/>
      <c r="U422" s="460"/>
      <c r="V422" s="460"/>
      <c r="W422" s="460"/>
      <c r="X422" s="462" t="s">
        <v>2860</v>
      </c>
      <c r="Y422" s="462"/>
      <c r="Z422" s="462"/>
      <c r="AA422" s="462"/>
      <c r="AB422" s="462"/>
      <c r="AC422" s="462"/>
      <c r="AD422" s="462"/>
    </row>
    <row r="423" spans="1:37" ht="9.9499999999999993" customHeight="1" x14ac:dyDescent="0.25">
      <c r="A423" s="460" t="s">
        <v>2851</v>
      </c>
      <c r="B423" s="460"/>
      <c r="C423" s="460"/>
      <c r="D423" s="460"/>
      <c r="E423" s="463">
        <v>45</v>
      </c>
      <c r="F423" s="463"/>
      <c r="G423" s="463"/>
      <c r="H423" s="463"/>
      <c r="I423" s="463"/>
      <c r="J423" s="463"/>
      <c r="K423" s="463"/>
      <c r="L423" s="460" t="s">
        <v>2861</v>
      </c>
      <c r="M423" s="460"/>
      <c r="N423" s="460"/>
      <c r="O423" s="460"/>
      <c r="P423" s="460"/>
      <c r="Q423" s="460"/>
      <c r="R423" s="460"/>
      <c r="S423" s="460"/>
      <c r="T423" s="460"/>
      <c r="U423" s="460"/>
      <c r="V423" s="460"/>
      <c r="W423" s="460"/>
      <c r="X423" s="462" t="s">
        <v>2862</v>
      </c>
      <c r="Y423" s="462"/>
      <c r="Z423" s="462"/>
      <c r="AA423" s="462"/>
      <c r="AB423" s="462"/>
      <c r="AC423" s="462"/>
      <c r="AD423" s="462"/>
    </row>
    <row r="424" spans="1:37" ht="9.9499999999999993" customHeight="1" x14ac:dyDescent="0.25">
      <c r="A424" s="460" t="s">
        <v>2876</v>
      </c>
      <c r="B424" s="460"/>
      <c r="C424" s="460"/>
      <c r="D424" s="460"/>
      <c r="E424" s="462" t="s">
        <v>2877</v>
      </c>
      <c r="F424" s="462"/>
      <c r="G424" s="462"/>
      <c r="H424" s="462"/>
      <c r="I424" s="462"/>
      <c r="J424" s="462"/>
      <c r="K424" s="462"/>
      <c r="L424" s="460" t="s">
        <v>2863</v>
      </c>
      <c r="M424" s="460"/>
      <c r="N424" s="460"/>
      <c r="O424" s="460"/>
      <c r="P424" s="460"/>
      <c r="Q424" s="460"/>
      <c r="R424" s="460"/>
      <c r="S424" s="460"/>
      <c r="T424" s="460"/>
      <c r="U424" s="460"/>
      <c r="V424" s="460"/>
      <c r="W424" s="460"/>
      <c r="X424" s="462" t="s">
        <v>2897</v>
      </c>
      <c r="Y424" s="462"/>
      <c r="Z424" s="462"/>
      <c r="AA424" s="462"/>
      <c r="AB424" s="462"/>
      <c r="AC424" s="462"/>
      <c r="AD424" s="462"/>
    </row>
    <row r="425" spans="1:37" ht="15" customHeight="1" x14ac:dyDescent="0.25">
      <c r="A425" s="460" t="s">
        <v>2878</v>
      </c>
      <c r="B425" s="460"/>
      <c r="C425" s="460"/>
      <c r="D425" s="460"/>
      <c r="E425" s="462" t="s">
        <v>2879</v>
      </c>
      <c r="F425" s="462"/>
      <c r="G425" s="462"/>
      <c r="H425" s="462"/>
      <c r="I425" s="462"/>
      <c r="J425" s="462"/>
      <c r="K425" s="462"/>
      <c r="L425" s="454"/>
      <c r="M425" s="454"/>
      <c r="N425" s="454"/>
      <c r="O425" s="454"/>
      <c r="P425" s="454"/>
      <c r="Q425" s="454"/>
      <c r="R425" s="454"/>
      <c r="S425" s="454"/>
      <c r="T425" s="454"/>
      <c r="U425" s="454"/>
      <c r="V425" s="454"/>
      <c r="W425" s="454"/>
      <c r="X425" s="454"/>
      <c r="Y425" s="454"/>
      <c r="Z425" s="454"/>
      <c r="AA425" s="454"/>
      <c r="AB425" s="454"/>
      <c r="AC425" s="454"/>
      <c r="AD425" s="454"/>
    </row>
    <row r="426" spans="1:37" ht="20.100000000000001" customHeight="1" x14ac:dyDescent="0.25">
      <c r="A426" s="454"/>
      <c r="B426" s="454"/>
      <c r="C426" s="454"/>
      <c r="D426" s="454"/>
      <c r="E426" s="454"/>
      <c r="F426" s="460" t="s">
        <v>2864</v>
      </c>
      <c r="G426" s="460"/>
      <c r="H426" s="460"/>
      <c r="I426" s="460"/>
      <c r="J426" s="460"/>
      <c r="K426" s="460"/>
      <c r="L426" s="460"/>
      <c r="M426" s="460"/>
      <c r="N426" s="460"/>
      <c r="O426" s="460"/>
      <c r="P426" s="460"/>
      <c r="Q426" s="460"/>
      <c r="R426" s="460" t="s">
        <v>2865</v>
      </c>
      <c r="S426" s="460"/>
      <c r="T426" s="460"/>
      <c r="U426" s="460"/>
      <c r="V426" s="460"/>
    </row>
    <row r="427" spans="1:37" ht="15.95" customHeight="1" x14ac:dyDescent="0.25">
      <c r="A427" s="460" t="s">
        <v>2854</v>
      </c>
      <c r="B427" s="460"/>
      <c r="C427" s="460"/>
      <c r="D427" s="460"/>
      <c r="E427" s="460"/>
      <c r="F427" s="463">
        <v>3450</v>
      </c>
      <c r="G427" s="463"/>
      <c r="H427" s="463"/>
      <c r="I427" s="463"/>
      <c r="J427" s="463"/>
      <c r="K427" s="463"/>
      <c r="L427" s="463"/>
      <c r="M427" s="463"/>
      <c r="N427" s="463"/>
      <c r="O427" s="463"/>
      <c r="P427" s="463"/>
      <c r="Q427" s="463"/>
      <c r="R427" s="463">
        <v>3700</v>
      </c>
      <c r="S427" s="463"/>
      <c r="T427" s="463"/>
      <c r="U427" s="463"/>
      <c r="V427" s="463"/>
    </row>
    <row r="428" spans="1:37" ht="9.9499999999999993" customHeight="1" x14ac:dyDescent="0.25">
      <c r="A428" s="460" t="s">
        <v>2866</v>
      </c>
      <c r="B428" s="460"/>
      <c r="C428" s="460"/>
      <c r="D428" s="460"/>
      <c r="E428" s="460"/>
      <c r="F428" s="463">
        <v>500</v>
      </c>
      <c r="G428" s="463"/>
      <c r="H428" s="463"/>
      <c r="I428" s="463"/>
      <c r="J428" s="463"/>
      <c r="K428" s="463"/>
      <c r="L428" s="463"/>
      <c r="M428" s="463"/>
      <c r="N428" s="463"/>
      <c r="O428" s="463"/>
      <c r="P428" s="463"/>
      <c r="Q428" s="463"/>
      <c r="R428" s="463">
        <v>500</v>
      </c>
      <c r="S428" s="463"/>
      <c r="T428" s="463"/>
      <c r="U428" s="463"/>
      <c r="V428" s="463"/>
    </row>
    <row r="429" spans="1:37" ht="9.9499999999999993" customHeight="1" x14ac:dyDescent="0.25">
      <c r="A429" s="460" t="s">
        <v>2867</v>
      </c>
      <c r="B429" s="460"/>
      <c r="C429" s="460"/>
      <c r="D429" s="460"/>
      <c r="E429" s="460"/>
      <c r="F429" s="463">
        <v>1463</v>
      </c>
      <c r="G429" s="463"/>
      <c r="H429" s="463"/>
      <c r="I429" s="463"/>
      <c r="J429" s="463"/>
      <c r="K429" s="463"/>
      <c r="L429" s="463"/>
      <c r="M429" s="463"/>
      <c r="N429" s="463"/>
      <c r="O429" s="463"/>
      <c r="P429" s="463"/>
      <c r="Q429" s="463"/>
      <c r="R429" s="463">
        <v>942</v>
      </c>
      <c r="S429" s="463"/>
      <c r="T429" s="463"/>
      <c r="U429" s="463"/>
      <c r="V429" s="463"/>
    </row>
    <row r="430" spans="1:37" ht="15" customHeight="1" x14ac:dyDescent="0.25">
      <c r="A430" s="460" t="s">
        <v>2868</v>
      </c>
      <c r="B430" s="460"/>
      <c r="C430" s="460"/>
      <c r="D430" s="460"/>
      <c r="E430" s="460"/>
      <c r="F430" s="461">
        <v>227</v>
      </c>
      <c r="G430" s="461"/>
      <c r="H430" s="461"/>
      <c r="I430" s="461"/>
      <c r="J430" s="461"/>
      <c r="K430" s="461"/>
      <c r="L430" s="461"/>
      <c r="M430" s="461"/>
      <c r="N430" s="461"/>
      <c r="O430" s="461"/>
      <c r="P430" s="461"/>
      <c r="Q430" s="461"/>
      <c r="R430" s="461">
        <v>243</v>
      </c>
      <c r="S430" s="461"/>
      <c r="T430" s="461"/>
      <c r="U430" s="461"/>
      <c r="V430" s="461"/>
    </row>
    <row r="431" spans="1:37" ht="15" customHeight="1" x14ac:dyDescent="0.25">
      <c r="A431" s="433" t="s">
        <v>2869</v>
      </c>
    </row>
    <row r="432" spans="1:37" ht="15" customHeight="1" x14ac:dyDescent="0.25">
      <c r="A432" s="433" t="s">
        <v>2870</v>
      </c>
    </row>
    <row r="433" spans="1:1" ht="15" customHeight="1" x14ac:dyDescent="0.25">
      <c r="A433" s="433" t="s">
        <v>2855</v>
      </c>
    </row>
    <row r="434" spans="1:1" ht="12.95" customHeight="1" x14ac:dyDescent="0.25">
      <c r="A434" s="436" t="s">
        <v>2898</v>
      </c>
    </row>
    <row r="435" spans="1:1" ht="12.95" customHeight="1" x14ac:dyDescent="0.25">
      <c r="A435" s="436" t="s">
        <v>2899</v>
      </c>
    </row>
    <row r="436" spans="1:1" ht="12.95" customHeight="1" x14ac:dyDescent="0.25">
      <c r="A436" s="437" t="s">
        <v>2900</v>
      </c>
    </row>
    <row r="437" spans="1:1" ht="12.95" customHeight="1" x14ac:dyDescent="0.25">
      <c r="A437" s="436" t="s">
        <v>2901</v>
      </c>
    </row>
    <row r="438" spans="1:1" ht="12.95" customHeight="1" x14ac:dyDescent="0.25">
      <c r="A438" s="437" t="s">
        <v>3108</v>
      </c>
    </row>
    <row r="439" spans="1:1" ht="12.95" customHeight="1" x14ac:dyDescent="0.25">
      <c r="A439" s="436" t="s">
        <v>2903</v>
      </c>
    </row>
    <row r="440" spans="1:1" ht="12.95" customHeight="1" x14ac:dyDescent="0.25">
      <c r="A440" s="437" t="s">
        <v>3109</v>
      </c>
    </row>
    <row r="441" spans="1:1" ht="12.95" customHeight="1" x14ac:dyDescent="0.25">
      <c r="A441" s="442" t="s">
        <v>2905</v>
      </c>
    </row>
    <row r="442" spans="1:1" ht="18" customHeight="1" x14ac:dyDescent="0.25">
      <c r="A442" s="437" t="s">
        <v>2906</v>
      </c>
    </row>
    <row r="443" spans="1:1" ht="18" customHeight="1" x14ac:dyDescent="0.25">
      <c r="A443" s="437" t="s">
        <v>2813</v>
      </c>
    </row>
    <row r="444" spans="1:1" ht="12.95" customHeight="1" x14ac:dyDescent="0.25">
      <c r="A444" s="436" t="s">
        <v>2907</v>
      </c>
    </row>
    <row r="445" spans="1:1" ht="12.95" customHeight="1" x14ac:dyDescent="0.25">
      <c r="A445" s="437" t="s">
        <v>3110</v>
      </c>
    </row>
    <row r="446" spans="1:1" ht="12.95" customHeight="1" x14ac:dyDescent="0.25">
      <c r="A446" s="437" t="s">
        <v>2909</v>
      </c>
    </row>
    <row r="447" spans="1:1" ht="12.95" customHeight="1" x14ac:dyDescent="0.25">
      <c r="A447" s="437" t="s">
        <v>2813</v>
      </c>
    </row>
    <row r="448" spans="1:1" ht="12.95" customHeight="1" x14ac:dyDescent="0.25">
      <c r="A448" s="436" t="s">
        <v>2910</v>
      </c>
    </row>
    <row r="449" spans="1:1" ht="14.1" customHeight="1" x14ac:dyDescent="0.25">
      <c r="A449" s="432" t="s">
        <v>3111</v>
      </c>
    </row>
    <row r="450" spans="1:1" ht="18.95" customHeight="1" x14ac:dyDescent="0.25">
      <c r="A450" s="437" t="s">
        <v>3112</v>
      </c>
    </row>
    <row r="451" spans="1:1" ht="12.95" customHeight="1" x14ac:dyDescent="0.25">
      <c r="A451" s="437" t="s">
        <v>3113</v>
      </c>
    </row>
    <row r="452" spans="1:1" ht="12.95" customHeight="1" x14ac:dyDescent="0.25">
      <c r="A452" s="437" t="s">
        <v>3114</v>
      </c>
    </row>
    <row r="453" spans="1:1" ht="12.95" customHeight="1" x14ac:dyDescent="0.25">
      <c r="A453" s="436" t="s">
        <v>2812</v>
      </c>
    </row>
    <row r="454" spans="1:1" ht="12.95" customHeight="1" x14ac:dyDescent="0.25">
      <c r="A454" s="436" t="s">
        <v>2915</v>
      </c>
    </row>
    <row r="455" spans="1:1" ht="14.1" customHeight="1" x14ac:dyDescent="0.25">
      <c r="A455" s="432" t="s">
        <v>3115</v>
      </c>
    </row>
    <row r="456" spans="1:1" ht="12.95" customHeight="1" x14ac:dyDescent="0.25">
      <c r="A456" s="437" t="s">
        <v>2814</v>
      </c>
    </row>
    <row r="457" spans="1:1" ht="18" customHeight="1" x14ac:dyDescent="0.25">
      <c r="A457" s="437" t="s">
        <v>2917</v>
      </c>
    </row>
    <row r="458" spans="1:1" ht="12.95" customHeight="1" x14ac:dyDescent="0.25">
      <c r="A458" s="437" t="s">
        <v>2814</v>
      </c>
    </row>
    <row r="459" spans="1:1" ht="18" customHeight="1" x14ac:dyDescent="0.25">
      <c r="A459" s="437" t="s">
        <v>3116</v>
      </c>
    </row>
    <row r="460" spans="1:1" ht="18.95" customHeight="1" x14ac:dyDescent="0.25">
      <c r="A460" s="437" t="s">
        <v>2919</v>
      </c>
    </row>
    <row r="461" spans="1:1" ht="18.95" customHeight="1" x14ac:dyDescent="0.25">
      <c r="A461" s="432" t="s">
        <v>2991</v>
      </c>
    </row>
    <row r="462" spans="1:1" ht="18.95" customHeight="1" x14ac:dyDescent="0.25">
      <c r="A462" s="432" t="s">
        <v>3117</v>
      </c>
    </row>
    <row r="463" spans="1:1" ht="18.95" customHeight="1" x14ac:dyDescent="0.25">
      <c r="A463" s="437" t="s">
        <v>2813</v>
      </c>
    </row>
    <row r="464" spans="1:1" ht="18.95" customHeight="1" x14ac:dyDescent="0.25">
      <c r="A464" s="436" t="s">
        <v>2812</v>
      </c>
    </row>
    <row r="465" spans="1:37" ht="18.95" customHeight="1" x14ac:dyDescent="0.25">
      <c r="A465" s="437" t="s">
        <v>2817</v>
      </c>
    </row>
    <row r="466" spans="1:37" ht="12.95" customHeight="1" x14ac:dyDescent="0.25">
      <c r="A466" s="436" t="s">
        <v>2921</v>
      </c>
    </row>
    <row r="467" spans="1:37" ht="14.1" customHeight="1" x14ac:dyDescent="0.25">
      <c r="A467" s="432" t="s">
        <v>2922</v>
      </c>
    </row>
    <row r="468" spans="1:37" ht="18" customHeight="1" x14ac:dyDescent="0.25">
      <c r="A468" s="432" t="s">
        <v>3118</v>
      </c>
    </row>
    <row r="469" spans="1:37" ht="12.95" customHeight="1" x14ac:dyDescent="0.25">
      <c r="A469" s="437" t="s">
        <v>2924</v>
      </c>
    </row>
    <row r="470" spans="1:37" ht="12.95" customHeight="1" x14ac:dyDescent="0.25">
      <c r="A470" s="437" t="s">
        <v>2814</v>
      </c>
    </row>
    <row r="471" spans="1:37" ht="18" customHeight="1" x14ac:dyDescent="0.25">
      <c r="A471" s="437" t="s">
        <v>3119</v>
      </c>
    </row>
    <row r="472" spans="1:37" ht="24.95" customHeight="1" x14ac:dyDescent="0.25">
      <c r="A472" s="454" t="s">
        <v>2926</v>
      </c>
      <c r="B472" s="454"/>
      <c r="C472" s="454"/>
      <c r="D472" s="454"/>
      <c r="E472" s="454"/>
      <c r="F472" s="454"/>
      <c r="G472" s="454"/>
      <c r="H472" s="454"/>
      <c r="I472" s="454" t="s">
        <v>3120</v>
      </c>
      <c r="J472" s="454"/>
      <c r="K472" s="454"/>
      <c r="L472" s="454"/>
      <c r="M472" s="454"/>
      <c r="N472" s="454"/>
      <c r="O472" s="454"/>
      <c r="P472" s="454"/>
      <c r="Q472" s="454"/>
      <c r="R472" s="454" t="s">
        <v>2928</v>
      </c>
      <c r="S472" s="454"/>
      <c r="T472" s="454"/>
      <c r="U472" s="454"/>
      <c r="V472" s="454"/>
      <c r="W472" s="454"/>
      <c r="X472" s="454"/>
      <c r="Y472" s="454"/>
      <c r="Z472" s="454"/>
      <c r="AA472" s="454"/>
      <c r="AB472" s="454" t="s">
        <v>3121</v>
      </c>
      <c r="AC472" s="454"/>
      <c r="AD472" s="454"/>
      <c r="AE472" s="454"/>
      <c r="AF472" s="454"/>
      <c r="AG472" s="454"/>
      <c r="AH472" s="454"/>
      <c r="AI472" s="454"/>
      <c r="AJ472" s="454"/>
    </row>
    <row r="473" spans="1:37" ht="12" customHeight="1" x14ac:dyDescent="0.25">
      <c r="A473" s="457" t="s">
        <v>2930</v>
      </c>
      <c r="B473" s="457"/>
      <c r="C473" s="457"/>
      <c r="D473" s="457"/>
      <c r="E473" s="457"/>
      <c r="F473" s="457"/>
      <c r="G473" s="457"/>
      <c r="H473" s="457"/>
      <c r="I473" s="454" t="s">
        <v>3122</v>
      </c>
      <c r="J473" s="454"/>
      <c r="K473" s="454"/>
      <c r="L473" s="454"/>
      <c r="M473" s="454"/>
      <c r="N473" s="454"/>
      <c r="O473" s="454"/>
      <c r="P473" s="454"/>
      <c r="Q473" s="454"/>
      <c r="R473" s="457" t="s">
        <v>2932</v>
      </c>
      <c r="S473" s="457"/>
      <c r="T473" s="457"/>
      <c r="U473" s="457"/>
      <c r="V473" s="457"/>
      <c r="W473" s="457"/>
      <c r="X473" s="457"/>
      <c r="Y473" s="457"/>
      <c r="Z473" s="457"/>
      <c r="AA473" s="457"/>
      <c r="AB473" s="457" t="s">
        <v>3123</v>
      </c>
      <c r="AC473" s="457"/>
      <c r="AD473" s="457"/>
      <c r="AE473" s="457"/>
      <c r="AF473" s="457"/>
      <c r="AG473" s="457"/>
      <c r="AH473" s="457"/>
      <c r="AI473" s="457"/>
      <c r="AJ473" s="457"/>
    </row>
    <row r="474" spans="1:37" ht="12.95" customHeight="1" x14ac:dyDescent="0.25">
      <c r="A474" s="454" t="s">
        <v>3124</v>
      </c>
      <c r="B474" s="454"/>
      <c r="C474" s="454"/>
      <c r="D474" s="454"/>
      <c r="E474" s="454"/>
      <c r="F474" s="454"/>
      <c r="G474" s="454"/>
      <c r="H474" s="454"/>
      <c r="I474" s="454"/>
      <c r="J474" s="454"/>
      <c r="K474" s="454"/>
      <c r="L474" s="454"/>
      <c r="M474" s="454"/>
      <c r="N474" s="454"/>
      <c r="O474" s="454"/>
      <c r="P474" s="454"/>
      <c r="Q474" s="454"/>
      <c r="R474" s="457" t="s">
        <v>2935</v>
      </c>
      <c r="S474" s="457"/>
      <c r="T474" s="457"/>
      <c r="U474" s="457"/>
      <c r="V474" s="457"/>
      <c r="W474" s="457"/>
      <c r="X474" s="457"/>
      <c r="Y474" s="457"/>
      <c r="Z474" s="457"/>
      <c r="AA474" s="457"/>
      <c r="AB474" s="469">
        <v>1</v>
      </c>
      <c r="AC474" s="469"/>
      <c r="AD474" s="469"/>
      <c r="AE474" s="469"/>
      <c r="AF474" s="469"/>
      <c r="AG474" s="469"/>
      <c r="AH474" s="469"/>
      <c r="AI474" s="469"/>
      <c r="AJ474" s="469"/>
    </row>
    <row r="475" spans="1:37" ht="27.95" customHeight="1" x14ac:dyDescent="0.25">
      <c r="A475" s="454" t="s">
        <v>3125</v>
      </c>
      <c r="B475" s="454"/>
      <c r="C475" s="454"/>
      <c r="D475" s="454"/>
      <c r="E475" s="454"/>
      <c r="F475" s="454"/>
      <c r="G475" s="454"/>
      <c r="H475" s="454"/>
      <c r="I475" s="454"/>
      <c r="J475" s="454"/>
      <c r="K475" s="454"/>
      <c r="L475" s="454"/>
      <c r="M475" s="454"/>
      <c r="N475" s="454"/>
      <c r="O475" s="454"/>
      <c r="P475" s="454"/>
      <c r="Q475" s="454"/>
      <c r="R475" s="454" t="s">
        <v>2937</v>
      </c>
      <c r="S475" s="454"/>
      <c r="T475" s="454"/>
      <c r="U475" s="454"/>
      <c r="V475" s="454"/>
      <c r="W475" s="454"/>
      <c r="X475" s="454"/>
      <c r="Y475" s="454"/>
      <c r="Z475" s="454"/>
      <c r="AA475" s="454"/>
      <c r="AB475" s="454" t="s">
        <v>3126</v>
      </c>
      <c r="AC475" s="454"/>
      <c r="AD475" s="454"/>
      <c r="AE475" s="454"/>
      <c r="AF475" s="454"/>
      <c r="AG475" s="454"/>
      <c r="AH475" s="454"/>
      <c r="AI475" s="454"/>
      <c r="AJ475" s="454"/>
    </row>
    <row r="476" spans="1:37" ht="12.95" customHeight="1" x14ac:dyDescent="0.25">
      <c r="A476" s="436" t="s">
        <v>2812</v>
      </c>
    </row>
    <row r="477" spans="1:37" ht="12.95" customHeight="1" x14ac:dyDescent="0.25">
      <c r="A477" s="437" t="s">
        <v>2817</v>
      </c>
    </row>
    <row r="478" spans="1:37" ht="12.95" customHeight="1" x14ac:dyDescent="0.25">
      <c r="A478" s="436" t="s">
        <v>2939</v>
      </c>
    </row>
    <row r="479" spans="1:37" ht="29.1" customHeight="1" x14ac:dyDescent="0.25">
      <c r="A479" s="468" t="s">
        <v>2940</v>
      </c>
      <c r="B479" s="468"/>
      <c r="C479" s="468"/>
      <c r="D479" s="468"/>
      <c r="E479" s="468"/>
      <c r="F479" s="468"/>
      <c r="G479" s="468"/>
      <c r="H479" s="468"/>
      <c r="I479" s="468"/>
      <c r="J479" s="468" t="s">
        <v>3127</v>
      </c>
      <c r="K479" s="468"/>
      <c r="L479" s="468"/>
      <c r="M479" s="468"/>
      <c r="N479" s="468"/>
      <c r="O479" s="468"/>
      <c r="P479" s="468" t="s">
        <v>2732</v>
      </c>
      <c r="Q479" s="468"/>
      <c r="R479" s="468"/>
      <c r="S479" s="468"/>
      <c r="T479" s="468"/>
      <c r="U479" s="468"/>
      <c r="V479" s="468"/>
      <c r="W479" s="468"/>
      <c r="X479" s="468"/>
      <c r="Y479" s="468"/>
      <c r="Z479" s="468"/>
      <c r="AA479" s="468"/>
      <c r="AB479" s="468"/>
      <c r="AC479" s="468" t="s">
        <v>2942</v>
      </c>
      <c r="AD479" s="468"/>
      <c r="AE479" s="468"/>
      <c r="AF479" s="468"/>
      <c r="AG479" s="468"/>
      <c r="AH479" s="468"/>
      <c r="AI479" s="468"/>
      <c r="AJ479" s="468"/>
      <c r="AK479" s="468"/>
    </row>
    <row r="480" spans="1:37" ht="38.1" customHeight="1" x14ac:dyDescent="0.25">
      <c r="A480" s="457" t="s">
        <v>2733</v>
      </c>
      <c r="B480" s="457"/>
      <c r="C480" s="457"/>
      <c r="D480" s="457"/>
      <c r="E480" s="457"/>
      <c r="F480" s="457"/>
      <c r="G480" s="457"/>
      <c r="H480" s="457"/>
      <c r="I480" s="457"/>
      <c r="J480" s="454" t="s">
        <v>3128</v>
      </c>
      <c r="K480" s="454"/>
      <c r="L480" s="454"/>
      <c r="M480" s="454"/>
      <c r="N480" s="454"/>
      <c r="O480" s="454"/>
      <c r="P480" s="457" t="s">
        <v>2845</v>
      </c>
      <c r="Q480" s="457"/>
      <c r="R480" s="457"/>
      <c r="S480" s="457"/>
      <c r="T480" s="457"/>
      <c r="U480" s="457"/>
      <c r="V480" s="457"/>
      <c r="W480" s="457"/>
      <c r="X480" s="457"/>
      <c r="Y480" s="457"/>
      <c r="Z480" s="457"/>
      <c r="AA480" s="457"/>
      <c r="AB480" s="457"/>
      <c r="AC480" s="454" t="s">
        <v>3129</v>
      </c>
      <c r="AD480" s="454"/>
      <c r="AE480" s="454"/>
      <c r="AF480" s="454"/>
      <c r="AG480" s="454"/>
      <c r="AH480" s="454"/>
      <c r="AI480" s="454"/>
      <c r="AJ480" s="454"/>
      <c r="AK480" s="454"/>
    </row>
    <row r="481" spans="1:37" ht="18" customHeight="1" x14ac:dyDescent="0.25">
      <c r="A481" s="457" t="s">
        <v>2871</v>
      </c>
      <c r="B481" s="457"/>
      <c r="C481" s="457"/>
      <c r="D481" s="457"/>
      <c r="E481" s="457"/>
      <c r="F481" s="457"/>
      <c r="G481" s="457"/>
      <c r="H481" s="457"/>
      <c r="I481" s="457"/>
      <c r="J481" s="454" t="s">
        <v>3130</v>
      </c>
      <c r="K481" s="454"/>
      <c r="L481" s="454"/>
      <c r="M481" s="454"/>
      <c r="N481" s="454"/>
      <c r="O481" s="454"/>
      <c r="P481" s="457" t="s">
        <v>2872</v>
      </c>
      <c r="Q481" s="457"/>
      <c r="R481" s="457"/>
      <c r="S481" s="457"/>
      <c r="T481" s="457"/>
      <c r="U481" s="457"/>
      <c r="V481" s="457"/>
      <c r="W481" s="457"/>
      <c r="X481" s="457"/>
      <c r="Y481" s="457"/>
      <c r="Z481" s="457"/>
      <c r="AA481" s="457"/>
      <c r="AB481" s="457"/>
      <c r="AC481" s="457" t="s">
        <v>3131</v>
      </c>
      <c r="AD481" s="457"/>
      <c r="AE481" s="457"/>
      <c r="AF481" s="457"/>
      <c r="AG481" s="457"/>
      <c r="AH481" s="457"/>
      <c r="AI481" s="457"/>
      <c r="AJ481" s="457"/>
      <c r="AK481" s="457"/>
    </row>
    <row r="482" spans="1:37" ht="45" customHeight="1" x14ac:dyDescent="0.25">
      <c r="A482" s="454" t="s">
        <v>2873</v>
      </c>
      <c r="B482" s="454"/>
      <c r="C482" s="454"/>
      <c r="D482" s="454"/>
      <c r="E482" s="454"/>
      <c r="F482" s="454"/>
      <c r="G482" s="454"/>
      <c r="H482" s="454"/>
      <c r="I482" s="454"/>
      <c r="J482" s="454" t="s">
        <v>3132</v>
      </c>
      <c r="K482" s="454"/>
      <c r="L482" s="454"/>
      <c r="M482" s="454"/>
      <c r="N482" s="454"/>
      <c r="O482" s="454"/>
      <c r="P482" s="454" t="s">
        <v>2874</v>
      </c>
      <c r="Q482" s="454"/>
      <c r="R482" s="454"/>
      <c r="S482" s="454"/>
      <c r="T482" s="454"/>
      <c r="U482" s="454"/>
      <c r="V482" s="454"/>
      <c r="W482" s="454"/>
      <c r="X482" s="454"/>
      <c r="Y482" s="454"/>
      <c r="Z482" s="454"/>
      <c r="AA482" s="454"/>
      <c r="AB482" s="454"/>
      <c r="AC482" s="454" t="s">
        <v>3133</v>
      </c>
      <c r="AD482" s="454"/>
      <c r="AE482" s="454"/>
      <c r="AF482" s="454"/>
      <c r="AG482" s="454"/>
      <c r="AH482" s="454"/>
      <c r="AI482" s="454"/>
      <c r="AJ482" s="454"/>
      <c r="AK482" s="454"/>
    </row>
    <row r="483" spans="1:37" ht="33" customHeight="1" x14ac:dyDescent="0.25">
      <c r="A483" s="454" t="s">
        <v>2949</v>
      </c>
      <c r="B483" s="454"/>
      <c r="C483" s="454"/>
      <c r="D483" s="454"/>
      <c r="E483" s="454"/>
      <c r="F483" s="454"/>
      <c r="G483" s="454"/>
      <c r="H483" s="454"/>
      <c r="I483" s="454"/>
      <c r="J483" s="459" t="s">
        <v>2950</v>
      </c>
      <c r="K483" s="459"/>
      <c r="L483" s="459"/>
      <c r="M483" s="459"/>
      <c r="N483" s="459"/>
      <c r="O483" s="459"/>
      <c r="P483" s="454"/>
      <c r="Q483" s="454"/>
      <c r="R483" s="454"/>
      <c r="S483" s="454"/>
      <c r="T483" s="454"/>
      <c r="U483" s="454"/>
      <c r="V483" s="454"/>
      <c r="W483" s="454"/>
      <c r="X483" s="454"/>
      <c r="Y483" s="454"/>
      <c r="Z483" s="454"/>
      <c r="AA483" s="454"/>
      <c r="AB483" s="454"/>
      <c r="AC483" s="454"/>
      <c r="AD483" s="454"/>
      <c r="AE483" s="454"/>
      <c r="AF483" s="454"/>
      <c r="AG483" s="454"/>
      <c r="AH483" s="454"/>
      <c r="AI483" s="454"/>
      <c r="AJ483" s="454"/>
      <c r="AK483" s="454"/>
    </row>
    <row r="484" spans="1:37" ht="21" customHeight="1" x14ac:dyDescent="0.25">
      <c r="A484" s="467" t="s">
        <v>2824</v>
      </c>
      <c r="B484" s="467"/>
      <c r="C484" s="467"/>
      <c r="D484" s="467"/>
      <c r="E484" s="467"/>
      <c r="F484" s="467"/>
      <c r="G484" s="467"/>
      <c r="H484" s="467"/>
      <c r="I484" s="467"/>
      <c r="J484" s="454"/>
      <c r="K484" s="454"/>
      <c r="L484" s="454"/>
      <c r="M484" s="454"/>
      <c r="N484" s="454"/>
      <c r="O484" s="454"/>
      <c r="P484" s="454"/>
      <c r="Q484" s="454"/>
      <c r="R484" s="454"/>
      <c r="S484" s="454"/>
      <c r="T484" s="454"/>
      <c r="U484" s="454"/>
      <c r="V484" s="454"/>
      <c r="W484" s="454"/>
      <c r="X484" s="454"/>
      <c r="Y484" s="454"/>
      <c r="Z484" s="454"/>
      <c r="AA484" s="454"/>
      <c r="AB484" s="454"/>
      <c r="AC484" s="454"/>
      <c r="AD484" s="454"/>
      <c r="AE484" s="454"/>
      <c r="AF484" s="454"/>
      <c r="AG484" s="454"/>
      <c r="AH484" s="454"/>
      <c r="AI484" s="454"/>
      <c r="AJ484" s="454"/>
      <c r="AK484" s="454"/>
    </row>
    <row r="485" spans="1:37" ht="29.1" customHeight="1" x14ac:dyDescent="0.25">
      <c r="A485" s="454" t="s">
        <v>2951</v>
      </c>
      <c r="B485" s="454"/>
      <c r="C485" s="454"/>
      <c r="D485" s="454"/>
      <c r="E485" s="454"/>
      <c r="F485" s="454"/>
      <c r="G485" s="454"/>
      <c r="H485" s="454"/>
      <c r="I485" s="454"/>
      <c r="J485" s="459" t="s">
        <v>2950</v>
      </c>
      <c r="K485" s="459"/>
      <c r="L485" s="459"/>
      <c r="M485" s="459"/>
      <c r="N485" s="459"/>
      <c r="O485" s="459"/>
      <c r="P485" s="454"/>
      <c r="Q485" s="454"/>
      <c r="R485" s="454"/>
      <c r="S485" s="454"/>
      <c r="T485" s="454"/>
      <c r="U485" s="454"/>
      <c r="V485" s="454"/>
      <c r="W485" s="454"/>
      <c r="X485" s="454"/>
      <c r="Y485" s="454"/>
      <c r="Z485" s="454"/>
      <c r="AA485" s="454"/>
      <c r="AB485" s="454"/>
      <c r="AC485" s="454"/>
      <c r="AD485" s="454"/>
      <c r="AE485" s="454"/>
      <c r="AF485" s="454"/>
      <c r="AG485" s="454"/>
      <c r="AH485" s="454"/>
      <c r="AI485" s="454"/>
      <c r="AJ485" s="454"/>
      <c r="AK485" s="454"/>
    </row>
    <row r="486" spans="1:37" ht="27" customHeight="1" x14ac:dyDescent="0.25">
      <c r="A486" s="454" t="s">
        <v>2952</v>
      </c>
      <c r="B486" s="454"/>
      <c r="C486" s="454"/>
      <c r="D486" s="454"/>
      <c r="E486" s="454"/>
      <c r="F486" s="454"/>
      <c r="G486" s="454"/>
      <c r="H486" s="454"/>
      <c r="I486" s="454"/>
      <c r="J486" s="454"/>
      <c r="K486" s="454"/>
      <c r="L486" s="454"/>
      <c r="M486" s="454"/>
      <c r="N486" s="454"/>
      <c r="O486" s="454"/>
      <c r="P486" s="459" t="s">
        <v>2809</v>
      </c>
      <c r="Q486" s="459"/>
      <c r="R486" s="459"/>
      <c r="S486" s="459"/>
      <c r="T486" s="459"/>
      <c r="U486" s="459"/>
      <c r="V486" s="459"/>
      <c r="W486" s="459"/>
      <c r="X486" s="459"/>
      <c r="Y486" s="459"/>
      <c r="Z486" s="459"/>
      <c r="AA486" s="459"/>
      <c r="AB486" s="459"/>
      <c r="AC486" s="459" t="s">
        <v>3134</v>
      </c>
      <c r="AD486" s="459"/>
      <c r="AE486" s="459"/>
      <c r="AF486" s="459"/>
      <c r="AG486" s="459"/>
      <c r="AH486" s="459"/>
      <c r="AI486" s="459"/>
      <c r="AJ486" s="459"/>
      <c r="AK486" s="459"/>
    </row>
    <row r="487" spans="1:37" ht="12.95" customHeight="1" x14ac:dyDescent="0.25">
      <c r="A487" s="457" t="s">
        <v>2810</v>
      </c>
      <c r="B487" s="457"/>
      <c r="C487" s="457"/>
      <c r="D487" s="457"/>
      <c r="E487" s="457"/>
      <c r="F487" s="457"/>
      <c r="G487" s="457"/>
      <c r="H487" s="457"/>
      <c r="I487" s="457"/>
      <c r="J487" s="454" t="s">
        <v>2880</v>
      </c>
      <c r="K487" s="454"/>
      <c r="L487" s="454"/>
      <c r="M487" s="454"/>
      <c r="N487" s="454"/>
      <c r="O487" s="454"/>
      <c r="P487" s="457" t="s">
        <v>2808</v>
      </c>
      <c r="Q487" s="457"/>
      <c r="R487" s="457"/>
      <c r="S487" s="457"/>
      <c r="T487" s="457"/>
      <c r="U487" s="457"/>
      <c r="V487" s="457"/>
      <c r="W487" s="457"/>
      <c r="X487" s="457"/>
      <c r="Y487" s="457"/>
      <c r="Z487" s="457"/>
      <c r="AA487" s="457"/>
      <c r="AB487" s="457"/>
      <c r="AC487" s="457" t="s">
        <v>2954</v>
      </c>
      <c r="AD487" s="457"/>
      <c r="AE487" s="457"/>
      <c r="AF487" s="457"/>
      <c r="AG487" s="457"/>
      <c r="AH487" s="457"/>
      <c r="AI487" s="457"/>
      <c r="AJ487" s="457"/>
      <c r="AK487" s="457"/>
    </row>
    <row r="488" spans="1:37" ht="18" customHeight="1" x14ac:dyDescent="0.25">
      <c r="A488" s="457" t="s">
        <v>2811</v>
      </c>
      <c r="B488" s="457"/>
      <c r="C488" s="457"/>
      <c r="D488" s="457"/>
      <c r="E488" s="457"/>
      <c r="F488" s="457"/>
      <c r="G488" s="457"/>
      <c r="H488" s="457"/>
      <c r="I488" s="457"/>
      <c r="J488" s="457" t="s">
        <v>2823</v>
      </c>
      <c r="K488" s="457"/>
      <c r="L488" s="457"/>
      <c r="M488" s="457"/>
      <c r="N488" s="457"/>
      <c r="O488" s="457"/>
      <c r="P488" s="454"/>
      <c r="Q488" s="454"/>
      <c r="R488" s="454"/>
      <c r="S488" s="454"/>
      <c r="T488" s="454"/>
      <c r="U488" s="454"/>
      <c r="V488" s="454"/>
      <c r="W488" s="454"/>
      <c r="X488" s="454"/>
      <c r="Y488" s="454"/>
      <c r="Z488" s="454"/>
      <c r="AA488" s="454"/>
      <c r="AB488" s="454"/>
      <c r="AC488" s="454"/>
      <c r="AD488" s="454"/>
      <c r="AE488" s="454"/>
      <c r="AF488" s="454"/>
      <c r="AG488" s="454"/>
      <c r="AH488" s="454"/>
      <c r="AI488" s="454"/>
      <c r="AJ488" s="454"/>
      <c r="AK488" s="454"/>
    </row>
    <row r="489" spans="1:37" ht="24.95" customHeight="1" x14ac:dyDescent="0.25">
      <c r="A489" s="454" t="s">
        <v>2955</v>
      </c>
      <c r="B489" s="454"/>
      <c r="C489" s="454"/>
      <c r="D489" s="454"/>
      <c r="E489" s="454"/>
      <c r="F489" s="454"/>
      <c r="G489" s="454"/>
      <c r="H489" s="454"/>
      <c r="I489" s="454"/>
      <c r="J489" s="459" t="s">
        <v>2956</v>
      </c>
      <c r="K489" s="459"/>
      <c r="L489" s="459"/>
      <c r="M489" s="459"/>
      <c r="N489" s="459"/>
      <c r="O489" s="459"/>
      <c r="P489" s="459" t="s">
        <v>2818</v>
      </c>
      <c r="Q489" s="459"/>
      <c r="R489" s="459"/>
      <c r="S489" s="459"/>
      <c r="T489" s="459"/>
      <c r="U489" s="459"/>
      <c r="V489" s="459"/>
      <c r="W489" s="459"/>
      <c r="X489" s="459"/>
      <c r="Y489" s="459"/>
      <c r="Z489" s="459"/>
      <c r="AA489" s="459"/>
      <c r="AB489" s="459"/>
      <c r="AC489" s="459" t="s">
        <v>2819</v>
      </c>
      <c r="AD489" s="459"/>
      <c r="AE489" s="459"/>
      <c r="AF489" s="459"/>
      <c r="AG489" s="459"/>
      <c r="AH489" s="459"/>
      <c r="AI489" s="459"/>
      <c r="AJ489" s="459"/>
      <c r="AK489" s="459"/>
    </row>
    <row r="490" spans="1:37" ht="9" customHeight="1" x14ac:dyDescent="0.25">
      <c r="A490" s="457" t="s">
        <v>2820</v>
      </c>
      <c r="B490" s="457"/>
      <c r="C490" s="457"/>
      <c r="D490" s="457"/>
      <c r="E490" s="457"/>
      <c r="F490" s="457"/>
      <c r="G490" s="457"/>
      <c r="H490" s="457"/>
      <c r="I490" s="457"/>
      <c r="J490" s="457" t="s">
        <v>3135</v>
      </c>
      <c r="K490" s="457"/>
      <c r="L490" s="457"/>
      <c r="M490" s="457"/>
      <c r="N490" s="457"/>
      <c r="O490" s="457"/>
      <c r="P490" s="457" t="s">
        <v>2821</v>
      </c>
      <c r="Q490" s="457"/>
      <c r="R490" s="457"/>
      <c r="S490" s="457"/>
      <c r="T490" s="457"/>
      <c r="U490" s="457"/>
      <c r="V490" s="457"/>
      <c r="W490" s="457"/>
      <c r="X490" s="457"/>
      <c r="Y490" s="457"/>
      <c r="Z490" s="457"/>
      <c r="AA490" s="457"/>
      <c r="AB490" s="457"/>
      <c r="AC490" s="457" t="s">
        <v>2958</v>
      </c>
      <c r="AD490" s="457"/>
      <c r="AE490" s="457"/>
      <c r="AF490" s="457"/>
      <c r="AG490" s="457"/>
      <c r="AH490" s="457"/>
      <c r="AI490" s="457"/>
      <c r="AJ490" s="457"/>
      <c r="AK490" s="457"/>
    </row>
    <row r="491" spans="1:37" ht="9" customHeight="1" x14ac:dyDescent="0.25">
      <c r="A491" s="457" t="s">
        <v>2881</v>
      </c>
      <c r="B491" s="457"/>
      <c r="C491" s="457"/>
      <c r="D491" s="457"/>
      <c r="E491" s="457"/>
      <c r="F491" s="457"/>
      <c r="G491" s="457"/>
      <c r="H491" s="457"/>
      <c r="I491" s="457"/>
      <c r="J491" s="454" t="s">
        <v>3136</v>
      </c>
      <c r="K491" s="454"/>
      <c r="L491" s="454"/>
      <c r="M491" s="454"/>
      <c r="N491" s="454"/>
      <c r="O491" s="454"/>
      <c r="P491" s="457" t="s">
        <v>2882</v>
      </c>
      <c r="Q491" s="457"/>
      <c r="R491" s="457"/>
      <c r="S491" s="457"/>
      <c r="T491" s="457"/>
      <c r="U491" s="457"/>
      <c r="V491" s="457"/>
      <c r="W491" s="457"/>
      <c r="X491" s="457"/>
      <c r="Y491" s="457"/>
      <c r="Z491" s="457"/>
      <c r="AA491" s="457"/>
      <c r="AB491" s="457"/>
      <c r="AC491" s="457" t="s">
        <v>3137</v>
      </c>
      <c r="AD491" s="457"/>
      <c r="AE491" s="457"/>
      <c r="AF491" s="457"/>
      <c r="AG491" s="457"/>
      <c r="AH491" s="457"/>
      <c r="AI491" s="457"/>
      <c r="AJ491" s="457"/>
      <c r="AK491" s="457"/>
    </row>
    <row r="492" spans="1:37" ht="27.95" customHeight="1" x14ac:dyDescent="0.25">
      <c r="A492" s="457" t="s">
        <v>2883</v>
      </c>
      <c r="B492" s="457"/>
      <c r="C492" s="457"/>
      <c r="D492" s="457"/>
      <c r="E492" s="457"/>
      <c r="F492" s="457"/>
      <c r="G492" s="457"/>
      <c r="H492" s="457"/>
      <c r="I492" s="457"/>
      <c r="J492" s="454" t="s">
        <v>3138</v>
      </c>
      <c r="K492" s="454"/>
      <c r="L492" s="454"/>
      <c r="M492" s="454"/>
      <c r="N492" s="454"/>
      <c r="O492" s="454"/>
      <c r="P492" s="457" t="s">
        <v>2884</v>
      </c>
      <c r="Q492" s="457"/>
      <c r="R492" s="457"/>
      <c r="S492" s="457"/>
      <c r="T492" s="457"/>
      <c r="U492" s="457"/>
      <c r="V492" s="457"/>
      <c r="W492" s="457"/>
      <c r="X492" s="457"/>
      <c r="Y492" s="457"/>
      <c r="Z492" s="457"/>
      <c r="AA492" s="457"/>
      <c r="AB492" s="457"/>
      <c r="AC492" s="454" t="s">
        <v>3139</v>
      </c>
      <c r="AD492" s="454"/>
      <c r="AE492" s="454"/>
      <c r="AF492" s="454"/>
      <c r="AG492" s="454"/>
      <c r="AH492" s="454"/>
      <c r="AI492" s="454"/>
      <c r="AJ492" s="454"/>
      <c r="AK492" s="454"/>
    </row>
    <row r="493" spans="1:37" ht="18" customHeight="1" x14ac:dyDescent="0.25">
      <c r="A493" s="457" t="s">
        <v>2871</v>
      </c>
      <c r="B493" s="457"/>
      <c r="C493" s="457"/>
      <c r="D493" s="457"/>
      <c r="E493" s="457"/>
      <c r="F493" s="457"/>
      <c r="G493" s="457"/>
      <c r="H493" s="457"/>
      <c r="I493" s="457"/>
      <c r="J493" s="454" t="s">
        <v>3140</v>
      </c>
      <c r="K493" s="454"/>
      <c r="L493" s="454"/>
      <c r="M493" s="454"/>
      <c r="N493" s="454"/>
      <c r="O493" s="454"/>
      <c r="P493" s="457" t="s">
        <v>2872</v>
      </c>
      <c r="Q493" s="457"/>
      <c r="R493" s="457"/>
      <c r="S493" s="457"/>
      <c r="T493" s="457"/>
      <c r="U493" s="457"/>
      <c r="V493" s="457"/>
      <c r="W493" s="457"/>
      <c r="X493" s="457"/>
      <c r="Y493" s="457"/>
      <c r="Z493" s="457"/>
      <c r="AA493" s="457"/>
      <c r="AB493" s="457"/>
      <c r="AC493" s="457" t="s">
        <v>3141</v>
      </c>
      <c r="AD493" s="457"/>
      <c r="AE493" s="457"/>
      <c r="AF493" s="457"/>
      <c r="AG493" s="457"/>
      <c r="AH493" s="457"/>
      <c r="AI493" s="457"/>
      <c r="AJ493" s="457"/>
      <c r="AK493" s="457"/>
    </row>
    <row r="494" spans="1:37" ht="27.95" customHeight="1" x14ac:dyDescent="0.25">
      <c r="A494" s="454" t="s">
        <v>2885</v>
      </c>
      <c r="B494" s="454"/>
      <c r="C494" s="454"/>
      <c r="D494" s="454"/>
      <c r="E494" s="454"/>
      <c r="F494" s="454"/>
      <c r="G494" s="454"/>
      <c r="H494" s="454"/>
      <c r="I494" s="454"/>
      <c r="J494" s="454" t="s">
        <v>3142</v>
      </c>
      <c r="K494" s="454"/>
      <c r="L494" s="454"/>
      <c r="M494" s="454"/>
      <c r="N494" s="454"/>
      <c r="O494" s="454"/>
      <c r="P494" s="454" t="s">
        <v>2874</v>
      </c>
      <c r="Q494" s="454"/>
      <c r="R494" s="454"/>
      <c r="S494" s="454"/>
      <c r="T494" s="454"/>
      <c r="U494" s="454"/>
      <c r="V494" s="454"/>
      <c r="W494" s="454"/>
      <c r="X494" s="454"/>
      <c r="Y494" s="454"/>
      <c r="Z494" s="454"/>
      <c r="AA494" s="454"/>
      <c r="AB494" s="454"/>
      <c r="AC494" s="454" t="s">
        <v>3143</v>
      </c>
      <c r="AD494" s="454"/>
      <c r="AE494" s="454"/>
      <c r="AF494" s="454"/>
      <c r="AG494" s="454"/>
      <c r="AH494" s="454"/>
      <c r="AI494" s="454"/>
      <c r="AJ494" s="454"/>
      <c r="AK494" s="454"/>
    </row>
    <row r="495" spans="1:37" ht="15.95" customHeight="1" x14ac:dyDescent="0.25">
      <c r="A495" s="457" t="s">
        <v>2811</v>
      </c>
      <c r="B495" s="457"/>
      <c r="C495" s="457"/>
      <c r="D495" s="457"/>
      <c r="E495" s="457"/>
      <c r="F495" s="457"/>
      <c r="G495" s="457"/>
      <c r="H495" s="457"/>
      <c r="I495" s="457"/>
      <c r="J495" s="457" t="s">
        <v>2823</v>
      </c>
      <c r="K495" s="457"/>
      <c r="L495" s="457"/>
      <c r="M495" s="457"/>
      <c r="N495" s="457"/>
      <c r="O495" s="457"/>
      <c r="P495" s="454"/>
      <c r="Q495" s="454"/>
      <c r="R495" s="454"/>
      <c r="S495" s="454"/>
      <c r="T495" s="454"/>
      <c r="U495" s="454"/>
      <c r="V495" s="454"/>
      <c r="W495" s="454"/>
      <c r="X495" s="454"/>
      <c r="Y495" s="454"/>
      <c r="Z495" s="454"/>
      <c r="AA495" s="454"/>
      <c r="AB495" s="454"/>
      <c r="AC495" s="454"/>
      <c r="AD495" s="454"/>
      <c r="AE495" s="454"/>
      <c r="AF495" s="454"/>
      <c r="AG495" s="454"/>
      <c r="AH495" s="454"/>
      <c r="AI495" s="454"/>
      <c r="AJ495" s="454"/>
      <c r="AK495" s="454"/>
    </row>
    <row r="496" spans="1:37" ht="24.95" customHeight="1" x14ac:dyDescent="0.25">
      <c r="A496" s="454" t="s">
        <v>2967</v>
      </c>
      <c r="B496" s="454"/>
      <c r="C496" s="454"/>
      <c r="D496" s="454"/>
      <c r="E496" s="454"/>
      <c r="F496" s="454"/>
      <c r="G496" s="454"/>
      <c r="H496" s="454"/>
      <c r="I496" s="454"/>
      <c r="J496" s="466" t="s">
        <v>2968</v>
      </c>
      <c r="K496" s="466"/>
      <c r="L496" s="466"/>
      <c r="M496" s="466"/>
      <c r="N496" s="466"/>
      <c r="O496" s="466"/>
      <c r="P496" s="459" t="s">
        <v>2846</v>
      </c>
      <c r="Q496" s="459"/>
      <c r="R496" s="459"/>
      <c r="S496" s="459"/>
      <c r="T496" s="459"/>
      <c r="U496" s="459"/>
      <c r="V496" s="459"/>
      <c r="W496" s="459"/>
      <c r="X496" s="459"/>
      <c r="Y496" s="459"/>
      <c r="Z496" s="459"/>
      <c r="AA496" s="459"/>
      <c r="AB496" s="459"/>
      <c r="AC496" s="466" t="s">
        <v>3144</v>
      </c>
      <c r="AD496" s="466"/>
      <c r="AE496" s="466"/>
      <c r="AF496" s="466"/>
      <c r="AG496" s="466"/>
      <c r="AH496" s="466"/>
      <c r="AI496" s="466"/>
      <c r="AJ496" s="466"/>
      <c r="AK496" s="466"/>
    </row>
    <row r="497" spans="1:37" ht="18" customHeight="1" x14ac:dyDescent="0.25">
      <c r="A497" s="457" t="s">
        <v>2886</v>
      </c>
      <c r="B497" s="457"/>
      <c r="C497" s="457"/>
      <c r="D497" s="457"/>
      <c r="E497" s="457"/>
      <c r="F497" s="457"/>
      <c r="G497" s="457"/>
      <c r="H497" s="457"/>
      <c r="I497" s="457"/>
      <c r="J497" s="454" t="s">
        <v>2970</v>
      </c>
      <c r="K497" s="454"/>
      <c r="L497" s="454"/>
      <c r="M497" s="454"/>
      <c r="N497" s="454"/>
      <c r="O497" s="454"/>
      <c r="P497" s="457" t="s">
        <v>2887</v>
      </c>
      <c r="Q497" s="457"/>
      <c r="R497" s="457"/>
      <c r="S497" s="457"/>
      <c r="T497" s="457"/>
      <c r="U497" s="457"/>
      <c r="V497" s="457"/>
      <c r="W497" s="457"/>
      <c r="X497" s="457"/>
      <c r="Y497" s="457"/>
      <c r="Z497" s="457"/>
      <c r="AA497" s="457"/>
      <c r="AB497" s="457"/>
      <c r="AC497" s="454" t="s">
        <v>3145</v>
      </c>
      <c r="AD497" s="454"/>
      <c r="AE497" s="454"/>
      <c r="AF497" s="454"/>
      <c r="AG497" s="454"/>
      <c r="AH497" s="454"/>
      <c r="AI497" s="454"/>
      <c r="AJ497" s="454"/>
      <c r="AK497" s="454"/>
    </row>
    <row r="498" spans="1:37" ht="6.95" customHeight="1" x14ac:dyDescent="0.25">
      <c r="A498" s="457" t="s">
        <v>2875</v>
      </c>
      <c r="B498" s="457"/>
      <c r="C498" s="457"/>
      <c r="D498" s="457"/>
      <c r="E498" s="457"/>
      <c r="F498" s="457"/>
      <c r="G498" s="457"/>
      <c r="H498" s="457"/>
      <c r="I498" s="457"/>
      <c r="J498" s="457" t="s">
        <v>3146</v>
      </c>
      <c r="K498" s="457"/>
      <c r="L498" s="457"/>
      <c r="M498" s="457"/>
      <c r="N498" s="457"/>
      <c r="O498" s="457"/>
      <c r="P498" s="457" t="s">
        <v>2809</v>
      </c>
      <c r="Q498" s="457"/>
      <c r="R498" s="457"/>
      <c r="S498" s="457"/>
      <c r="T498" s="457"/>
      <c r="U498" s="457"/>
      <c r="V498" s="457"/>
      <c r="W498" s="457"/>
      <c r="X498" s="457"/>
      <c r="Y498" s="457"/>
      <c r="Z498" s="457"/>
      <c r="AA498" s="457"/>
      <c r="AB498" s="457"/>
      <c r="AC498" s="457" t="s">
        <v>3147</v>
      </c>
      <c r="AD498" s="457"/>
      <c r="AE498" s="457"/>
      <c r="AF498" s="457"/>
      <c r="AG498" s="457"/>
      <c r="AH498" s="457"/>
      <c r="AI498" s="457"/>
      <c r="AJ498" s="457"/>
      <c r="AK498" s="457"/>
    </row>
    <row r="499" spans="1:37" ht="18.95" customHeight="1" x14ac:dyDescent="0.25">
      <c r="A499" s="437" t="s">
        <v>3148</v>
      </c>
    </row>
    <row r="500" spans="1:37" ht="12.95" customHeight="1" x14ac:dyDescent="0.25">
      <c r="A500" s="437" t="s">
        <v>3149</v>
      </c>
    </row>
    <row r="501" spans="1:37" ht="12.95" customHeight="1" x14ac:dyDescent="0.25">
      <c r="A501" s="437" t="s">
        <v>2888</v>
      </c>
    </row>
    <row r="502" spans="1:37" ht="12.95" customHeight="1" x14ac:dyDescent="0.25">
      <c r="A502" s="436" t="s">
        <v>2812</v>
      </c>
    </row>
    <row r="503" spans="1:37" ht="12.95" customHeight="1" x14ac:dyDescent="0.25">
      <c r="A503" s="436" t="s">
        <v>2975</v>
      </c>
    </row>
    <row r="504" spans="1:37" ht="12.95" customHeight="1" x14ac:dyDescent="0.25">
      <c r="A504" s="437" t="s">
        <v>2976</v>
      </c>
    </row>
    <row r="505" spans="1:37" ht="12.95" customHeight="1" x14ac:dyDescent="0.25">
      <c r="A505" s="436" t="s">
        <v>2977</v>
      </c>
    </row>
    <row r="506" spans="1:37" ht="12.95" customHeight="1" x14ac:dyDescent="0.25">
      <c r="A506" s="437" t="s">
        <v>3150</v>
      </c>
    </row>
    <row r="507" spans="1:37" ht="12.95" customHeight="1" x14ac:dyDescent="0.25">
      <c r="A507" s="436" t="s">
        <v>2979</v>
      </c>
    </row>
    <row r="508" spans="1:37" ht="12.95" customHeight="1" x14ac:dyDescent="0.25">
      <c r="A508" s="437" t="s">
        <v>2980</v>
      </c>
    </row>
    <row r="509" spans="1:37" ht="12.95" customHeight="1" x14ac:dyDescent="0.25">
      <c r="A509" s="436" t="s">
        <v>2674</v>
      </c>
    </row>
    <row r="510" spans="1:37" ht="12.95" customHeight="1" x14ac:dyDescent="0.25">
      <c r="A510" s="436" t="s">
        <v>2683</v>
      </c>
    </row>
    <row r="511" spans="1:37" ht="12.95" customHeight="1" x14ac:dyDescent="0.25">
      <c r="A511" s="455"/>
      <c r="B511" s="456"/>
      <c r="C511" s="448" t="s">
        <v>2675</v>
      </c>
      <c r="D511" s="453"/>
      <c r="E511" s="453"/>
      <c r="F511" s="449"/>
      <c r="G511" s="448" t="s">
        <v>2676</v>
      </c>
      <c r="H511" s="453"/>
      <c r="I511" s="453"/>
      <c r="J511" s="449"/>
      <c r="K511" s="448" t="s">
        <v>2677</v>
      </c>
      <c r="L511" s="449"/>
      <c r="M511" s="448" t="s">
        <v>2678</v>
      </c>
      <c r="N511" s="453"/>
      <c r="O511" s="453"/>
      <c r="P511" s="453"/>
      <c r="Q511" s="453"/>
      <c r="R511" s="449"/>
      <c r="S511" s="448" t="s">
        <v>2679</v>
      </c>
      <c r="T511" s="449"/>
      <c r="U511" s="439" t="s">
        <v>2680</v>
      </c>
      <c r="V511" s="448" t="s">
        <v>2681</v>
      </c>
      <c r="W511" s="453"/>
      <c r="X511" s="449"/>
      <c r="Y511" s="448" t="s">
        <v>2682</v>
      </c>
      <c r="Z511" s="453"/>
      <c r="AA511" s="453"/>
      <c r="AB511" s="453"/>
      <c r="AC511" s="449"/>
      <c r="AD511" s="448" t="s">
        <v>2684</v>
      </c>
      <c r="AE511" s="453"/>
      <c r="AF511" s="449"/>
    </row>
    <row r="512" spans="1:37" ht="12.95" customHeight="1" x14ac:dyDescent="0.25">
      <c r="A512" s="448" t="s">
        <v>2685</v>
      </c>
      <c r="B512" s="449"/>
      <c r="C512" s="450">
        <v>5409</v>
      </c>
      <c r="D512" s="451"/>
      <c r="E512" s="451"/>
      <c r="F512" s="452"/>
      <c r="G512" s="450">
        <v>5744</v>
      </c>
      <c r="H512" s="451"/>
      <c r="I512" s="451"/>
      <c r="J512" s="452"/>
      <c r="K512" s="450">
        <v>7525</v>
      </c>
      <c r="L512" s="452"/>
      <c r="M512" s="450">
        <v>7624</v>
      </c>
      <c r="N512" s="451"/>
      <c r="O512" s="451"/>
      <c r="P512" s="451"/>
      <c r="Q512" s="451"/>
      <c r="R512" s="452"/>
      <c r="S512" s="450">
        <v>7433</v>
      </c>
      <c r="T512" s="452"/>
      <c r="U512" s="443">
        <v>7645</v>
      </c>
      <c r="V512" s="450">
        <v>7433</v>
      </c>
      <c r="W512" s="451"/>
      <c r="X512" s="452"/>
      <c r="Y512" s="450">
        <v>6850</v>
      </c>
      <c r="Z512" s="451"/>
      <c r="AA512" s="451"/>
      <c r="AB512" s="451"/>
      <c r="AC512" s="452"/>
      <c r="AD512" s="445">
        <v>82</v>
      </c>
      <c r="AE512" s="446"/>
      <c r="AF512" s="447"/>
    </row>
    <row r="513" spans="1:37" ht="12.95" customHeight="1" x14ac:dyDescent="0.25">
      <c r="A513" s="448" t="s">
        <v>2686</v>
      </c>
      <c r="B513" s="449"/>
      <c r="C513" s="450">
        <v>5726</v>
      </c>
      <c r="D513" s="451"/>
      <c r="E513" s="451"/>
      <c r="F513" s="452"/>
      <c r="G513" s="450">
        <v>6586</v>
      </c>
      <c r="H513" s="451"/>
      <c r="I513" s="451"/>
      <c r="J513" s="452"/>
      <c r="K513" s="450">
        <v>7912</v>
      </c>
      <c r="L513" s="452"/>
      <c r="M513" s="450">
        <v>8189</v>
      </c>
      <c r="N513" s="451"/>
      <c r="O513" s="451"/>
      <c r="P513" s="451"/>
      <c r="Q513" s="451"/>
      <c r="R513" s="452"/>
      <c r="S513" s="450">
        <v>8557</v>
      </c>
      <c r="T513" s="452"/>
      <c r="U513" s="443">
        <v>8400</v>
      </c>
      <c r="V513" s="450">
        <v>8117</v>
      </c>
      <c r="W513" s="451"/>
      <c r="X513" s="452"/>
      <c r="Y513" s="450">
        <v>7331</v>
      </c>
      <c r="Z513" s="451"/>
      <c r="AA513" s="451"/>
      <c r="AB513" s="451"/>
      <c r="AC513" s="452"/>
      <c r="AD513" s="445">
        <v>90</v>
      </c>
      <c r="AE513" s="446"/>
      <c r="AF513" s="447"/>
    </row>
    <row r="514" spans="1:37" ht="12.95" customHeight="1" x14ac:dyDescent="0.25">
      <c r="A514" s="448" t="s">
        <v>2687</v>
      </c>
      <c r="B514" s="449"/>
      <c r="C514" s="450">
        <v>2109</v>
      </c>
      <c r="D514" s="451"/>
      <c r="E514" s="451"/>
      <c r="F514" s="452"/>
      <c r="G514" s="450">
        <v>3244</v>
      </c>
      <c r="H514" s="451"/>
      <c r="I514" s="451"/>
      <c r="J514" s="452"/>
      <c r="K514" s="450">
        <v>5125</v>
      </c>
      <c r="L514" s="452"/>
      <c r="M514" s="450">
        <v>5124</v>
      </c>
      <c r="N514" s="451"/>
      <c r="O514" s="451"/>
      <c r="P514" s="451"/>
      <c r="Q514" s="451"/>
      <c r="R514" s="452"/>
      <c r="S514" s="450">
        <v>5233</v>
      </c>
      <c r="T514" s="452"/>
      <c r="U514" s="443">
        <v>5345</v>
      </c>
      <c r="V514" s="450">
        <v>4833</v>
      </c>
      <c r="W514" s="451"/>
      <c r="X514" s="452"/>
      <c r="Y514" s="450">
        <v>385</v>
      </c>
      <c r="Z514" s="451"/>
      <c r="AA514" s="451"/>
      <c r="AB514" s="451"/>
      <c r="AC514" s="452"/>
      <c r="AD514" s="445">
        <v>58</v>
      </c>
      <c r="AE514" s="446"/>
      <c r="AF514" s="447"/>
    </row>
    <row r="515" spans="1:37" ht="12.95" customHeight="1" x14ac:dyDescent="0.25">
      <c r="A515" s="436" t="s">
        <v>2822</v>
      </c>
    </row>
    <row r="516" spans="1:37" ht="12.95" customHeight="1" x14ac:dyDescent="0.25">
      <c r="A516" s="455"/>
      <c r="B516" s="456"/>
      <c r="C516" s="448" t="s">
        <v>2675</v>
      </c>
      <c r="D516" s="453"/>
      <c r="E516" s="453"/>
      <c r="F516" s="449"/>
      <c r="G516" s="448" t="s">
        <v>2676</v>
      </c>
      <c r="H516" s="453"/>
      <c r="I516" s="453"/>
      <c r="J516" s="449"/>
      <c r="K516" s="448" t="s">
        <v>2677</v>
      </c>
      <c r="L516" s="449"/>
      <c r="M516" s="448" t="s">
        <v>2678</v>
      </c>
      <c r="N516" s="453"/>
      <c r="O516" s="453"/>
      <c r="P516" s="453"/>
      <c r="Q516" s="453"/>
      <c r="R516" s="449"/>
      <c r="S516" s="448" t="s">
        <v>2679</v>
      </c>
      <c r="T516" s="449"/>
      <c r="U516" s="439" t="s">
        <v>2680</v>
      </c>
      <c r="V516" s="448" t="s">
        <v>2681</v>
      </c>
      <c r="W516" s="453"/>
      <c r="X516" s="449"/>
      <c r="Y516" s="448" t="s">
        <v>2682</v>
      </c>
      <c r="Z516" s="453"/>
      <c r="AA516" s="453"/>
      <c r="AB516" s="453"/>
      <c r="AC516" s="449"/>
      <c r="AD516" s="448" t="s">
        <v>2684</v>
      </c>
      <c r="AE516" s="453"/>
      <c r="AF516" s="449"/>
    </row>
    <row r="517" spans="1:37" ht="12.95" customHeight="1" x14ac:dyDescent="0.25">
      <c r="A517" s="448" t="s">
        <v>2685</v>
      </c>
      <c r="B517" s="449"/>
      <c r="C517" s="450">
        <v>4857</v>
      </c>
      <c r="D517" s="451"/>
      <c r="E517" s="451"/>
      <c r="F517" s="452"/>
      <c r="G517" s="450">
        <v>5418</v>
      </c>
      <c r="H517" s="451"/>
      <c r="I517" s="451"/>
      <c r="J517" s="452"/>
      <c r="K517" s="450">
        <v>6291</v>
      </c>
      <c r="L517" s="452"/>
      <c r="M517" s="450">
        <v>7892</v>
      </c>
      <c r="N517" s="451"/>
      <c r="O517" s="451"/>
      <c r="P517" s="451"/>
      <c r="Q517" s="451"/>
      <c r="R517" s="452"/>
      <c r="S517" s="450">
        <v>7654</v>
      </c>
      <c r="T517" s="452"/>
      <c r="U517" s="443">
        <v>7810</v>
      </c>
      <c r="V517" s="450">
        <v>7643</v>
      </c>
      <c r="W517" s="451"/>
      <c r="X517" s="452"/>
      <c r="Y517" s="450">
        <v>7152</v>
      </c>
      <c r="Z517" s="451"/>
      <c r="AA517" s="451"/>
      <c r="AB517" s="451"/>
      <c r="AC517" s="452"/>
      <c r="AD517" s="445">
        <v>84</v>
      </c>
      <c r="AE517" s="446"/>
      <c r="AF517" s="447"/>
    </row>
    <row r="518" spans="1:37" ht="12.95" customHeight="1" x14ac:dyDescent="0.25">
      <c r="A518" s="448" t="s">
        <v>2686</v>
      </c>
      <c r="B518" s="449"/>
      <c r="C518" s="450">
        <v>5040</v>
      </c>
      <c r="D518" s="451"/>
      <c r="E518" s="451"/>
      <c r="F518" s="452"/>
      <c r="G518" s="450">
        <v>5886</v>
      </c>
      <c r="H518" s="451"/>
      <c r="I518" s="451"/>
      <c r="J518" s="452"/>
      <c r="K518" s="450">
        <v>6945</v>
      </c>
      <c r="L518" s="452"/>
      <c r="M518" s="450">
        <v>8345</v>
      </c>
      <c r="N518" s="451"/>
      <c r="O518" s="451"/>
      <c r="P518" s="451"/>
      <c r="Q518" s="451"/>
      <c r="R518" s="452"/>
      <c r="S518" s="450">
        <v>8816</v>
      </c>
      <c r="T518" s="452"/>
      <c r="U518" s="443">
        <v>8849</v>
      </c>
      <c r="V518" s="450">
        <v>8278</v>
      </c>
      <c r="W518" s="451"/>
      <c r="X518" s="452"/>
      <c r="Y518" s="450">
        <v>7704</v>
      </c>
      <c r="Z518" s="451"/>
      <c r="AA518" s="451"/>
      <c r="AB518" s="451"/>
      <c r="AC518" s="452"/>
      <c r="AD518" s="445">
        <v>92</v>
      </c>
      <c r="AE518" s="446"/>
      <c r="AF518" s="447"/>
    </row>
    <row r="519" spans="1:37" ht="12.95" customHeight="1" x14ac:dyDescent="0.25">
      <c r="A519" s="448" t="s">
        <v>2687</v>
      </c>
      <c r="B519" s="449"/>
      <c r="C519" s="450">
        <v>1557</v>
      </c>
      <c r="D519" s="451"/>
      <c r="E519" s="451"/>
      <c r="F519" s="452"/>
      <c r="G519" s="450">
        <v>2918</v>
      </c>
      <c r="H519" s="451"/>
      <c r="I519" s="451"/>
      <c r="J519" s="452"/>
      <c r="K519" s="450">
        <v>3891</v>
      </c>
      <c r="L519" s="452"/>
      <c r="M519" s="450">
        <v>5392</v>
      </c>
      <c r="N519" s="451"/>
      <c r="O519" s="451"/>
      <c r="P519" s="451"/>
      <c r="Q519" s="451"/>
      <c r="R519" s="452"/>
      <c r="S519" s="450">
        <v>5454</v>
      </c>
      <c r="T519" s="452"/>
      <c r="U519" s="443">
        <v>551</v>
      </c>
      <c r="V519" s="450">
        <v>5043</v>
      </c>
      <c r="W519" s="451"/>
      <c r="X519" s="452"/>
      <c r="Y519" s="450">
        <v>4152</v>
      </c>
      <c r="Z519" s="451"/>
      <c r="AA519" s="451"/>
      <c r="AB519" s="451"/>
      <c r="AC519" s="452"/>
      <c r="AD519" s="445">
        <v>60</v>
      </c>
      <c r="AE519" s="446"/>
      <c r="AF519" s="447"/>
    </row>
    <row r="520" spans="1:37" ht="17.100000000000001" customHeight="1" x14ac:dyDescent="0.25">
      <c r="A520" s="464" t="s">
        <v>2847</v>
      </c>
      <c r="B520" s="464"/>
      <c r="C520" s="464"/>
      <c r="D520" s="465" t="s">
        <v>2889</v>
      </c>
      <c r="E520" s="465"/>
      <c r="F520" s="465"/>
      <c r="G520" s="465"/>
      <c r="H520" s="465"/>
      <c r="I520" s="465"/>
      <c r="J520" s="465"/>
      <c r="K520" s="465"/>
      <c r="L520" s="465"/>
      <c r="M520" s="465"/>
      <c r="N520" s="465"/>
      <c r="O520" s="464" t="s">
        <v>2848</v>
      </c>
      <c r="P520" s="464"/>
      <c r="Q520" s="464"/>
      <c r="R520" s="464"/>
      <c r="S520" s="464"/>
      <c r="T520" s="464"/>
      <c r="U520" s="464"/>
      <c r="V520" s="465" t="s">
        <v>3151</v>
      </c>
      <c r="W520" s="465"/>
      <c r="X520" s="465"/>
      <c r="Y520" s="465"/>
      <c r="Z520" s="465"/>
      <c r="AA520" s="465"/>
      <c r="AB520" s="465"/>
      <c r="AC520" s="465"/>
      <c r="AD520" s="465"/>
      <c r="AE520" s="465"/>
      <c r="AF520" s="465"/>
      <c r="AG520" s="465"/>
      <c r="AH520" s="465"/>
      <c r="AI520" s="465"/>
      <c r="AJ520" s="465"/>
      <c r="AK520" s="465"/>
    </row>
    <row r="521" spans="1:37" ht="27" customHeight="1" x14ac:dyDescent="0.25">
      <c r="A521" s="454" t="s">
        <v>2891</v>
      </c>
      <c r="B521" s="454"/>
      <c r="C521" s="454"/>
      <c r="D521" s="462" t="s">
        <v>2892</v>
      </c>
      <c r="E521" s="462"/>
      <c r="F521" s="462"/>
      <c r="G521" s="462"/>
      <c r="H521" s="462"/>
      <c r="I521" s="462"/>
      <c r="J521" s="462"/>
      <c r="K521" s="462"/>
      <c r="L521" s="462"/>
      <c r="M521" s="462"/>
      <c r="N521" s="462"/>
      <c r="O521" s="454" t="s">
        <v>2893</v>
      </c>
      <c r="P521" s="454"/>
      <c r="Q521" s="454"/>
      <c r="R521" s="454"/>
      <c r="S521" s="454"/>
      <c r="T521" s="454"/>
      <c r="U521" s="454"/>
      <c r="V521" s="462" t="s">
        <v>2894</v>
      </c>
      <c r="W521" s="462"/>
      <c r="X521" s="462"/>
      <c r="Y521" s="462"/>
      <c r="Z521" s="462"/>
      <c r="AA521" s="462"/>
      <c r="AB521" s="462"/>
      <c r="AC521" s="462"/>
      <c r="AD521" s="462"/>
      <c r="AE521" s="462"/>
      <c r="AF521" s="462"/>
      <c r="AG521" s="462"/>
      <c r="AH521" s="462"/>
      <c r="AI521" s="462"/>
      <c r="AJ521" s="462"/>
      <c r="AK521" s="462"/>
    </row>
    <row r="522" spans="1:37" ht="15" customHeight="1" x14ac:dyDescent="0.25">
      <c r="A522" s="432" t="s">
        <v>3152</v>
      </c>
    </row>
    <row r="523" spans="1:37" ht="12" customHeight="1" x14ac:dyDescent="0.25">
      <c r="A523" s="434" t="s">
        <v>2849</v>
      </c>
    </row>
    <row r="524" spans="1:37" ht="12" customHeight="1" x14ac:dyDescent="0.25">
      <c r="A524" s="434" t="s">
        <v>2850</v>
      </c>
    </row>
    <row r="525" spans="1:37" ht="14.1" customHeight="1" x14ac:dyDescent="0.25">
      <c r="A525" s="435" t="s">
        <v>3153</v>
      </c>
    </row>
    <row r="526" spans="1:37" ht="15" customHeight="1" x14ac:dyDescent="0.25">
      <c r="A526" s="460" t="s">
        <v>2858</v>
      </c>
      <c r="B526" s="460"/>
      <c r="C526" s="460"/>
      <c r="D526" s="460"/>
      <c r="E526" s="463">
        <v>1717</v>
      </c>
      <c r="F526" s="463"/>
      <c r="G526" s="463"/>
      <c r="H526" s="463"/>
      <c r="I526" s="463"/>
      <c r="J526" s="463"/>
      <c r="K526" s="463"/>
      <c r="L526" s="460" t="s">
        <v>2859</v>
      </c>
      <c r="M526" s="460"/>
      <c r="N526" s="460"/>
      <c r="O526" s="460"/>
      <c r="P526" s="460"/>
      <c r="Q526" s="460"/>
      <c r="R526" s="460"/>
      <c r="S526" s="460"/>
      <c r="T526" s="460"/>
      <c r="U526" s="460"/>
      <c r="V526" s="460"/>
      <c r="W526" s="460"/>
      <c r="X526" s="462" t="s">
        <v>2860</v>
      </c>
      <c r="Y526" s="462"/>
      <c r="Z526" s="462"/>
      <c r="AA526" s="462"/>
      <c r="AB526" s="462"/>
      <c r="AC526" s="462"/>
      <c r="AD526" s="462"/>
    </row>
    <row r="527" spans="1:37" ht="9.9499999999999993" customHeight="1" x14ac:dyDescent="0.25">
      <c r="A527" s="460" t="s">
        <v>2851</v>
      </c>
      <c r="B527" s="460"/>
      <c r="C527" s="460"/>
      <c r="D527" s="460"/>
      <c r="E527" s="463">
        <v>45</v>
      </c>
      <c r="F527" s="463"/>
      <c r="G527" s="463"/>
      <c r="H527" s="463"/>
      <c r="I527" s="463"/>
      <c r="J527" s="463"/>
      <c r="K527" s="463"/>
      <c r="L527" s="460" t="s">
        <v>2861</v>
      </c>
      <c r="M527" s="460"/>
      <c r="N527" s="460"/>
      <c r="O527" s="460"/>
      <c r="P527" s="460"/>
      <c r="Q527" s="460"/>
      <c r="R527" s="460"/>
      <c r="S527" s="460"/>
      <c r="T527" s="460"/>
      <c r="U527" s="460"/>
      <c r="V527" s="460"/>
      <c r="W527" s="460"/>
      <c r="X527" s="462" t="s">
        <v>2862</v>
      </c>
      <c r="Y527" s="462"/>
      <c r="Z527" s="462"/>
      <c r="AA527" s="462"/>
      <c r="AB527" s="462"/>
      <c r="AC527" s="462"/>
      <c r="AD527" s="462"/>
    </row>
    <row r="528" spans="1:37" ht="9.9499999999999993" customHeight="1" x14ac:dyDescent="0.25">
      <c r="A528" s="460" t="s">
        <v>2876</v>
      </c>
      <c r="B528" s="460"/>
      <c r="C528" s="460"/>
      <c r="D528" s="460"/>
      <c r="E528" s="462" t="s">
        <v>3154</v>
      </c>
      <c r="F528" s="462"/>
      <c r="G528" s="462"/>
      <c r="H528" s="462"/>
      <c r="I528" s="462"/>
      <c r="J528" s="462"/>
      <c r="K528" s="462"/>
      <c r="L528" s="460" t="s">
        <v>2863</v>
      </c>
      <c r="M528" s="460"/>
      <c r="N528" s="460"/>
      <c r="O528" s="460"/>
      <c r="P528" s="460"/>
      <c r="Q528" s="460"/>
      <c r="R528" s="460"/>
      <c r="S528" s="460"/>
      <c r="T528" s="460"/>
      <c r="U528" s="460"/>
      <c r="V528" s="460"/>
      <c r="W528" s="460"/>
      <c r="X528" s="462" t="s">
        <v>2897</v>
      </c>
      <c r="Y528" s="462"/>
      <c r="Z528" s="462"/>
      <c r="AA528" s="462"/>
      <c r="AB528" s="462"/>
      <c r="AC528" s="462"/>
      <c r="AD528" s="462"/>
    </row>
    <row r="529" spans="1:30" ht="15" customHeight="1" x14ac:dyDescent="0.25">
      <c r="A529" s="460" t="s">
        <v>2878</v>
      </c>
      <c r="B529" s="460"/>
      <c r="C529" s="460"/>
      <c r="D529" s="460"/>
      <c r="E529" s="462" t="s">
        <v>2879</v>
      </c>
      <c r="F529" s="462"/>
      <c r="G529" s="462"/>
      <c r="H529" s="462"/>
      <c r="I529" s="462"/>
      <c r="J529" s="462"/>
      <c r="K529" s="462"/>
      <c r="L529" s="454"/>
      <c r="M529" s="454"/>
      <c r="N529" s="454"/>
      <c r="O529" s="454"/>
      <c r="P529" s="454"/>
      <c r="Q529" s="454"/>
      <c r="R529" s="454"/>
      <c r="S529" s="454"/>
      <c r="T529" s="454"/>
      <c r="U529" s="454"/>
      <c r="V529" s="454"/>
      <c r="W529" s="454"/>
      <c r="X529" s="454"/>
      <c r="Y529" s="454"/>
      <c r="Z529" s="454"/>
      <c r="AA529" s="454"/>
      <c r="AB529" s="454"/>
      <c r="AC529" s="454"/>
      <c r="AD529" s="454"/>
    </row>
    <row r="530" spans="1:30" ht="20.100000000000001" customHeight="1" x14ac:dyDescent="0.25">
      <c r="A530" s="454"/>
      <c r="B530" s="454"/>
      <c r="C530" s="454"/>
      <c r="D530" s="454"/>
      <c r="E530" s="454"/>
      <c r="F530" s="460" t="s">
        <v>2864</v>
      </c>
      <c r="G530" s="460"/>
      <c r="H530" s="460"/>
      <c r="I530" s="460"/>
      <c r="J530" s="460"/>
      <c r="K530" s="460"/>
      <c r="L530" s="460"/>
      <c r="M530" s="460"/>
      <c r="N530" s="460"/>
      <c r="O530" s="460"/>
      <c r="P530" s="460"/>
      <c r="Q530" s="460"/>
      <c r="R530" s="460" t="s">
        <v>2865</v>
      </c>
      <c r="S530" s="460"/>
      <c r="T530" s="460"/>
      <c r="U530" s="460"/>
      <c r="V530" s="460"/>
    </row>
    <row r="531" spans="1:30" ht="15.95" customHeight="1" x14ac:dyDescent="0.25">
      <c r="A531" s="460" t="s">
        <v>2854</v>
      </c>
      <c r="B531" s="460"/>
      <c r="C531" s="460"/>
      <c r="D531" s="460"/>
      <c r="E531" s="460"/>
      <c r="F531" s="463">
        <v>30000</v>
      </c>
      <c r="G531" s="463"/>
      <c r="H531" s="463"/>
      <c r="I531" s="463"/>
      <c r="J531" s="463"/>
      <c r="K531" s="463"/>
      <c r="L531" s="463"/>
      <c r="M531" s="463"/>
      <c r="N531" s="463"/>
      <c r="O531" s="463"/>
      <c r="P531" s="463"/>
      <c r="Q531" s="463"/>
      <c r="R531" s="462" t="s">
        <v>3155</v>
      </c>
      <c r="S531" s="462"/>
      <c r="T531" s="462"/>
      <c r="U531" s="462"/>
      <c r="V531" s="462"/>
    </row>
    <row r="532" spans="1:30" ht="9.9499999999999993" customHeight="1" x14ac:dyDescent="0.25">
      <c r="A532" s="460" t="s">
        <v>2866</v>
      </c>
      <c r="B532" s="460"/>
      <c r="C532" s="460"/>
      <c r="D532" s="460"/>
      <c r="E532" s="460"/>
      <c r="F532" s="463">
        <v>800</v>
      </c>
      <c r="G532" s="463"/>
      <c r="H532" s="463"/>
      <c r="I532" s="463"/>
      <c r="J532" s="463"/>
      <c r="K532" s="463"/>
      <c r="L532" s="463"/>
      <c r="M532" s="463"/>
      <c r="N532" s="463"/>
      <c r="O532" s="463"/>
      <c r="P532" s="463"/>
      <c r="Q532" s="463"/>
      <c r="R532" s="462" t="s">
        <v>3155</v>
      </c>
      <c r="S532" s="462"/>
      <c r="T532" s="462"/>
      <c r="U532" s="462"/>
      <c r="V532" s="462"/>
    </row>
    <row r="533" spans="1:30" ht="9.9499999999999993" customHeight="1" x14ac:dyDescent="0.25">
      <c r="A533" s="460" t="s">
        <v>2867</v>
      </c>
      <c r="B533" s="460"/>
      <c r="C533" s="460"/>
      <c r="D533" s="460"/>
      <c r="E533" s="460"/>
      <c r="F533" s="463">
        <v>1204</v>
      </c>
      <c r="G533" s="463"/>
      <c r="H533" s="463"/>
      <c r="I533" s="463"/>
      <c r="J533" s="463"/>
      <c r="K533" s="463"/>
      <c r="L533" s="463"/>
      <c r="M533" s="463"/>
      <c r="N533" s="463"/>
      <c r="O533" s="463"/>
      <c r="P533" s="463"/>
      <c r="Q533" s="463"/>
      <c r="R533" s="454"/>
      <c r="S533" s="454"/>
      <c r="T533" s="454"/>
      <c r="U533" s="454"/>
      <c r="V533" s="454"/>
    </row>
    <row r="534" spans="1:30" ht="15" customHeight="1" x14ac:dyDescent="0.25">
      <c r="A534" s="460" t="s">
        <v>2868</v>
      </c>
      <c r="B534" s="460"/>
      <c r="C534" s="460"/>
      <c r="D534" s="460"/>
      <c r="E534" s="460"/>
      <c r="F534" s="461">
        <v>326</v>
      </c>
      <c r="G534" s="461"/>
      <c r="H534" s="461"/>
      <c r="I534" s="461"/>
      <c r="J534" s="461"/>
      <c r="K534" s="461"/>
      <c r="L534" s="461"/>
      <c r="M534" s="461"/>
      <c r="N534" s="461"/>
      <c r="O534" s="461"/>
      <c r="P534" s="461"/>
      <c r="Q534" s="461"/>
      <c r="R534" s="462" t="s">
        <v>3155</v>
      </c>
      <c r="S534" s="462"/>
      <c r="T534" s="462"/>
      <c r="U534" s="462"/>
      <c r="V534" s="462"/>
    </row>
    <row r="535" spans="1:30" ht="15" customHeight="1" x14ac:dyDescent="0.25">
      <c r="A535" s="433" t="s">
        <v>2869</v>
      </c>
    </row>
    <row r="536" spans="1:30" ht="15" customHeight="1" x14ac:dyDescent="0.25">
      <c r="A536" s="433" t="s">
        <v>2855</v>
      </c>
    </row>
    <row r="537" spans="1:30" ht="12.95" customHeight="1" x14ac:dyDescent="0.25">
      <c r="A537" s="436" t="s">
        <v>2898</v>
      </c>
    </row>
    <row r="538" spans="1:30" ht="12.95" customHeight="1" x14ac:dyDescent="0.25">
      <c r="A538" s="436" t="s">
        <v>2899</v>
      </c>
    </row>
    <row r="539" spans="1:30" ht="12.95" customHeight="1" x14ac:dyDescent="0.25">
      <c r="A539" s="437" t="s">
        <v>3156</v>
      </c>
    </row>
    <row r="540" spans="1:30" ht="12.95" customHeight="1" x14ac:dyDescent="0.25">
      <c r="A540" s="436" t="s">
        <v>2901</v>
      </c>
    </row>
    <row r="541" spans="1:30" ht="12.95" customHeight="1" x14ac:dyDescent="0.25">
      <c r="A541" s="437" t="s">
        <v>3157</v>
      </c>
    </row>
    <row r="542" spans="1:30" ht="12.95" customHeight="1" x14ac:dyDescent="0.25">
      <c r="A542" s="436" t="s">
        <v>2903</v>
      </c>
    </row>
    <row r="543" spans="1:30" ht="12.95" customHeight="1" x14ac:dyDescent="0.25">
      <c r="A543" s="437" t="s">
        <v>3158</v>
      </c>
    </row>
    <row r="544" spans="1:30" ht="12.95" customHeight="1" x14ac:dyDescent="0.25">
      <c r="A544" s="437" t="s">
        <v>3159</v>
      </c>
    </row>
    <row r="545" spans="1:26" ht="12.95" customHeight="1" x14ac:dyDescent="0.25">
      <c r="A545" s="437" t="s">
        <v>2813</v>
      </c>
    </row>
    <row r="546" spans="1:26" ht="12.95" customHeight="1" x14ac:dyDescent="0.25">
      <c r="A546" s="436" t="s">
        <v>3160</v>
      </c>
    </row>
    <row r="547" spans="1:26" ht="14.1" customHeight="1" x14ac:dyDescent="0.25">
      <c r="A547" s="432" t="s">
        <v>3161</v>
      </c>
    </row>
    <row r="548" spans="1:26" ht="12.95" customHeight="1" x14ac:dyDescent="0.25">
      <c r="A548" s="437" t="s">
        <v>2814</v>
      </c>
    </row>
    <row r="549" spans="1:26" ht="18" customHeight="1" x14ac:dyDescent="0.25">
      <c r="A549" s="437" t="s">
        <v>2917</v>
      </c>
    </row>
    <row r="550" spans="1:26" ht="12.95" customHeight="1" x14ac:dyDescent="0.25">
      <c r="A550" s="437" t="s">
        <v>2814</v>
      </c>
    </row>
    <row r="551" spans="1:26" ht="18" customHeight="1" x14ac:dyDescent="0.25">
      <c r="A551" s="437" t="s">
        <v>3036</v>
      </c>
    </row>
    <row r="552" spans="1:26" ht="18.95" customHeight="1" x14ac:dyDescent="0.25">
      <c r="A552" s="437" t="s">
        <v>2919</v>
      </c>
    </row>
    <row r="553" spans="1:26" ht="18.95" customHeight="1" x14ac:dyDescent="0.25">
      <c r="A553" s="432" t="s">
        <v>2991</v>
      </c>
    </row>
    <row r="554" spans="1:26" ht="18.95" customHeight="1" x14ac:dyDescent="0.25">
      <c r="A554" s="438" t="s">
        <v>3162</v>
      </c>
    </row>
    <row r="555" spans="1:26" ht="18.95" customHeight="1" x14ac:dyDescent="0.25">
      <c r="A555" s="437" t="s">
        <v>3163</v>
      </c>
    </row>
    <row r="556" spans="1:26" ht="18.95" customHeight="1" x14ac:dyDescent="0.25">
      <c r="A556" s="438" t="s">
        <v>3164</v>
      </c>
    </row>
    <row r="557" spans="1:26" ht="12.95" customHeight="1" x14ac:dyDescent="0.25">
      <c r="A557" s="457" t="s">
        <v>2815</v>
      </c>
      <c r="B557" s="457"/>
      <c r="C557" s="457"/>
      <c r="D557" s="457"/>
      <c r="E557" s="457"/>
      <c r="F557" s="457"/>
      <c r="G557" s="457"/>
      <c r="H557" s="457"/>
      <c r="I557" s="454" t="s">
        <v>3165</v>
      </c>
      <c r="J557" s="454"/>
      <c r="K557" s="454"/>
      <c r="L557" s="454"/>
      <c r="M557" s="454"/>
      <c r="N557" s="454"/>
      <c r="O557" s="454"/>
      <c r="P557" s="454"/>
      <c r="Q557" s="457" t="s">
        <v>2816</v>
      </c>
      <c r="R557" s="457"/>
      <c r="S557" s="457"/>
      <c r="T557" s="457"/>
      <c r="U557" s="457"/>
      <c r="V557" s="457"/>
      <c r="W557" s="457"/>
      <c r="X557" s="457"/>
      <c r="Y557" s="457"/>
      <c r="Z557" s="457"/>
    </row>
    <row r="558" spans="1:26" ht="27.95" customHeight="1" x14ac:dyDescent="0.25">
      <c r="A558" s="454" t="s">
        <v>2843</v>
      </c>
      <c r="B558" s="454"/>
      <c r="C558" s="454"/>
      <c r="D558" s="454"/>
      <c r="E558" s="454"/>
      <c r="F558" s="454"/>
      <c r="G558" s="454"/>
      <c r="H558" s="454"/>
      <c r="I558" s="454" t="s">
        <v>3166</v>
      </c>
      <c r="J558" s="454"/>
      <c r="K558" s="454"/>
      <c r="L558" s="454"/>
      <c r="M558" s="454"/>
      <c r="N558" s="454"/>
      <c r="O558" s="454"/>
      <c r="P558" s="454"/>
      <c r="Q558" s="457" t="s">
        <v>2844</v>
      </c>
      <c r="R558" s="457"/>
      <c r="S558" s="457"/>
      <c r="T558" s="457"/>
      <c r="U558" s="457"/>
      <c r="V558" s="457"/>
      <c r="W558" s="457"/>
      <c r="X558" s="457"/>
      <c r="Y558" s="457"/>
      <c r="Z558" s="457"/>
    </row>
    <row r="559" spans="1:26" ht="12.95" customHeight="1" x14ac:dyDescent="0.25">
      <c r="A559" s="436" t="s">
        <v>2812</v>
      </c>
    </row>
    <row r="560" spans="1:26" ht="12.95" customHeight="1" x14ac:dyDescent="0.25">
      <c r="A560" s="437" t="s">
        <v>2817</v>
      </c>
    </row>
    <row r="561" spans="1:33" ht="32.1" customHeight="1" x14ac:dyDescent="0.25">
      <c r="A561" s="454" t="s">
        <v>3167</v>
      </c>
      <c r="B561" s="454"/>
      <c r="C561" s="454"/>
      <c r="D561" s="454"/>
      <c r="E561" s="454"/>
      <c r="F561" s="454"/>
      <c r="G561" s="454"/>
      <c r="H561" s="459" t="s">
        <v>3168</v>
      </c>
      <c r="I561" s="459"/>
      <c r="J561" s="459"/>
      <c r="K561" s="459"/>
      <c r="L561" s="459"/>
      <c r="M561" s="459"/>
      <c r="N561" s="459"/>
      <c r="O561" s="459"/>
      <c r="P561" s="459" t="s">
        <v>2732</v>
      </c>
      <c r="Q561" s="459"/>
      <c r="R561" s="459"/>
      <c r="S561" s="459"/>
      <c r="T561" s="459"/>
      <c r="U561" s="459"/>
      <c r="V561" s="459"/>
      <c r="W561" s="459"/>
      <c r="X561" s="459"/>
      <c r="Y561" s="459"/>
      <c r="Z561" s="459" t="s">
        <v>2942</v>
      </c>
      <c r="AA561" s="459"/>
      <c r="AB561" s="459"/>
      <c r="AC561" s="459"/>
      <c r="AD561" s="459"/>
      <c r="AE561" s="459"/>
      <c r="AF561" s="459"/>
      <c r="AG561" s="459"/>
    </row>
    <row r="562" spans="1:33" ht="38.1" customHeight="1" x14ac:dyDescent="0.25">
      <c r="A562" s="457" t="s">
        <v>2733</v>
      </c>
      <c r="B562" s="457"/>
      <c r="C562" s="457"/>
      <c r="D562" s="457"/>
      <c r="E562" s="457"/>
      <c r="F562" s="457"/>
      <c r="G562" s="457"/>
      <c r="H562" s="454" t="s">
        <v>3169</v>
      </c>
      <c r="I562" s="454"/>
      <c r="J562" s="454"/>
      <c r="K562" s="454"/>
      <c r="L562" s="454"/>
      <c r="M562" s="454"/>
      <c r="N562" s="454"/>
      <c r="O562" s="454"/>
      <c r="P562" s="457" t="s">
        <v>2845</v>
      </c>
      <c r="Q562" s="457"/>
      <c r="R562" s="457"/>
      <c r="S562" s="457"/>
      <c r="T562" s="457"/>
      <c r="U562" s="457"/>
      <c r="V562" s="457"/>
      <c r="W562" s="457"/>
      <c r="X562" s="457"/>
      <c r="Y562" s="457"/>
      <c r="Z562" s="458" t="s">
        <v>3170</v>
      </c>
      <c r="AA562" s="458"/>
      <c r="AB562" s="458"/>
      <c r="AC562" s="458"/>
      <c r="AD562" s="458"/>
      <c r="AE562" s="458"/>
      <c r="AF562" s="458"/>
      <c r="AG562" s="458"/>
    </row>
    <row r="563" spans="1:33" ht="18" customHeight="1" x14ac:dyDescent="0.25">
      <c r="A563" s="457" t="s">
        <v>2871</v>
      </c>
      <c r="B563" s="457"/>
      <c r="C563" s="457"/>
      <c r="D563" s="457"/>
      <c r="E563" s="457"/>
      <c r="F563" s="457"/>
      <c r="G563" s="457"/>
      <c r="H563" s="454" t="s">
        <v>3171</v>
      </c>
      <c r="I563" s="454"/>
      <c r="J563" s="454"/>
      <c r="K563" s="454"/>
      <c r="L563" s="454"/>
      <c r="M563" s="454"/>
      <c r="N563" s="454"/>
      <c r="O563" s="454"/>
      <c r="P563" s="457" t="s">
        <v>2872</v>
      </c>
      <c r="Q563" s="457"/>
      <c r="R563" s="457"/>
      <c r="S563" s="457"/>
      <c r="T563" s="457"/>
      <c r="U563" s="457"/>
      <c r="V563" s="457"/>
      <c r="W563" s="457"/>
      <c r="X563" s="457"/>
      <c r="Y563" s="457"/>
      <c r="Z563" s="457" t="s">
        <v>3172</v>
      </c>
      <c r="AA563" s="457"/>
      <c r="AB563" s="457"/>
      <c r="AC563" s="457"/>
      <c r="AD563" s="457"/>
      <c r="AE563" s="457"/>
      <c r="AF563" s="457"/>
      <c r="AG563" s="457"/>
    </row>
    <row r="564" spans="1:33" ht="42" customHeight="1" x14ac:dyDescent="0.25">
      <c r="A564" s="454" t="s">
        <v>2873</v>
      </c>
      <c r="B564" s="454"/>
      <c r="C564" s="454"/>
      <c r="D564" s="454"/>
      <c r="E564" s="454"/>
      <c r="F564" s="454"/>
      <c r="G564" s="454"/>
      <c r="H564" s="454" t="s">
        <v>3173</v>
      </c>
      <c r="I564" s="454"/>
      <c r="J564" s="454"/>
      <c r="K564" s="454"/>
      <c r="L564" s="454"/>
      <c r="M564" s="454"/>
      <c r="N564" s="454"/>
      <c r="O564" s="454"/>
      <c r="P564" s="454" t="s">
        <v>2874</v>
      </c>
      <c r="Q564" s="454"/>
      <c r="R564" s="454"/>
      <c r="S564" s="454"/>
      <c r="T564" s="454"/>
      <c r="U564" s="454"/>
      <c r="V564" s="454"/>
      <c r="W564" s="454"/>
      <c r="X564" s="454"/>
      <c r="Y564" s="454"/>
      <c r="Z564" s="454" t="s">
        <v>3174</v>
      </c>
      <c r="AA564" s="454"/>
      <c r="AB564" s="454"/>
      <c r="AC564" s="454"/>
      <c r="AD564" s="454"/>
      <c r="AE564" s="454"/>
      <c r="AF564" s="454"/>
      <c r="AG564" s="454"/>
    </row>
    <row r="565" spans="1:33" ht="12.95" customHeight="1" x14ac:dyDescent="0.25">
      <c r="A565" s="436" t="s">
        <v>3175</v>
      </c>
    </row>
    <row r="566" spans="1:33" ht="12.95" customHeight="1" x14ac:dyDescent="0.25">
      <c r="A566" s="437" t="s">
        <v>3156</v>
      </c>
    </row>
    <row r="567" spans="1:33" ht="12.95" customHeight="1" x14ac:dyDescent="0.25">
      <c r="A567" s="436" t="s">
        <v>2674</v>
      </c>
    </row>
    <row r="568" spans="1:33" ht="12.95" customHeight="1" x14ac:dyDescent="0.25">
      <c r="A568" s="436" t="s">
        <v>2683</v>
      </c>
    </row>
    <row r="569" spans="1:33" ht="12.95" customHeight="1" x14ac:dyDescent="0.25">
      <c r="A569" s="455"/>
      <c r="B569" s="456"/>
      <c r="C569" s="448" t="s">
        <v>2675</v>
      </c>
      <c r="D569" s="453"/>
      <c r="E569" s="453"/>
      <c r="F569" s="449"/>
      <c r="G569" s="448" t="s">
        <v>2676</v>
      </c>
      <c r="H569" s="453"/>
      <c r="I569" s="453"/>
      <c r="J569" s="449"/>
      <c r="K569" s="448" t="s">
        <v>2677</v>
      </c>
      <c r="L569" s="449"/>
      <c r="M569" s="448" t="s">
        <v>2678</v>
      </c>
      <c r="N569" s="453"/>
      <c r="O569" s="453"/>
      <c r="P569" s="453"/>
      <c r="Q569" s="453"/>
      <c r="R569" s="449"/>
      <c r="S569" s="448" t="s">
        <v>2679</v>
      </c>
      <c r="T569" s="449"/>
      <c r="U569" s="439" t="s">
        <v>2680</v>
      </c>
      <c r="V569" s="448" t="s">
        <v>2681</v>
      </c>
      <c r="W569" s="453"/>
      <c r="X569" s="449"/>
      <c r="Y569" s="448" t="s">
        <v>2682</v>
      </c>
      <c r="Z569" s="453"/>
      <c r="AA569" s="453"/>
      <c r="AB569" s="453"/>
      <c r="AC569" s="449"/>
      <c r="AD569" s="448" t="s">
        <v>2684</v>
      </c>
      <c r="AE569" s="453"/>
      <c r="AF569" s="449"/>
    </row>
    <row r="570" spans="1:33" ht="12.95" customHeight="1" x14ac:dyDescent="0.25">
      <c r="A570" s="448" t="s">
        <v>2685</v>
      </c>
      <c r="B570" s="449"/>
      <c r="C570" s="450">
        <v>4746</v>
      </c>
      <c r="D570" s="451"/>
      <c r="E570" s="451"/>
      <c r="F570" s="452"/>
      <c r="G570" s="450">
        <v>7641</v>
      </c>
      <c r="H570" s="451"/>
      <c r="I570" s="451"/>
      <c r="J570" s="452"/>
      <c r="K570" s="450">
        <v>7597</v>
      </c>
      <c r="L570" s="452"/>
      <c r="M570" s="450">
        <v>8154</v>
      </c>
      <c r="N570" s="451"/>
      <c r="O570" s="451"/>
      <c r="P570" s="451"/>
      <c r="Q570" s="451"/>
      <c r="R570" s="452"/>
      <c r="S570" s="450">
        <v>8675</v>
      </c>
      <c r="T570" s="452"/>
      <c r="U570" s="443">
        <v>8938</v>
      </c>
      <c r="V570" s="450">
        <v>8314</v>
      </c>
      <c r="W570" s="451"/>
      <c r="X570" s="452"/>
      <c r="Y570" s="450">
        <v>8012</v>
      </c>
      <c r="Z570" s="451"/>
      <c r="AA570" s="451"/>
      <c r="AB570" s="451"/>
      <c r="AC570" s="452"/>
      <c r="AD570" s="445">
        <v>93</v>
      </c>
      <c r="AE570" s="446"/>
      <c r="AF570" s="447"/>
    </row>
    <row r="571" spans="1:33" ht="12.95" customHeight="1" x14ac:dyDescent="0.25">
      <c r="A571" s="448" t="s">
        <v>2686</v>
      </c>
      <c r="B571" s="449"/>
      <c r="C571" s="450">
        <v>5587</v>
      </c>
      <c r="D571" s="451"/>
      <c r="E571" s="451"/>
      <c r="F571" s="452"/>
      <c r="G571" s="450">
        <v>7933</v>
      </c>
      <c r="H571" s="451"/>
      <c r="I571" s="451"/>
      <c r="J571" s="452"/>
      <c r="K571" s="450">
        <v>8428</v>
      </c>
      <c r="L571" s="452"/>
      <c r="M571" s="450">
        <v>9154</v>
      </c>
      <c r="N571" s="451"/>
      <c r="O571" s="451"/>
      <c r="P571" s="451"/>
      <c r="Q571" s="451"/>
      <c r="R571" s="452"/>
      <c r="S571" s="450">
        <v>9228</v>
      </c>
      <c r="T571" s="452"/>
      <c r="U571" s="443">
        <v>9535</v>
      </c>
      <c r="V571" s="450">
        <v>8789</v>
      </c>
      <c r="W571" s="451"/>
      <c r="X571" s="452"/>
      <c r="Y571" s="450">
        <v>8190</v>
      </c>
      <c r="Z571" s="451"/>
      <c r="AA571" s="451"/>
      <c r="AB571" s="451"/>
      <c r="AC571" s="452"/>
      <c r="AD571" s="445">
        <v>99</v>
      </c>
      <c r="AE571" s="446"/>
      <c r="AF571" s="447"/>
    </row>
    <row r="572" spans="1:33" ht="12.95" customHeight="1" x14ac:dyDescent="0.25">
      <c r="A572" s="448" t="s">
        <v>2687</v>
      </c>
      <c r="B572" s="449"/>
      <c r="C572" s="450">
        <v>1446</v>
      </c>
      <c r="D572" s="451"/>
      <c r="E572" s="451"/>
      <c r="F572" s="452"/>
      <c r="G572" s="450">
        <v>5141</v>
      </c>
      <c r="H572" s="451"/>
      <c r="I572" s="451"/>
      <c r="J572" s="452"/>
      <c r="K572" s="450">
        <v>5197</v>
      </c>
      <c r="L572" s="452"/>
      <c r="M572" s="450">
        <v>5654</v>
      </c>
      <c r="N572" s="451"/>
      <c r="O572" s="451"/>
      <c r="P572" s="451"/>
      <c r="Q572" s="451"/>
      <c r="R572" s="452"/>
      <c r="S572" s="450">
        <v>6475</v>
      </c>
      <c r="T572" s="452"/>
      <c r="U572" s="443">
        <v>6638</v>
      </c>
      <c r="V572" s="450">
        <v>5714</v>
      </c>
      <c r="W572" s="451"/>
      <c r="X572" s="452"/>
      <c r="Y572" s="450">
        <v>5012</v>
      </c>
      <c r="Z572" s="451"/>
      <c r="AA572" s="451"/>
      <c r="AB572" s="451"/>
      <c r="AC572" s="452"/>
      <c r="AD572" s="445">
        <v>69</v>
      </c>
      <c r="AE572" s="446"/>
      <c r="AF572" s="447"/>
    </row>
  </sheetData>
  <mergeCells count="1098">
    <mergeCell ref="A1:C1"/>
    <mergeCell ref="D1:N1"/>
    <mergeCell ref="O1:U1"/>
    <mergeCell ref="V1:AE1"/>
    <mergeCell ref="A2:C2"/>
    <mergeCell ref="D2:N2"/>
    <mergeCell ref="O2:U2"/>
    <mergeCell ref="V2:AE2"/>
    <mergeCell ref="A11:E11"/>
    <mergeCell ref="F11:Q11"/>
    <mergeCell ref="R11:V11"/>
    <mergeCell ref="A12:E12"/>
    <mergeCell ref="F12:Q12"/>
    <mergeCell ref="R12:V12"/>
    <mergeCell ref="A9:D9"/>
    <mergeCell ref="E9:K9"/>
    <mergeCell ref="L9:W9"/>
    <mergeCell ref="X9:AD9"/>
    <mergeCell ref="A10:E10"/>
    <mergeCell ref="F10:Q10"/>
    <mergeCell ref="R10:V10"/>
    <mergeCell ref="A7:D7"/>
    <mergeCell ref="E7:K7"/>
    <mergeCell ref="L7:W7"/>
    <mergeCell ref="X7:AD7"/>
    <mergeCell ref="A8:D8"/>
    <mergeCell ref="E8:K8"/>
    <mergeCell ref="L8:W8"/>
    <mergeCell ref="X8:AD8"/>
    <mergeCell ref="A56:Q56"/>
    <mergeCell ref="R56:AA56"/>
    <mergeCell ref="AB56:AI56"/>
    <mergeCell ref="A57:Q57"/>
    <mergeCell ref="R57:AA57"/>
    <mergeCell ref="AB57:AI57"/>
    <mergeCell ref="A54:H54"/>
    <mergeCell ref="I54:Q54"/>
    <mergeCell ref="R54:AA54"/>
    <mergeCell ref="AB54:AI54"/>
    <mergeCell ref="A55:H55"/>
    <mergeCell ref="I55:Q55"/>
    <mergeCell ref="R55:AA55"/>
    <mergeCell ref="AB55:AI55"/>
    <mergeCell ref="A13:E13"/>
    <mergeCell ref="F13:Q13"/>
    <mergeCell ref="R13:V13"/>
    <mergeCell ref="A14:E14"/>
    <mergeCell ref="F14:Q14"/>
    <mergeCell ref="R14:V14"/>
    <mergeCell ref="A65:I65"/>
    <mergeCell ref="J65:O65"/>
    <mergeCell ref="P65:AB65"/>
    <mergeCell ref="AC65:AK65"/>
    <mergeCell ref="A66:I66"/>
    <mergeCell ref="J66:O66"/>
    <mergeCell ref="P66:AB66"/>
    <mergeCell ref="AC66:AK66"/>
    <mergeCell ref="A63:I63"/>
    <mergeCell ref="J63:O63"/>
    <mergeCell ref="P63:AB63"/>
    <mergeCell ref="AC63:AK63"/>
    <mergeCell ref="A64:I64"/>
    <mergeCell ref="J64:O64"/>
    <mergeCell ref="P64:AB64"/>
    <mergeCell ref="AC64:AK64"/>
    <mergeCell ref="A61:I61"/>
    <mergeCell ref="J61:O61"/>
    <mergeCell ref="P61:AB61"/>
    <mergeCell ref="AC61:AK61"/>
    <mergeCell ref="A62:I62"/>
    <mergeCell ref="J62:O62"/>
    <mergeCell ref="P62:AB62"/>
    <mergeCell ref="AC62:AK62"/>
    <mergeCell ref="A71:I71"/>
    <mergeCell ref="J71:O71"/>
    <mergeCell ref="P71:AB71"/>
    <mergeCell ref="AC71:AK71"/>
    <mergeCell ref="A72:I72"/>
    <mergeCell ref="J72:O72"/>
    <mergeCell ref="P72:AB72"/>
    <mergeCell ref="AC72:AK72"/>
    <mergeCell ref="A69:I69"/>
    <mergeCell ref="J69:O69"/>
    <mergeCell ref="P69:AB69"/>
    <mergeCell ref="AC69:AK69"/>
    <mergeCell ref="A70:I70"/>
    <mergeCell ref="J70:O70"/>
    <mergeCell ref="P70:AB70"/>
    <mergeCell ref="AC70:AK70"/>
    <mergeCell ref="A67:I67"/>
    <mergeCell ref="J67:O67"/>
    <mergeCell ref="P67:AB67"/>
    <mergeCell ref="AC67:AK67"/>
    <mergeCell ref="A68:I68"/>
    <mergeCell ref="J68:O68"/>
    <mergeCell ref="P68:AB68"/>
    <mergeCell ref="AC68:AK68"/>
    <mergeCell ref="A77:I77"/>
    <mergeCell ref="J77:O77"/>
    <mergeCell ref="P77:AB77"/>
    <mergeCell ref="AC77:AK77"/>
    <mergeCell ref="A78:I78"/>
    <mergeCell ref="J78:O78"/>
    <mergeCell ref="P78:AB78"/>
    <mergeCell ref="AC78:AK78"/>
    <mergeCell ref="A75:I75"/>
    <mergeCell ref="J75:O75"/>
    <mergeCell ref="P75:AB75"/>
    <mergeCell ref="AC75:AK75"/>
    <mergeCell ref="A76:I76"/>
    <mergeCell ref="J76:O76"/>
    <mergeCell ref="P76:AB76"/>
    <mergeCell ref="AC76:AK76"/>
    <mergeCell ref="A73:I73"/>
    <mergeCell ref="J73:O73"/>
    <mergeCell ref="P73:AB73"/>
    <mergeCell ref="AC73:AK73"/>
    <mergeCell ref="A74:I74"/>
    <mergeCell ref="J74:O74"/>
    <mergeCell ref="P74:AB74"/>
    <mergeCell ref="AC74:AK74"/>
    <mergeCell ref="V93:X93"/>
    <mergeCell ref="Y93:AC93"/>
    <mergeCell ref="AD93:AF93"/>
    <mergeCell ref="A94:B94"/>
    <mergeCell ref="C94:F94"/>
    <mergeCell ref="G94:J94"/>
    <mergeCell ref="K94:L94"/>
    <mergeCell ref="M94:R94"/>
    <mergeCell ref="S94:T94"/>
    <mergeCell ref="V94:X94"/>
    <mergeCell ref="A93:B93"/>
    <mergeCell ref="C93:F93"/>
    <mergeCell ref="G93:J93"/>
    <mergeCell ref="K93:L93"/>
    <mergeCell ref="M93:R93"/>
    <mergeCell ref="S93:T93"/>
    <mergeCell ref="A79:I79"/>
    <mergeCell ref="J79:O79"/>
    <mergeCell ref="P79:AB79"/>
    <mergeCell ref="AC79:AK79"/>
    <mergeCell ref="A80:I80"/>
    <mergeCell ref="J80:O80"/>
    <mergeCell ref="P80:AB80"/>
    <mergeCell ref="AC80:AK80"/>
    <mergeCell ref="AD95:AF95"/>
    <mergeCell ref="A96:B96"/>
    <mergeCell ref="C96:F96"/>
    <mergeCell ref="G96:J96"/>
    <mergeCell ref="K96:L96"/>
    <mergeCell ref="M96:R96"/>
    <mergeCell ref="S96:T96"/>
    <mergeCell ref="V96:X96"/>
    <mergeCell ref="Y96:AC96"/>
    <mergeCell ref="AD96:AF96"/>
    <mergeCell ref="Y94:AC94"/>
    <mergeCell ref="AD94:AF94"/>
    <mergeCell ref="A95:B95"/>
    <mergeCell ref="C95:F95"/>
    <mergeCell ref="G95:J95"/>
    <mergeCell ref="K95:L95"/>
    <mergeCell ref="M95:R95"/>
    <mergeCell ref="S95:T95"/>
    <mergeCell ref="V95:X95"/>
    <mergeCell ref="Y95:AC95"/>
    <mergeCell ref="Y99:AC99"/>
    <mergeCell ref="AD99:AF99"/>
    <mergeCell ref="A100:B100"/>
    <mergeCell ref="C100:F100"/>
    <mergeCell ref="G100:J100"/>
    <mergeCell ref="K100:L100"/>
    <mergeCell ref="M100:R100"/>
    <mergeCell ref="S100:T100"/>
    <mergeCell ref="V100:X100"/>
    <mergeCell ref="Y100:AC100"/>
    <mergeCell ref="V98:X98"/>
    <mergeCell ref="Y98:AC98"/>
    <mergeCell ref="AD98:AF98"/>
    <mergeCell ref="A99:B99"/>
    <mergeCell ref="C99:F99"/>
    <mergeCell ref="G99:J99"/>
    <mergeCell ref="K99:L99"/>
    <mergeCell ref="M99:R99"/>
    <mergeCell ref="S99:T99"/>
    <mergeCell ref="V99:X99"/>
    <mergeCell ref="A98:B98"/>
    <mergeCell ref="C98:F98"/>
    <mergeCell ref="G98:J98"/>
    <mergeCell ref="K98:L98"/>
    <mergeCell ref="M98:R98"/>
    <mergeCell ref="S98:T98"/>
    <mergeCell ref="A102:C102"/>
    <mergeCell ref="D102:N102"/>
    <mergeCell ref="O102:U102"/>
    <mergeCell ref="V102:AK102"/>
    <mergeCell ref="A103:C103"/>
    <mergeCell ref="D103:N103"/>
    <mergeCell ref="O103:U103"/>
    <mergeCell ref="V103:AK103"/>
    <mergeCell ref="AD100:AF100"/>
    <mergeCell ref="A101:B101"/>
    <mergeCell ref="C101:F101"/>
    <mergeCell ref="G101:J101"/>
    <mergeCell ref="K101:L101"/>
    <mergeCell ref="M101:R101"/>
    <mergeCell ref="S101:T101"/>
    <mergeCell ref="V101:X101"/>
    <mergeCell ref="Y101:AC101"/>
    <mergeCell ref="AD101:AF101"/>
    <mergeCell ref="A112:E112"/>
    <mergeCell ref="F112:Q112"/>
    <mergeCell ref="R112:V112"/>
    <mergeCell ref="A113:E113"/>
    <mergeCell ref="F113:Q113"/>
    <mergeCell ref="R113:V113"/>
    <mergeCell ref="A110:D110"/>
    <mergeCell ref="E110:K110"/>
    <mergeCell ref="L110:W110"/>
    <mergeCell ref="X110:AD110"/>
    <mergeCell ref="A111:D111"/>
    <mergeCell ref="E111:K111"/>
    <mergeCell ref="L111:W111"/>
    <mergeCell ref="X111:AD111"/>
    <mergeCell ref="A108:D108"/>
    <mergeCell ref="E108:K108"/>
    <mergeCell ref="L108:W108"/>
    <mergeCell ref="X108:AD108"/>
    <mergeCell ref="A109:D109"/>
    <mergeCell ref="E109:K109"/>
    <mergeCell ref="L109:W109"/>
    <mergeCell ref="X109:AD109"/>
    <mergeCell ref="A167:I167"/>
    <mergeCell ref="J167:O167"/>
    <mergeCell ref="P167:AB167"/>
    <mergeCell ref="AC167:AH167"/>
    <mergeCell ref="A168:I168"/>
    <mergeCell ref="J168:O168"/>
    <mergeCell ref="P168:AB168"/>
    <mergeCell ref="AC168:AH168"/>
    <mergeCell ref="A116:E116"/>
    <mergeCell ref="F116:Q116"/>
    <mergeCell ref="R116:V116"/>
    <mergeCell ref="B165:M165"/>
    <mergeCell ref="N165:S165"/>
    <mergeCell ref="B166:M166"/>
    <mergeCell ref="N166:S166"/>
    <mergeCell ref="A114:E114"/>
    <mergeCell ref="F114:Q114"/>
    <mergeCell ref="R114:V114"/>
    <mergeCell ref="A115:E115"/>
    <mergeCell ref="F115:Q115"/>
    <mergeCell ref="R115:V115"/>
    <mergeCell ref="A173:I173"/>
    <mergeCell ref="J173:O173"/>
    <mergeCell ref="P173:AB173"/>
    <mergeCell ref="AC173:AH173"/>
    <mergeCell ref="A174:I174"/>
    <mergeCell ref="J174:O174"/>
    <mergeCell ref="P174:AB174"/>
    <mergeCell ref="AC174:AH174"/>
    <mergeCell ref="A171:I171"/>
    <mergeCell ref="J171:O171"/>
    <mergeCell ref="P171:AB171"/>
    <mergeCell ref="AC171:AH171"/>
    <mergeCell ref="A172:I172"/>
    <mergeCell ref="J172:O172"/>
    <mergeCell ref="P172:AB172"/>
    <mergeCell ref="AC172:AH172"/>
    <mergeCell ref="A169:I169"/>
    <mergeCell ref="J169:O169"/>
    <mergeCell ref="P169:AB169"/>
    <mergeCell ref="AC169:AH169"/>
    <mergeCell ref="A170:I170"/>
    <mergeCell ref="J170:O170"/>
    <mergeCell ref="P170:AB170"/>
    <mergeCell ref="AC170:AH170"/>
    <mergeCell ref="A179:I179"/>
    <mergeCell ref="J179:O179"/>
    <mergeCell ref="P179:AB179"/>
    <mergeCell ref="AC179:AH179"/>
    <mergeCell ref="A180:I180"/>
    <mergeCell ref="J180:O180"/>
    <mergeCell ref="P180:AB180"/>
    <mergeCell ref="AC180:AH180"/>
    <mergeCell ref="A177:I177"/>
    <mergeCell ref="J177:O177"/>
    <mergeCell ref="P177:AB177"/>
    <mergeCell ref="AC177:AH177"/>
    <mergeCell ref="A178:I178"/>
    <mergeCell ref="J178:O178"/>
    <mergeCell ref="P178:AB178"/>
    <mergeCell ref="AC178:AH178"/>
    <mergeCell ref="A175:I175"/>
    <mergeCell ref="J175:O175"/>
    <mergeCell ref="P175:AB175"/>
    <mergeCell ref="AC175:AH175"/>
    <mergeCell ref="A176:I176"/>
    <mergeCell ref="J176:O176"/>
    <mergeCell ref="P176:AB176"/>
    <mergeCell ref="AC176:AH176"/>
    <mergeCell ref="A185:I185"/>
    <mergeCell ref="J185:O185"/>
    <mergeCell ref="P185:AB185"/>
    <mergeCell ref="AC185:AH185"/>
    <mergeCell ref="A186:I186"/>
    <mergeCell ref="J186:O186"/>
    <mergeCell ref="P186:AB186"/>
    <mergeCell ref="AC186:AH186"/>
    <mergeCell ref="A183:I183"/>
    <mergeCell ref="J183:O183"/>
    <mergeCell ref="P183:AB183"/>
    <mergeCell ref="AC183:AH183"/>
    <mergeCell ref="A184:I184"/>
    <mergeCell ref="J184:O184"/>
    <mergeCell ref="P184:AB184"/>
    <mergeCell ref="AC184:AH184"/>
    <mergeCell ref="A181:I181"/>
    <mergeCell ref="J181:O181"/>
    <mergeCell ref="P181:AB181"/>
    <mergeCell ref="AC181:AH181"/>
    <mergeCell ref="A182:I182"/>
    <mergeCell ref="J182:O182"/>
    <mergeCell ref="P182:AB182"/>
    <mergeCell ref="AC182:AH182"/>
    <mergeCell ref="Y200:AC200"/>
    <mergeCell ref="AD200:AF200"/>
    <mergeCell ref="A201:B201"/>
    <mergeCell ref="C201:F201"/>
    <mergeCell ref="G201:J201"/>
    <mergeCell ref="K201:L201"/>
    <mergeCell ref="M201:R201"/>
    <mergeCell ref="S201:T201"/>
    <mergeCell ref="V201:X201"/>
    <mergeCell ref="Y201:AC201"/>
    <mergeCell ref="V199:X199"/>
    <mergeCell ref="Y199:AC199"/>
    <mergeCell ref="AD199:AF199"/>
    <mergeCell ref="A200:B200"/>
    <mergeCell ref="C200:F200"/>
    <mergeCell ref="G200:J200"/>
    <mergeCell ref="K200:L200"/>
    <mergeCell ref="M200:R200"/>
    <mergeCell ref="S200:T200"/>
    <mergeCell ref="V200:X200"/>
    <mergeCell ref="A199:B199"/>
    <mergeCell ref="C199:F199"/>
    <mergeCell ref="G199:J199"/>
    <mergeCell ref="K199:L199"/>
    <mergeCell ref="M199:R199"/>
    <mergeCell ref="S199:T199"/>
    <mergeCell ref="V204:X204"/>
    <mergeCell ref="Y204:AC204"/>
    <mergeCell ref="AD204:AF204"/>
    <mergeCell ref="A205:B205"/>
    <mergeCell ref="C205:F205"/>
    <mergeCell ref="G205:J205"/>
    <mergeCell ref="K205:L205"/>
    <mergeCell ref="M205:R205"/>
    <mergeCell ref="S205:T205"/>
    <mergeCell ref="V205:X205"/>
    <mergeCell ref="A204:B204"/>
    <mergeCell ref="C204:F204"/>
    <mergeCell ref="G204:J204"/>
    <mergeCell ref="K204:L204"/>
    <mergeCell ref="M204:R204"/>
    <mergeCell ref="S204:T204"/>
    <mergeCell ref="AD201:AF201"/>
    <mergeCell ref="A202:B202"/>
    <mergeCell ref="C202:F202"/>
    <mergeCell ref="G202:J202"/>
    <mergeCell ref="K202:L202"/>
    <mergeCell ref="M202:R202"/>
    <mergeCell ref="S202:T202"/>
    <mergeCell ref="V202:X202"/>
    <mergeCell ref="Y202:AC202"/>
    <mergeCell ref="AD202:AF202"/>
    <mergeCell ref="AD206:AF206"/>
    <mergeCell ref="A207:B207"/>
    <mergeCell ref="C207:F207"/>
    <mergeCell ref="G207:J207"/>
    <mergeCell ref="K207:L207"/>
    <mergeCell ref="M207:R207"/>
    <mergeCell ref="S207:T207"/>
    <mergeCell ref="V207:X207"/>
    <mergeCell ref="Y207:AC207"/>
    <mergeCell ref="AD207:AF207"/>
    <mergeCell ref="Y205:AC205"/>
    <mergeCell ref="AD205:AF205"/>
    <mergeCell ref="A206:B206"/>
    <mergeCell ref="C206:F206"/>
    <mergeCell ref="G206:J206"/>
    <mergeCell ref="K206:L206"/>
    <mergeCell ref="M206:R206"/>
    <mergeCell ref="S206:T206"/>
    <mergeCell ref="V206:X206"/>
    <mergeCell ref="Y206:AC206"/>
    <mergeCell ref="A216:D216"/>
    <mergeCell ref="E216:K216"/>
    <mergeCell ref="L216:W216"/>
    <mergeCell ref="X216:AD216"/>
    <mergeCell ref="A217:D217"/>
    <mergeCell ref="E217:K217"/>
    <mergeCell ref="L217:W217"/>
    <mergeCell ref="X217:AD217"/>
    <mergeCell ref="A214:D214"/>
    <mergeCell ref="E214:K214"/>
    <mergeCell ref="L214:W214"/>
    <mergeCell ref="X214:AD214"/>
    <mergeCell ref="A215:D215"/>
    <mergeCell ref="E215:K215"/>
    <mergeCell ref="L215:W215"/>
    <mergeCell ref="X215:AD215"/>
    <mergeCell ref="A208:C208"/>
    <mergeCell ref="D208:N208"/>
    <mergeCell ref="O208:U208"/>
    <mergeCell ref="V208:AK208"/>
    <mergeCell ref="A209:C209"/>
    <mergeCell ref="D209:N209"/>
    <mergeCell ref="O209:U209"/>
    <mergeCell ref="V209:AK209"/>
    <mergeCell ref="A222:E222"/>
    <mergeCell ref="F222:Q222"/>
    <mergeCell ref="R222:V222"/>
    <mergeCell ref="B271:M271"/>
    <mergeCell ref="N271:S271"/>
    <mergeCell ref="B272:M272"/>
    <mergeCell ref="N272:S272"/>
    <mergeCell ref="A220:E220"/>
    <mergeCell ref="F220:Q220"/>
    <mergeCell ref="R220:V220"/>
    <mergeCell ref="A221:E221"/>
    <mergeCell ref="F221:Q221"/>
    <mergeCell ref="R221:V221"/>
    <mergeCell ref="A218:E218"/>
    <mergeCell ref="F218:Q218"/>
    <mergeCell ref="R218:V218"/>
    <mergeCell ref="A219:E219"/>
    <mergeCell ref="F219:Q219"/>
    <mergeCell ref="R219:V219"/>
    <mergeCell ref="A277:I277"/>
    <mergeCell ref="J277:O277"/>
    <mergeCell ref="P277:AB277"/>
    <mergeCell ref="AC277:AH277"/>
    <mergeCell ref="A278:I278"/>
    <mergeCell ref="J278:O278"/>
    <mergeCell ref="P278:AB278"/>
    <mergeCell ref="AC278:AH278"/>
    <mergeCell ref="A275:I275"/>
    <mergeCell ref="J275:O275"/>
    <mergeCell ref="P275:AB275"/>
    <mergeCell ref="AC275:AH275"/>
    <mergeCell ref="A276:I276"/>
    <mergeCell ref="J276:O276"/>
    <mergeCell ref="P276:AB276"/>
    <mergeCell ref="AC276:AH276"/>
    <mergeCell ref="A273:I273"/>
    <mergeCell ref="J273:O273"/>
    <mergeCell ref="P273:AB273"/>
    <mergeCell ref="AC273:AH273"/>
    <mergeCell ref="A274:I274"/>
    <mergeCell ref="J274:O274"/>
    <mergeCell ref="P274:AB274"/>
    <mergeCell ref="AC274:AH274"/>
    <mergeCell ref="A283:I283"/>
    <mergeCell ref="J283:O283"/>
    <mergeCell ref="P283:AB283"/>
    <mergeCell ref="AC283:AH283"/>
    <mergeCell ref="A284:I284"/>
    <mergeCell ref="J284:O284"/>
    <mergeCell ref="P284:AB284"/>
    <mergeCell ref="AC284:AH284"/>
    <mergeCell ref="A281:I281"/>
    <mergeCell ref="J281:O281"/>
    <mergeCell ref="P281:AB281"/>
    <mergeCell ref="AC281:AH281"/>
    <mergeCell ref="A282:I282"/>
    <mergeCell ref="J282:O282"/>
    <mergeCell ref="P282:AB282"/>
    <mergeCell ref="AC282:AH282"/>
    <mergeCell ref="A279:I279"/>
    <mergeCell ref="J279:O279"/>
    <mergeCell ref="P279:AB279"/>
    <mergeCell ref="AC279:AH279"/>
    <mergeCell ref="A280:I280"/>
    <mergeCell ref="J280:O280"/>
    <mergeCell ref="P280:AB280"/>
    <mergeCell ref="AC280:AH280"/>
    <mergeCell ref="A289:I289"/>
    <mergeCell ref="J289:O289"/>
    <mergeCell ref="P289:AB289"/>
    <mergeCell ref="AC289:AH289"/>
    <mergeCell ref="A290:I290"/>
    <mergeCell ref="J290:O290"/>
    <mergeCell ref="P290:AB290"/>
    <mergeCell ref="AC290:AH290"/>
    <mergeCell ref="A287:I287"/>
    <mergeCell ref="J287:O287"/>
    <mergeCell ref="P287:AB287"/>
    <mergeCell ref="AC287:AH287"/>
    <mergeCell ref="A288:I288"/>
    <mergeCell ref="J288:O288"/>
    <mergeCell ref="P288:AB288"/>
    <mergeCell ref="AC288:AH288"/>
    <mergeCell ref="A285:I285"/>
    <mergeCell ref="J285:O285"/>
    <mergeCell ref="P285:AB285"/>
    <mergeCell ref="AC285:AH285"/>
    <mergeCell ref="A286:I286"/>
    <mergeCell ref="J286:O286"/>
    <mergeCell ref="P286:AB286"/>
    <mergeCell ref="AC286:AH286"/>
    <mergeCell ref="V305:X305"/>
    <mergeCell ref="Y305:AC305"/>
    <mergeCell ref="AD305:AF305"/>
    <mergeCell ref="A306:B306"/>
    <mergeCell ref="C306:F306"/>
    <mergeCell ref="G306:J306"/>
    <mergeCell ref="K306:L306"/>
    <mergeCell ref="M306:R306"/>
    <mergeCell ref="S306:T306"/>
    <mergeCell ref="V306:X306"/>
    <mergeCell ref="A305:B305"/>
    <mergeCell ref="C305:F305"/>
    <mergeCell ref="G305:J305"/>
    <mergeCell ref="K305:L305"/>
    <mergeCell ref="M305:R305"/>
    <mergeCell ref="S305:T305"/>
    <mergeCell ref="A291:I291"/>
    <mergeCell ref="J291:O291"/>
    <mergeCell ref="P291:AB291"/>
    <mergeCell ref="AC291:AH291"/>
    <mergeCell ref="A292:I292"/>
    <mergeCell ref="J292:O292"/>
    <mergeCell ref="P292:AB292"/>
    <mergeCell ref="AC292:AH292"/>
    <mergeCell ref="AD307:AF307"/>
    <mergeCell ref="A308:B308"/>
    <mergeCell ref="C308:F308"/>
    <mergeCell ref="G308:J308"/>
    <mergeCell ref="K308:L308"/>
    <mergeCell ref="M308:R308"/>
    <mergeCell ref="S308:T308"/>
    <mergeCell ref="V308:X308"/>
    <mergeCell ref="Y308:AC308"/>
    <mergeCell ref="AD308:AF308"/>
    <mergeCell ref="Y306:AC306"/>
    <mergeCell ref="AD306:AF306"/>
    <mergeCell ref="A307:B307"/>
    <mergeCell ref="C307:F307"/>
    <mergeCell ref="G307:J307"/>
    <mergeCell ref="K307:L307"/>
    <mergeCell ref="M307:R307"/>
    <mergeCell ref="S307:T307"/>
    <mergeCell ref="V307:X307"/>
    <mergeCell ref="Y307:AC307"/>
    <mergeCell ref="Y311:AC311"/>
    <mergeCell ref="AD311:AF311"/>
    <mergeCell ref="A312:B312"/>
    <mergeCell ref="C312:F312"/>
    <mergeCell ref="G312:J312"/>
    <mergeCell ref="K312:L312"/>
    <mergeCell ref="M312:R312"/>
    <mergeCell ref="S312:T312"/>
    <mergeCell ref="V312:X312"/>
    <mergeCell ref="Y312:AC312"/>
    <mergeCell ref="V310:X310"/>
    <mergeCell ref="Y310:AC310"/>
    <mergeCell ref="AD310:AF310"/>
    <mergeCell ref="A311:B311"/>
    <mergeCell ref="C311:F311"/>
    <mergeCell ref="G311:J311"/>
    <mergeCell ref="K311:L311"/>
    <mergeCell ref="M311:R311"/>
    <mergeCell ref="S311:T311"/>
    <mergeCell ref="V311:X311"/>
    <mergeCell ref="A310:B310"/>
    <mergeCell ref="C310:F310"/>
    <mergeCell ref="G310:J310"/>
    <mergeCell ref="K310:L310"/>
    <mergeCell ref="M310:R310"/>
    <mergeCell ref="S310:T310"/>
    <mergeCell ref="A320:D320"/>
    <mergeCell ref="E320:K320"/>
    <mergeCell ref="L320:W320"/>
    <mergeCell ref="X320:AD320"/>
    <mergeCell ref="A321:D321"/>
    <mergeCell ref="E321:K321"/>
    <mergeCell ref="L321:W321"/>
    <mergeCell ref="X321:AD321"/>
    <mergeCell ref="A314:C314"/>
    <mergeCell ref="D314:N314"/>
    <mergeCell ref="O314:U314"/>
    <mergeCell ref="V314:AK314"/>
    <mergeCell ref="A315:C315"/>
    <mergeCell ref="D315:N315"/>
    <mergeCell ref="O315:U315"/>
    <mergeCell ref="V315:AK315"/>
    <mergeCell ref="AD312:AF312"/>
    <mergeCell ref="A313:B313"/>
    <mergeCell ref="C313:F313"/>
    <mergeCell ref="G313:J313"/>
    <mergeCell ref="K313:L313"/>
    <mergeCell ref="M313:R313"/>
    <mergeCell ref="S313:T313"/>
    <mergeCell ref="V313:X313"/>
    <mergeCell ref="Y313:AC313"/>
    <mergeCell ref="AD313:AF313"/>
    <mergeCell ref="A326:E326"/>
    <mergeCell ref="F326:Q326"/>
    <mergeCell ref="R326:V326"/>
    <mergeCell ref="A327:E327"/>
    <mergeCell ref="F327:Q327"/>
    <mergeCell ref="R327:V327"/>
    <mergeCell ref="A324:E324"/>
    <mergeCell ref="F324:Q324"/>
    <mergeCell ref="R324:V324"/>
    <mergeCell ref="A325:E325"/>
    <mergeCell ref="F325:Q325"/>
    <mergeCell ref="R325:V325"/>
    <mergeCell ref="A322:D322"/>
    <mergeCell ref="E322:K322"/>
    <mergeCell ref="L322:W322"/>
    <mergeCell ref="X322:AD322"/>
    <mergeCell ref="A323:D323"/>
    <mergeCell ref="E323:K323"/>
    <mergeCell ref="L323:W323"/>
    <mergeCell ref="X323:AD323"/>
    <mergeCell ref="A371:Q371"/>
    <mergeCell ref="R371:AA371"/>
    <mergeCell ref="AB371:AI371"/>
    <mergeCell ref="A375:I375"/>
    <mergeCell ref="J375:O375"/>
    <mergeCell ref="P375:AB375"/>
    <mergeCell ref="AC375:AK375"/>
    <mergeCell ref="AB368:AI368"/>
    <mergeCell ref="A369:H369"/>
    <mergeCell ref="I369:Q369"/>
    <mergeCell ref="R369:AA369"/>
    <mergeCell ref="AB369:AI369"/>
    <mergeCell ref="A370:Q370"/>
    <mergeCell ref="R370:AA370"/>
    <mergeCell ref="AB370:AI370"/>
    <mergeCell ref="A328:E328"/>
    <mergeCell ref="F328:Q328"/>
    <mergeCell ref="R328:V328"/>
    <mergeCell ref="A368:H368"/>
    <mergeCell ref="I368:Q368"/>
    <mergeCell ref="R368:AA368"/>
    <mergeCell ref="A380:I380"/>
    <mergeCell ref="J380:O380"/>
    <mergeCell ref="P380:AB380"/>
    <mergeCell ref="AC380:AK380"/>
    <mergeCell ref="A381:I381"/>
    <mergeCell ref="J381:O381"/>
    <mergeCell ref="P381:AB381"/>
    <mergeCell ref="AC381:AK381"/>
    <mergeCell ref="A378:I378"/>
    <mergeCell ref="J378:O378"/>
    <mergeCell ref="P378:AB378"/>
    <mergeCell ref="AC378:AK378"/>
    <mergeCell ref="A379:I379"/>
    <mergeCell ref="J379:O379"/>
    <mergeCell ref="P379:AB379"/>
    <mergeCell ref="AC379:AK379"/>
    <mergeCell ref="A376:I376"/>
    <mergeCell ref="J376:O376"/>
    <mergeCell ref="P376:AB376"/>
    <mergeCell ref="AC376:AK376"/>
    <mergeCell ref="A377:I377"/>
    <mergeCell ref="J377:O377"/>
    <mergeCell ref="P377:AB377"/>
    <mergeCell ref="AC377:AK377"/>
    <mergeCell ref="A386:I386"/>
    <mergeCell ref="J386:O386"/>
    <mergeCell ref="P386:AB386"/>
    <mergeCell ref="AC386:AK386"/>
    <mergeCell ref="A387:I387"/>
    <mergeCell ref="J387:O387"/>
    <mergeCell ref="P387:AB387"/>
    <mergeCell ref="AC387:AK387"/>
    <mergeCell ref="A384:I384"/>
    <mergeCell ref="J384:O384"/>
    <mergeCell ref="P384:AB384"/>
    <mergeCell ref="AC384:AK384"/>
    <mergeCell ref="A385:I385"/>
    <mergeCell ref="J385:O385"/>
    <mergeCell ref="P385:AB385"/>
    <mergeCell ref="AC385:AK385"/>
    <mergeCell ref="A382:I382"/>
    <mergeCell ref="J382:O382"/>
    <mergeCell ref="P382:AB382"/>
    <mergeCell ref="AC382:AK382"/>
    <mergeCell ref="A383:I383"/>
    <mergeCell ref="J383:O383"/>
    <mergeCell ref="P383:AB383"/>
    <mergeCell ref="AC383:AK383"/>
    <mergeCell ref="A392:I392"/>
    <mergeCell ref="J392:O392"/>
    <mergeCell ref="P392:AB392"/>
    <mergeCell ref="AC392:AK392"/>
    <mergeCell ref="A393:I393"/>
    <mergeCell ref="J393:O393"/>
    <mergeCell ref="P393:AB393"/>
    <mergeCell ref="AC393:AK393"/>
    <mergeCell ref="A390:I390"/>
    <mergeCell ref="J390:O390"/>
    <mergeCell ref="P390:AB390"/>
    <mergeCell ref="AC390:AK390"/>
    <mergeCell ref="A391:I391"/>
    <mergeCell ref="J391:O391"/>
    <mergeCell ref="P391:AB391"/>
    <mergeCell ref="AC391:AK391"/>
    <mergeCell ref="A388:I388"/>
    <mergeCell ref="J388:O388"/>
    <mergeCell ref="P388:AB388"/>
    <mergeCell ref="AC388:AK388"/>
    <mergeCell ref="A389:I389"/>
    <mergeCell ref="J389:O389"/>
    <mergeCell ref="P389:AB389"/>
    <mergeCell ref="AC389:AK389"/>
    <mergeCell ref="V407:X407"/>
    <mergeCell ref="Y407:AC407"/>
    <mergeCell ref="AD407:AF407"/>
    <mergeCell ref="A408:B408"/>
    <mergeCell ref="C408:F408"/>
    <mergeCell ref="G408:J408"/>
    <mergeCell ref="K408:L408"/>
    <mergeCell ref="M408:R408"/>
    <mergeCell ref="S408:T408"/>
    <mergeCell ref="V408:X408"/>
    <mergeCell ref="A394:I394"/>
    <mergeCell ref="J394:O394"/>
    <mergeCell ref="P394:AB394"/>
    <mergeCell ref="AC394:AK394"/>
    <mergeCell ref="A407:B407"/>
    <mergeCell ref="C407:F407"/>
    <mergeCell ref="G407:J407"/>
    <mergeCell ref="K407:L407"/>
    <mergeCell ref="M407:R407"/>
    <mergeCell ref="S407:T407"/>
    <mergeCell ref="AD409:AF409"/>
    <mergeCell ref="A410:B410"/>
    <mergeCell ref="C410:F410"/>
    <mergeCell ref="G410:J410"/>
    <mergeCell ref="K410:L410"/>
    <mergeCell ref="M410:R410"/>
    <mergeCell ref="S410:T410"/>
    <mergeCell ref="V410:X410"/>
    <mergeCell ref="Y410:AC410"/>
    <mergeCell ref="AD410:AF410"/>
    <mergeCell ref="Y408:AC408"/>
    <mergeCell ref="AD408:AF408"/>
    <mergeCell ref="A409:B409"/>
    <mergeCell ref="C409:F409"/>
    <mergeCell ref="G409:J409"/>
    <mergeCell ref="K409:L409"/>
    <mergeCell ref="M409:R409"/>
    <mergeCell ref="S409:T409"/>
    <mergeCell ref="V409:X409"/>
    <mergeCell ref="Y409:AC409"/>
    <mergeCell ref="Y413:AC413"/>
    <mergeCell ref="AD413:AF413"/>
    <mergeCell ref="A414:B414"/>
    <mergeCell ref="C414:F414"/>
    <mergeCell ref="G414:J414"/>
    <mergeCell ref="K414:L414"/>
    <mergeCell ref="M414:R414"/>
    <mergeCell ref="S414:T414"/>
    <mergeCell ref="V414:X414"/>
    <mergeCell ref="Y414:AC414"/>
    <mergeCell ref="V412:X412"/>
    <mergeCell ref="Y412:AC412"/>
    <mergeCell ref="AD412:AF412"/>
    <mergeCell ref="A413:B413"/>
    <mergeCell ref="C413:F413"/>
    <mergeCell ref="G413:J413"/>
    <mergeCell ref="K413:L413"/>
    <mergeCell ref="M413:R413"/>
    <mergeCell ref="S413:T413"/>
    <mergeCell ref="V413:X413"/>
    <mergeCell ref="A412:B412"/>
    <mergeCell ref="C412:F412"/>
    <mergeCell ref="G412:J412"/>
    <mergeCell ref="K412:L412"/>
    <mergeCell ref="M412:R412"/>
    <mergeCell ref="S412:T412"/>
    <mergeCell ref="A422:D422"/>
    <mergeCell ref="E422:K422"/>
    <mergeCell ref="L422:W422"/>
    <mergeCell ref="X422:AD422"/>
    <mergeCell ref="A423:D423"/>
    <mergeCell ref="E423:K423"/>
    <mergeCell ref="L423:W423"/>
    <mergeCell ref="X423:AD423"/>
    <mergeCell ref="A416:C416"/>
    <mergeCell ref="D416:N416"/>
    <mergeCell ref="O416:U416"/>
    <mergeCell ref="V416:AK416"/>
    <mergeCell ref="A417:C417"/>
    <mergeCell ref="D417:N417"/>
    <mergeCell ref="O417:U417"/>
    <mergeCell ref="V417:AK417"/>
    <mergeCell ref="AD414:AF414"/>
    <mergeCell ref="A415:B415"/>
    <mergeCell ref="C415:F415"/>
    <mergeCell ref="G415:J415"/>
    <mergeCell ref="K415:L415"/>
    <mergeCell ref="M415:R415"/>
    <mergeCell ref="S415:T415"/>
    <mergeCell ref="V415:X415"/>
    <mergeCell ref="Y415:AC415"/>
    <mergeCell ref="AD415:AF415"/>
    <mergeCell ref="A428:E428"/>
    <mergeCell ref="F428:Q428"/>
    <mergeCell ref="R428:V428"/>
    <mergeCell ref="A429:E429"/>
    <mergeCell ref="F429:Q429"/>
    <mergeCell ref="R429:V429"/>
    <mergeCell ref="A426:E426"/>
    <mergeCell ref="F426:Q426"/>
    <mergeCell ref="R426:V426"/>
    <mergeCell ref="A427:E427"/>
    <mergeCell ref="F427:Q427"/>
    <mergeCell ref="R427:V427"/>
    <mergeCell ref="A424:D424"/>
    <mergeCell ref="E424:K424"/>
    <mergeCell ref="L424:W424"/>
    <mergeCell ref="X424:AD424"/>
    <mergeCell ref="A425:D425"/>
    <mergeCell ref="E425:K425"/>
    <mergeCell ref="L425:W425"/>
    <mergeCell ref="X425:AD425"/>
    <mergeCell ref="A475:Q475"/>
    <mergeCell ref="R475:AA475"/>
    <mergeCell ref="AB475:AJ475"/>
    <mergeCell ref="A479:I479"/>
    <mergeCell ref="J479:O479"/>
    <mergeCell ref="P479:AB479"/>
    <mergeCell ref="AC479:AK479"/>
    <mergeCell ref="AB472:AJ472"/>
    <mergeCell ref="A473:H473"/>
    <mergeCell ref="I473:Q473"/>
    <mergeCell ref="R473:AA473"/>
    <mergeCell ref="AB473:AJ473"/>
    <mergeCell ref="A474:Q474"/>
    <mergeCell ref="R474:AA474"/>
    <mergeCell ref="AB474:AJ474"/>
    <mergeCell ref="A430:E430"/>
    <mergeCell ref="F430:Q430"/>
    <mergeCell ref="R430:V430"/>
    <mergeCell ref="A472:H472"/>
    <mergeCell ref="I472:Q472"/>
    <mergeCell ref="R472:AA472"/>
    <mergeCell ref="A484:I484"/>
    <mergeCell ref="J484:O484"/>
    <mergeCell ref="P484:AB484"/>
    <mergeCell ref="AC484:AK484"/>
    <mergeCell ref="A485:I485"/>
    <mergeCell ref="J485:O485"/>
    <mergeCell ref="P485:AB485"/>
    <mergeCell ref="AC485:AK485"/>
    <mergeCell ref="A482:I482"/>
    <mergeCell ref="J482:O482"/>
    <mergeCell ref="P482:AB482"/>
    <mergeCell ref="AC482:AK482"/>
    <mergeCell ref="A483:I483"/>
    <mergeCell ref="J483:O483"/>
    <mergeCell ref="P483:AB483"/>
    <mergeCell ref="AC483:AK483"/>
    <mergeCell ref="A480:I480"/>
    <mergeCell ref="J480:O480"/>
    <mergeCell ref="P480:AB480"/>
    <mergeCell ref="AC480:AK480"/>
    <mergeCell ref="A481:I481"/>
    <mergeCell ref="J481:O481"/>
    <mergeCell ref="P481:AB481"/>
    <mergeCell ref="AC481:AK481"/>
    <mergeCell ref="A490:I490"/>
    <mergeCell ref="J490:O490"/>
    <mergeCell ref="P490:AB490"/>
    <mergeCell ref="AC490:AK490"/>
    <mergeCell ref="A491:I491"/>
    <mergeCell ref="J491:O491"/>
    <mergeCell ref="P491:AB491"/>
    <mergeCell ref="AC491:AK491"/>
    <mergeCell ref="A488:I488"/>
    <mergeCell ref="J488:O488"/>
    <mergeCell ref="P488:AB488"/>
    <mergeCell ref="AC488:AK488"/>
    <mergeCell ref="A489:I489"/>
    <mergeCell ref="J489:O489"/>
    <mergeCell ref="P489:AB489"/>
    <mergeCell ref="AC489:AK489"/>
    <mergeCell ref="A486:I486"/>
    <mergeCell ref="J486:O486"/>
    <mergeCell ref="P486:AB486"/>
    <mergeCell ref="AC486:AK486"/>
    <mergeCell ref="A487:I487"/>
    <mergeCell ref="J487:O487"/>
    <mergeCell ref="P487:AB487"/>
    <mergeCell ref="AC487:AK487"/>
    <mergeCell ref="A496:I496"/>
    <mergeCell ref="J496:O496"/>
    <mergeCell ref="P496:AB496"/>
    <mergeCell ref="AC496:AK496"/>
    <mergeCell ref="A497:I497"/>
    <mergeCell ref="J497:O497"/>
    <mergeCell ref="P497:AB497"/>
    <mergeCell ref="AC497:AK497"/>
    <mergeCell ref="A494:I494"/>
    <mergeCell ref="J494:O494"/>
    <mergeCell ref="P494:AB494"/>
    <mergeCell ref="AC494:AK494"/>
    <mergeCell ref="A495:I495"/>
    <mergeCell ref="J495:O495"/>
    <mergeCell ref="P495:AB495"/>
    <mergeCell ref="AC495:AK495"/>
    <mergeCell ref="A492:I492"/>
    <mergeCell ref="J492:O492"/>
    <mergeCell ref="P492:AB492"/>
    <mergeCell ref="AC492:AK492"/>
    <mergeCell ref="A493:I493"/>
    <mergeCell ref="J493:O493"/>
    <mergeCell ref="P493:AB493"/>
    <mergeCell ref="AC493:AK493"/>
    <mergeCell ref="V511:X511"/>
    <mergeCell ref="Y511:AC511"/>
    <mergeCell ref="AD511:AF511"/>
    <mergeCell ref="A512:B512"/>
    <mergeCell ref="C512:F512"/>
    <mergeCell ref="G512:J512"/>
    <mergeCell ref="K512:L512"/>
    <mergeCell ref="M512:R512"/>
    <mergeCell ref="S512:T512"/>
    <mergeCell ref="V512:X512"/>
    <mergeCell ref="A498:I498"/>
    <mergeCell ref="J498:O498"/>
    <mergeCell ref="P498:AB498"/>
    <mergeCell ref="AC498:AK498"/>
    <mergeCell ref="A511:B511"/>
    <mergeCell ref="C511:F511"/>
    <mergeCell ref="G511:J511"/>
    <mergeCell ref="K511:L511"/>
    <mergeCell ref="M511:R511"/>
    <mergeCell ref="S511:T511"/>
    <mergeCell ref="AD513:AF513"/>
    <mergeCell ref="A514:B514"/>
    <mergeCell ref="C514:F514"/>
    <mergeCell ref="G514:J514"/>
    <mergeCell ref="K514:L514"/>
    <mergeCell ref="M514:R514"/>
    <mergeCell ref="S514:T514"/>
    <mergeCell ref="V514:X514"/>
    <mergeCell ref="Y514:AC514"/>
    <mergeCell ref="AD514:AF514"/>
    <mergeCell ref="Y512:AC512"/>
    <mergeCell ref="AD512:AF512"/>
    <mergeCell ref="A513:B513"/>
    <mergeCell ref="C513:F513"/>
    <mergeCell ref="G513:J513"/>
    <mergeCell ref="K513:L513"/>
    <mergeCell ref="M513:R513"/>
    <mergeCell ref="S513:T513"/>
    <mergeCell ref="V513:X513"/>
    <mergeCell ref="Y513:AC513"/>
    <mergeCell ref="Y517:AC517"/>
    <mergeCell ref="AD517:AF517"/>
    <mergeCell ref="A518:B518"/>
    <mergeCell ref="C518:F518"/>
    <mergeCell ref="G518:J518"/>
    <mergeCell ref="K518:L518"/>
    <mergeCell ref="M518:R518"/>
    <mergeCell ref="S518:T518"/>
    <mergeCell ref="V518:X518"/>
    <mergeCell ref="Y518:AC518"/>
    <mergeCell ref="V516:X516"/>
    <mergeCell ref="Y516:AC516"/>
    <mergeCell ref="AD516:AF516"/>
    <mergeCell ref="A517:B517"/>
    <mergeCell ref="C517:F517"/>
    <mergeCell ref="G517:J517"/>
    <mergeCell ref="K517:L517"/>
    <mergeCell ref="M517:R517"/>
    <mergeCell ref="S517:T517"/>
    <mergeCell ref="V517:X517"/>
    <mergeCell ref="A516:B516"/>
    <mergeCell ref="C516:F516"/>
    <mergeCell ref="G516:J516"/>
    <mergeCell ref="K516:L516"/>
    <mergeCell ref="M516:R516"/>
    <mergeCell ref="S516:T516"/>
    <mergeCell ref="A526:D526"/>
    <mergeCell ref="E526:K526"/>
    <mergeCell ref="L526:W526"/>
    <mergeCell ref="X526:AD526"/>
    <mergeCell ref="A527:D527"/>
    <mergeCell ref="E527:K527"/>
    <mergeCell ref="L527:W527"/>
    <mergeCell ref="X527:AD527"/>
    <mergeCell ref="A520:C520"/>
    <mergeCell ref="D520:N520"/>
    <mergeCell ref="O520:U520"/>
    <mergeCell ref="V520:AK520"/>
    <mergeCell ref="A521:C521"/>
    <mergeCell ref="D521:N521"/>
    <mergeCell ref="O521:U521"/>
    <mergeCell ref="V521:AK521"/>
    <mergeCell ref="AD518:AF518"/>
    <mergeCell ref="A519:B519"/>
    <mergeCell ref="C519:F519"/>
    <mergeCell ref="G519:J519"/>
    <mergeCell ref="K519:L519"/>
    <mergeCell ref="M519:R519"/>
    <mergeCell ref="S519:T519"/>
    <mergeCell ref="V519:X519"/>
    <mergeCell ref="Y519:AC519"/>
    <mergeCell ref="AD519:AF519"/>
    <mergeCell ref="A532:E532"/>
    <mergeCell ref="F532:Q532"/>
    <mergeCell ref="R532:V532"/>
    <mergeCell ref="A533:E533"/>
    <mergeCell ref="F533:Q533"/>
    <mergeCell ref="R533:V533"/>
    <mergeCell ref="A530:E530"/>
    <mergeCell ref="F530:Q530"/>
    <mergeCell ref="R530:V530"/>
    <mergeCell ref="A531:E531"/>
    <mergeCell ref="F531:Q531"/>
    <mergeCell ref="R531:V531"/>
    <mergeCell ref="A528:D528"/>
    <mergeCell ref="E528:K528"/>
    <mergeCell ref="L528:W528"/>
    <mergeCell ref="X528:AD528"/>
    <mergeCell ref="A529:D529"/>
    <mergeCell ref="E529:K529"/>
    <mergeCell ref="L529:W529"/>
    <mergeCell ref="X529:AD529"/>
    <mergeCell ref="A562:G562"/>
    <mergeCell ref="H562:O562"/>
    <mergeCell ref="P562:Y562"/>
    <mergeCell ref="Z562:AG562"/>
    <mergeCell ref="A563:G563"/>
    <mergeCell ref="H563:O563"/>
    <mergeCell ref="P563:Y563"/>
    <mergeCell ref="Z563:AG563"/>
    <mergeCell ref="A558:H558"/>
    <mergeCell ref="I558:P558"/>
    <mergeCell ref="Q558:Z558"/>
    <mergeCell ref="A561:G561"/>
    <mergeCell ref="H561:O561"/>
    <mergeCell ref="P561:Y561"/>
    <mergeCell ref="Z561:AG561"/>
    <mergeCell ref="A534:E534"/>
    <mergeCell ref="F534:Q534"/>
    <mergeCell ref="R534:V534"/>
    <mergeCell ref="A557:H557"/>
    <mergeCell ref="I557:P557"/>
    <mergeCell ref="Q557:Z557"/>
    <mergeCell ref="V569:X569"/>
    <mergeCell ref="Y569:AC569"/>
    <mergeCell ref="AD569:AF569"/>
    <mergeCell ref="A570:B570"/>
    <mergeCell ref="C570:F570"/>
    <mergeCell ref="G570:J570"/>
    <mergeCell ref="K570:L570"/>
    <mergeCell ref="M570:R570"/>
    <mergeCell ref="S570:T570"/>
    <mergeCell ref="V570:X570"/>
    <mergeCell ref="A564:G564"/>
    <mergeCell ref="H564:O564"/>
    <mergeCell ref="P564:Y564"/>
    <mergeCell ref="Z564:AG564"/>
    <mergeCell ref="A569:B569"/>
    <mergeCell ref="C569:F569"/>
    <mergeCell ref="G569:J569"/>
    <mergeCell ref="K569:L569"/>
    <mergeCell ref="M569:R569"/>
    <mergeCell ref="S569:T569"/>
    <mergeCell ref="AD571:AF571"/>
    <mergeCell ref="A572:B572"/>
    <mergeCell ref="C572:F572"/>
    <mergeCell ref="G572:J572"/>
    <mergeCell ref="K572:L572"/>
    <mergeCell ref="M572:R572"/>
    <mergeCell ref="S572:T572"/>
    <mergeCell ref="V572:X572"/>
    <mergeCell ref="Y572:AC572"/>
    <mergeCell ref="AD572:AF572"/>
    <mergeCell ref="Y570:AC570"/>
    <mergeCell ref="AD570:AF570"/>
    <mergeCell ref="A571:B571"/>
    <mergeCell ref="C571:F571"/>
    <mergeCell ref="G571:J571"/>
    <mergeCell ref="K571:L571"/>
    <mergeCell ref="M571:R571"/>
    <mergeCell ref="S571:T571"/>
    <mergeCell ref="V571:X571"/>
    <mergeCell ref="Y571:AC57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B050"/>
  </sheetPr>
  <dimension ref="Y20"/>
  <sheetViews>
    <sheetView showGridLines="0" view="pageBreakPreview" topLeftCell="L145" zoomScale="250" zoomScaleNormal="55" zoomScaleSheetLayoutView="250" workbookViewId="0">
      <selection activeCell="AA241" sqref="AA241"/>
    </sheetView>
  </sheetViews>
  <sheetFormatPr defaultRowHeight="15" x14ac:dyDescent="0.25"/>
  <cols>
    <col min="8" max="9" width="9.140625" customWidth="1"/>
    <col min="14" max="14" width="9.140625" customWidth="1"/>
    <col min="26" max="26" width="10.28515625" customWidth="1"/>
  </cols>
  <sheetData>
    <row r="20" spans="25:25" x14ac:dyDescent="0.25">
      <c r="Y20" s="193"/>
    </row>
  </sheetData>
  <printOptions horizontalCentered="1" verticalCentered="1"/>
  <pageMargins left="0" right="0" top="0" bottom="0" header="0.3" footer="0.3"/>
  <pageSetup paperSize="8" scale="88" fitToHeight="1000" orientation="landscape" horizontalDpi="1200" verticalDpi="1200" r:id="rId1"/>
  <rowBreaks count="4" manualBreakCount="4">
    <brk id="60" max="16383" man="1"/>
    <brk id="120" max="16383" man="1"/>
    <brk id="180" max="16383" man="1"/>
    <brk id="240" max="16383" man="1"/>
  </rowBreaks>
  <colBreaks count="1" manualBreakCount="1">
    <brk id="2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B050"/>
  </sheetPr>
  <dimension ref="A1:S1430"/>
  <sheetViews>
    <sheetView tabSelected="1" zoomScale="70" zoomScaleNormal="70" workbookViewId="0">
      <selection activeCell="H44" sqref="H44"/>
    </sheetView>
  </sheetViews>
  <sheetFormatPr defaultRowHeight="15" x14ac:dyDescent="0.25"/>
  <cols>
    <col min="1" max="1" width="23.5703125" customWidth="1"/>
    <col min="2" max="2" width="10.140625" customWidth="1"/>
    <col min="3" max="3" width="79.85546875" customWidth="1"/>
    <col min="4" max="4" width="17.85546875" customWidth="1"/>
    <col min="5" max="5" width="9.7109375" customWidth="1"/>
    <col min="6" max="6" width="11" bestFit="1" customWidth="1"/>
    <col min="7" max="7" width="13.85546875" customWidth="1"/>
    <col min="8" max="8" width="45" bestFit="1" customWidth="1"/>
    <col min="9" max="9" width="20.42578125" customWidth="1"/>
    <col min="10" max="10" width="13.42578125" style="240" customWidth="1"/>
    <col min="11" max="11" width="14.7109375" style="240" customWidth="1"/>
    <col min="12" max="17" width="9.140625" style="240" customWidth="1"/>
  </cols>
  <sheetData>
    <row r="1" spans="1:19" s="140" customFormat="1" ht="15" customHeight="1" x14ac:dyDescent="0.25">
      <c r="A1"/>
      <c r="B1"/>
      <c r="C1"/>
      <c r="D1"/>
      <c r="E1"/>
      <c r="F1"/>
      <c r="G1"/>
      <c r="H1"/>
      <c r="J1" s="239"/>
      <c r="K1" s="239"/>
      <c r="L1" s="239"/>
      <c r="M1" s="239"/>
      <c r="N1" s="239"/>
      <c r="O1" s="239"/>
      <c r="P1" s="239"/>
      <c r="Q1" s="239"/>
    </row>
    <row r="2" spans="1:19" s="140" customFormat="1" ht="15" customHeight="1" x14ac:dyDescent="0.25">
      <c r="A2"/>
      <c r="B2"/>
      <c r="C2"/>
      <c r="D2"/>
      <c r="E2"/>
      <c r="F2"/>
      <c r="G2"/>
      <c r="H2"/>
      <c r="J2" s="239"/>
      <c r="K2" s="239"/>
      <c r="L2" s="239"/>
      <c r="M2" s="239"/>
      <c r="N2" s="239"/>
      <c r="O2" s="239"/>
      <c r="P2" s="239"/>
      <c r="Q2" s="239"/>
    </row>
    <row r="3" spans="1:19" s="140" customFormat="1" ht="15" customHeight="1" x14ac:dyDescent="0.25">
      <c r="A3"/>
      <c r="B3"/>
      <c r="C3"/>
      <c r="D3"/>
      <c r="E3"/>
      <c r="F3"/>
      <c r="G3"/>
      <c r="H3"/>
      <c r="J3" s="239"/>
      <c r="K3" s="239"/>
      <c r="L3" s="239"/>
      <c r="M3" s="239"/>
      <c r="N3" s="239"/>
      <c r="O3" s="239"/>
      <c r="P3" s="239"/>
      <c r="Q3" s="239"/>
    </row>
    <row r="4" spans="1:19" s="140" customFormat="1" ht="15" customHeight="1" x14ac:dyDescent="0.25">
      <c r="A4"/>
      <c r="B4"/>
      <c r="C4"/>
      <c r="D4"/>
      <c r="E4"/>
      <c r="F4"/>
      <c r="G4"/>
      <c r="H4"/>
      <c r="J4" s="239"/>
      <c r="K4" s="239"/>
      <c r="L4" s="239"/>
      <c r="M4" s="239"/>
      <c r="N4" s="239"/>
      <c r="O4" s="239"/>
      <c r="P4" s="239"/>
      <c r="Q4" s="239"/>
    </row>
    <row r="5" spans="1:19" s="140" customFormat="1" ht="15" customHeight="1" x14ac:dyDescent="0.25">
      <c r="A5"/>
      <c r="B5"/>
      <c r="C5"/>
      <c r="D5"/>
      <c r="E5"/>
      <c r="F5"/>
      <c r="G5"/>
      <c r="H5"/>
      <c r="J5" s="239"/>
      <c r="K5" s="239"/>
      <c r="L5" s="239"/>
      <c r="M5" s="239"/>
      <c r="N5" s="239"/>
      <c r="O5" s="239"/>
      <c r="P5" s="239"/>
      <c r="Q5" s="239"/>
    </row>
    <row r="6" spans="1:19" s="140" customFormat="1" ht="15" customHeight="1" x14ac:dyDescent="0.25">
      <c r="A6"/>
      <c r="B6"/>
      <c r="C6"/>
      <c r="D6"/>
      <c r="E6"/>
      <c r="F6"/>
      <c r="G6"/>
      <c r="H6"/>
      <c r="J6" s="239"/>
      <c r="K6" s="239"/>
      <c r="L6" s="239"/>
      <c r="M6" s="239"/>
      <c r="N6" s="239"/>
      <c r="O6" s="239"/>
      <c r="P6" s="239"/>
      <c r="Q6" s="239"/>
    </row>
    <row r="7" spans="1:19" s="140" customFormat="1" ht="15" customHeight="1" x14ac:dyDescent="0.25">
      <c r="A7"/>
      <c r="B7"/>
      <c r="C7"/>
      <c r="D7"/>
      <c r="E7"/>
      <c r="F7"/>
      <c r="G7"/>
      <c r="H7"/>
      <c r="J7" s="239"/>
      <c r="K7" s="239"/>
      <c r="L7" s="239"/>
      <c r="M7" s="239"/>
      <c r="N7" s="239"/>
      <c r="O7" s="239"/>
      <c r="P7" s="239"/>
      <c r="Q7" s="239"/>
    </row>
    <row r="8" spans="1:19" s="140" customFormat="1" ht="15" customHeight="1" x14ac:dyDescent="0.25">
      <c r="A8"/>
      <c r="B8"/>
      <c r="C8"/>
      <c r="D8"/>
      <c r="E8"/>
      <c r="F8"/>
      <c r="G8"/>
      <c r="H8"/>
      <c r="J8" s="239"/>
      <c r="K8" s="239"/>
      <c r="L8" s="239"/>
      <c r="M8" s="239"/>
      <c r="N8" s="239"/>
      <c r="O8" s="239"/>
      <c r="P8" s="239"/>
      <c r="Q8" s="239"/>
    </row>
    <row r="9" spans="1:19" x14ac:dyDescent="0.25">
      <c r="A9" s="16"/>
      <c r="B9" s="16"/>
      <c r="C9" s="16"/>
      <c r="D9" s="17"/>
      <c r="E9" s="16"/>
      <c r="F9" s="16"/>
      <c r="G9" s="16"/>
    </row>
    <row r="10" spans="1:19" x14ac:dyDescent="0.25">
      <c r="A10" s="21">
        <v>43131</v>
      </c>
      <c r="B10" s="22"/>
      <c r="C10" s="24"/>
      <c r="D10" s="26"/>
      <c r="E10" s="26"/>
      <c r="F10" s="26"/>
      <c r="G10" s="26"/>
    </row>
    <row r="11" spans="1:19" ht="31.5" customHeight="1" x14ac:dyDescent="0.25">
      <c r="A11" s="23" t="s">
        <v>151</v>
      </c>
      <c r="B11" s="474" t="s">
        <v>3177</v>
      </c>
      <c r="C11" s="474"/>
      <c r="D11" s="25"/>
      <c r="E11" s="26"/>
      <c r="F11" s="26" t="s">
        <v>2019</v>
      </c>
      <c r="G11" s="24" t="s">
        <v>2494</v>
      </c>
    </row>
    <row r="12" spans="1:19" x14ac:dyDescent="0.25">
      <c r="A12" s="35"/>
      <c r="B12" s="35"/>
      <c r="C12" s="26"/>
      <c r="D12" s="26"/>
      <c r="E12" s="26"/>
      <c r="F12" s="26"/>
      <c r="G12" s="26"/>
    </row>
    <row r="13" spans="1:19" ht="15" customHeight="1" x14ac:dyDescent="0.25">
      <c r="B13" s="36"/>
      <c r="C13" s="235" t="s">
        <v>2493</v>
      </c>
      <c r="D13" s="236">
        <v>1489</v>
      </c>
      <c r="E13" s="25"/>
      <c r="F13" s="25"/>
      <c r="G13" s="25"/>
    </row>
    <row r="14" spans="1:19" ht="15.75" thickBot="1" x14ac:dyDescent="0.3">
      <c r="A14" s="16"/>
      <c r="B14" s="16"/>
      <c r="C14" s="16"/>
      <c r="D14" s="17"/>
      <c r="E14" s="16"/>
      <c r="F14" s="27"/>
      <c r="G14" s="28"/>
      <c r="N14" s="239"/>
      <c r="O14" s="239"/>
      <c r="P14" s="239"/>
      <c r="Q14" s="239"/>
      <c r="R14" s="239"/>
      <c r="S14" s="239"/>
    </row>
    <row r="15" spans="1:19" s="307" customFormat="1" ht="60.75" thickBot="1" x14ac:dyDescent="0.3">
      <c r="A15" s="29" t="s">
        <v>152</v>
      </c>
      <c r="B15" s="30" t="s">
        <v>153</v>
      </c>
      <c r="C15" s="31" t="s">
        <v>154</v>
      </c>
      <c r="D15" s="244" t="s">
        <v>155</v>
      </c>
      <c r="E15" s="351" t="s">
        <v>156</v>
      </c>
      <c r="F15" s="351" t="s">
        <v>157</v>
      </c>
      <c r="G15" s="32" t="s">
        <v>158</v>
      </c>
      <c r="H15" s="32" t="s">
        <v>159</v>
      </c>
      <c r="J15" s="308"/>
      <c r="K15" s="308"/>
      <c r="L15" s="308"/>
      <c r="N15" s="239"/>
      <c r="O15" s="239"/>
      <c r="P15" s="239"/>
      <c r="Q15" s="239"/>
      <c r="R15" s="239"/>
      <c r="S15" s="239"/>
    </row>
    <row r="16" spans="1:19" s="140" customFormat="1" ht="15" customHeight="1" x14ac:dyDescent="0.25">
      <c r="A16" s="423"/>
      <c r="B16" s="423"/>
      <c r="C16" s="429" t="s">
        <v>2833</v>
      </c>
      <c r="D16" s="424"/>
      <c r="E16" s="423"/>
      <c r="F16" s="423"/>
      <c r="G16" s="424"/>
      <c r="H16" s="423"/>
      <c r="K16" s="253"/>
      <c r="L16" s="248"/>
      <c r="N16" s="239"/>
      <c r="O16" s="239"/>
      <c r="P16" s="239"/>
      <c r="Q16" s="239"/>
      <c r="R16" s="239"/>
      <c r="S16" s="239"/>
    </row>
    <row r="17" spans="1:19" s="140" customFormat="1" ht="15" customHeight="1" x14ac:dyDescent="0.25">
      <c r="A17" s="305"/>
      <c r="B17" s="305"/>
      <c r="C17" s="305" t="s">
        <v>2825</v>
      </c>
      <c r="D17" s="306">
        <v>134599</v>
      </c>
      <c r="E17" s="425">
        <v>1</v>
      </c>
      <c r="F17" s="425">
        <f>50</f>
        <v>50</v>
      </c>
      <c r="G17" s="306">
        <f>D17*(100-F17)%*E17</f>
        <v>67299.5</v>
      </c>
      <c r="H17" s="305" t="s">
        <v>2830</v>
      </c>
      <c r="K17" s="253"/>
      <c r="L17" s="248"/>
      <c r="N17" s="239"/>
      <c r="O17" s="239"/>
      <c r="P17" s="239"/>
      <c r="Q17" s="239"/>
      <c r="R17" s="239"/>
      <c r="S17" s="239"/>
    </row>
    <row r="18" spans="1:19" s="140" customFormat="1" ht="15" customHeight="1" x14ac:dyDescent="0.25">
      <c r="A18" s="305"/>
      <c r="B18" s="305"/>
      <c r="C18" s="305"/>
      <c r="D18" s="306"/>
      <c r="E18" s="425"/>
      <c r="F18" s="425"/>
      <c r="G18" s="306"/>
      <c r="H18" s="305"/>
      <c r="I18" s="428"/>
      <c r="K18" s="253"/>
      <c r="L18" s="248"/>
      <c r="N18" s="239"/>
      <c r="O18" s="239"/>
      <c r="P18" s="239"/>
      <c r="Q18" s="239"/>
      <c r="R18" s="239"/>
      <c r="S18" s="239"/>
    </row>
    <row r="19" spans="1:19" s="140" customFormat="1" ht="15" customHeight="1" x14ac:dyDescent="0.25">
      <c r="A19" s="305"/>
      <c r="B19" s="305"/>
      <c r="C19" s="430" t="s">
        <v>1990</v>
      </c>
      <c r="D19" s="431">
        <v>11853</v>
      </c>
      <c r="E19" s="425">
        <v>1</v>
      </c>
      <c r="F19" s="425">
        <f>50</f>
        <v>50</v>
      </c>
      <c r="G19" s="306">
        <f>D19*(100-F19)%*E19</f>
        <v>5926.5</v>
      </c>
      <c r="H19" s="305"/>
      <c r="I19" s="428"/>
      <c r="N19" s="239"/>
      <c r="O19" s="239"/>
      <c r="P19" s="239"/>
      <c r="Q19" s="239"/>
      <c r="R19" s="239"/>
      <c r="S19" s="239"/>
    </row>
    <row r="20" spans="1:19" s="140" customFormat="1" ht="15" customHeight="1" thickBot="1" x14ac:dyDescent="0.3">
      <c r="A20" s="305"/>
      <c r="B20" s="305"/>
      <c r="C20" s="305" t="s">
        <v>139</v>
      </c>
      <c r="D20" s="306">
        <v>19033</v>
      </c>
      <c r="E20" s="425">
        <v>1.5</v>
      </c>
      <c r="F20" s="425">
        <f>50</f>
        <v>50</v>
      </c>
      <c r="G20" s="306">
        <f>D20*(100-F20)%*E20</f>
        <v>14274.75</v>
      </c>
      <c r="H20" s="305"/>
      <c r="I20" s="428"/>
      <c r="N20" s="239"/>
      <c r="O20" s="239"/>
      <c r="P20" s="239"/>
      <c r="Q20" s="239"/>
      <c r="R20" s="239"/>
      <c r="S20" s="239"/>
    </row>
    <row r="21" spans="1:19" s="140" customFormat="1" ht="15" customHeight="1" x14ac:dyDescent="0.25">
      <c r="A21" s="423"/>
      <c r="B21" s="423"/>
      <c r="C21" s="429" t="s">
        <v>2834</v>
      </c>
      <c r="D21" s="424"/>
      <c r="E21" s="423"/>
      <c r="F21" s="423">
        <f>50</f>
        <v>50</v>
      </c>
      <c r="G21" s="424"/>
      <c r="H21" s="423"/>
      <c r="N21" s="239"/>
      <c r="O21" s="239"/>
      <c r="P21" s="239"/>
      <c r="Q21" s="239"/>
      <c r="R21" s="239"/>
      <c r="S21" s="239"/>
    </row>
    <row r="22" spans="1:19" s="140" customFormat="1" ht="15" customHeight="1" x14ac:dyDescent="0.25">
      <c r="A22" s="305"/>
      <c r="B22" s="305"/>
      <c r="C22" s="305"/>
      <c r="D22" s="306"/>
      <c r="E22" s="425"/>
      <c r="F22" s="425"/>
      <c r="G22" s="306"/>
      <c r="H22" s="305"/>
      <c r="I22" s="428"/>
      <c r="N22" s="239"/>
      <c r="O22" s="239"/>
      <c r="P22" s="239"/>
      <c r="Q22" s="239"/>
      <c r="R22" s="239"/>
      <c r="S22" s="239"/>
    </row>
    <row r="23" spans="1:19" s="140" customFormat="1" ht="15" customHeight="1" x14ac:dyDescent="0.25">
      <c r="A23" s="305"/>
      <c r="B23" s="305"/>
      <c r="C23" s="305" t="s">
        <v>2825</v>
      </c>
      <c r="D23" s="306">
        <v>134599</v>
      </c>
      <c r="E23" s="425">
        <v>1</v>
      </c>
      <c r="F23" s="425">
        <f>50</f>
        <v>50</v>
      </c>
      <c r="G23" s="306">
        <f>D23*(100-F23)%*E23</f>
        <v>67299.5</v>
      </c>
      <c r="H23" s="305" t="s">
        <v>2830</v>
      </c>
      <c r="I23" s="428"/>
      <c r="N23" s="239"/>
      <c r="O23" s="239"/>
      <c r="P23" s="239"/>
      <c r="Q23" s="239"/>
      <c r="R23" s="239"/>
      <c r="S23" s="239"/>
    </row>
    <row r="24" spans="1:19" s="140" customFormat="1" ht="15" customHeight="1" x14ac:dyDescent="0.25">
      <c r="A24" s="305"/>
      <c r="B24" s="305"/>
      <c r="C24" s="430" t="s">
        <v>1990</v>
      </c>
      <c r="D24" s="431">
        <v>11853</v>
      </c>
      <c r="E24" s="425">
        <v>1</v>
      </c>
      <c r="F24" s="425">
        <f>50</f>
        <v>50</v>
      </c>
      <c r="G24" s="306">
        <f>D24*(100-F24)%*E24</f>
        <v>5926.5</v>
      </c>
      <c r="H24" s="305"/>
      <c r="I24" s="428"/>
      <c r="N24" s="239"/>
      <c r="O24" s="239"/>
      <c r="P24" s="239"/>
      <c r="Q24" s="239"/>
      <c r="R24" s="239"/>
      <c r="S24" s="239"/>
    </row>
    <row r="25" spans="1:19" s="140" customFormat="1" ht="15" customHeight="1" thickBot="1" x14ac:dyDescent="0.3">
      <c r="A25" s="305"/>
      <c r="B25" s="305"/>
      <c r="C25" s="305" t="s">
        <v>139</v>
      </c>
      <c r="D25" s="306">
        <v>19033</v>
      </c>
      <c r="E25" s="425">
        <v>1.5</v>
      </c>
      <c r="F25" s="425">
        <f>50</f>
        <v>50</v>
      </c>
      <c r="G25" s="306">
        <f>D25*(100-F25)%*E25</f>
        <v>14274.75</v>
      </c>
      <c r="H25" s="305"/>
      <c r="N25" s="239"/>
      <c r="O25" s="239"/>
      <c r="P25" s="239"/>
      <c r="Q25" s="239"/>
      <c r="R25" s="239"/>
      <c r="S25" s="239"/>
    </row>
    <row r="26" spans="1:19" s="140" customFormat="1" ht="15" customHeight="1" x14ac:dyDescent="0.25">
      <c r="A26" s="423"/>
      <c r="B26" s="423"/>
      <c r="C26" s="429" t="s">
        <v>2835</v>
      </c>
      <c r="D26" s="424"/>
      <c r="E26" s="423"/>
      <c r="F26" s="423">
        <f>50</f>
        <v>50</v>
      </c>
      <c r="G26" s="424"/>
      <c r="H26" s="423"/>
      <c r="I26" s="428"/>
      <c r="N26" s="239"/>
      <c r="O26" s="239"/>
      <c r="P26" s="239"/>
      <c r="Q26" s="239"/>
      <c r="R26" s="239"/>
      <c r="S26" s="239"/>
    </row>
    <row r="27" spans="1:19" s="140" customFormat="1" ht="15" customHeight="1" x14ac:dyDescent="0.25">
      <c r="A27" s="305"/>
      <c r="B27" s="305"/>
      <c r="C27" s="305"/>
      <c r="D27" s="306"/>
      <c r="E27" s="425"/>
      <c r="F27" s="425"/>
      <c r="G27" s="306"/>
      <c r="H27" s="305"/>
      <c r="I27" s="428"/>
      <c r="N27" s="239"/>
      <c r="O27" s="239"/>
      <c r="P27" s="239"/>
      <c r="Q27" s="239"/>
      <c r="R27" s="239"/>
      <c r="S27" s="239"/>
    </row>
    <row r="28" spans="1:19" s="140" customFormat="1" ht="15" customHeight="1" x14ac:dyDescent="0.25">
      <c r="A28" s="305"/>
      <c r="B28" s="305"/>
      <c r="C28" s="305" t="s">
        <v>2825</v>
      </c>
      <c r="D28" s="306">
        <v>134599</v>
      </c>
      <c r="E28" s="425">
        <v>1</v>
      </c>
      <c r="F28" s="425">
        <f>50</f>
        <v>50</v>
      </c>
      <c r="G28" s="306">
        <f>D28*(100-F28)%*E28</f>
        <v>67299.5</v>
      </c>
      <c r="H28" s="305" t="s">
        <v>2831</v>
      </c>
      <c r="I28" s="428"/>
      <c r="N28" s="239"/>
      <c r="O28" s="239"/>
      <c r="P28" s="239"/>
      <c r="Q28" s="239"/>
      <c r="R28" s="239"/>
      <c r="S28" s="239"/>
    </row>
    <row r="29" spans="1:19" s="140" customFormat="1" ht="15" customHeight="1" x14ac:dyDescent="0.25">
      <c r="A29" s="305"/>
      <c r="B29" s="305"/>
      <c r="C29" s="430" t="s">
        <v>1990</v>
      </c>
      <c r="D29" s="431">
        <v>11853</v>
      </c>
      <c r="E29" s="425">
        <v>1</v>
      </c>
      <c r="F29" s="425">
        <f>50</f>
        <v>50</v>
      </c>
      <c r="G29" s="306">
        <f>D29*(100-F29)%*E29</f>
        <v>5926.5</v>
      </c>
      <c r="H29" s="305"/>
      <c r="N29" s="239"/>
      <c r="O29" s="239"/>
      <c r="P29" s="239"/>
      <c r="Q29" s="239"/>
      <c r="R29" s="239"/>
      <c r="S29" s="239"/>
    </row>
    <row r="30" spans="1:19" s="140" customFormat="1" ht="15" customHeight="1" thickBot="1" x14ac:dyDescent="0.3">
      <c r="A30" s="305"/>
      <c r="B30" s="305"/>
      <c r="C30" s="305" t="s">
        <v>139</v>
      </c>
      <c r="D30" s="306">
        <v>19033</v>
      </c>
      <c r="E30" s="425">
        <v>1.5</v>
      </c>
      <c r="F30" s="425">
        <f>50</f>
        <v>50</v>
      </c>
      <c r="G30" s="306">
        <f>D30*(100-F30)%*E30</f>
        <v>14274.75</v>
      </c>
      <c r="H30" s="305"/>
      <c r="I30" s="428"/>
      <c r="K30" s="220"/>
      <c r="L30" s="248"/>
      <c r="N30" s="239"/>
      <c r="O30" s="239"/>
      <c r="P30" s="239"/>
      <c r="Q30" s="239"/>
      <c r="R30" s="239"/>
      <c r="S30" s="239"/>
    </row>
    <row r="31" spans="1:19" s="140" customFormat="1" ht="15" customHeight="1" x14ac:dyDescent="0.25">
      <c r="A31" s="423"/>
      <c r="B31" s="423"/>
      <c r="C31" s="429" t="s">
        <v>2836</v>
      </c>
      <c r="D31" s="424"/>
      <c r="E31" s="423"/>
      <c r="F31" s="423">
        <f>50</f>
        <v>50</v>
      </c>
      <c r="G31" s="424"/>
      <c r="H31" s="423"/>
      <c r="I31" s="428"/>
      <c r="K31" s="220"/>
      <c r="L31" s="248"/>
      <c r="N31" s="239"/>
      <c r="O31" s="239"/>
      <c r="P31" s="239"/>
      <c r="Q31" s="239"/>
      <c r="R31" s="239"/>
      <c r="S31" s="239"/>
    </row>
    <row r="32" spans="1:19" s="140" customFormat="1" ht="15" customHeight="1" x14ac:dyDescent="0.25">
      <c r="A32" s="305"/>
      <c r="B32" s="305"/>
      <c r="C32" s="305"/>
      <c r="D32" s="306"/>
      <c r="E32" s="425"/>
      <c r="F32" s="425"/>
      <c r="G32" s="306"/>
      <c r="H32" s="305"/>
      <c r="I32" s="428"/>
      <c r="K32" s="220"/>
      <c r="L32" s="248"/>
      <c r="N32" s="239"/>
      <c r="O32" s="239"/>
      <c r="P32" s="239"/>
      <c r="Q32" s="239"/>
      <c r="R32" s="239"/>
      <c r="S32" s="239"/>
    </row>
    <row r="33" spans="1:19" s="140" customFormat="1" ht="15" customHeight="1" x14ac:dyDescent="0.25">
      <c r="A33" s="305"/>
      <c r="B33" s="305"/>
      <c r="C33" s="305" t="s">
        <v>2825</v>
      </c>
      <c r="D33" s="306">
        <v>134599</v>
      </c>
      <c r="E33" s="425">
        <v>1</v>
      </c>
      <c r="F33" s="425">
        <f>50</f>
        <v>50</v>
      </c>
      <c r="G33" s="306">
        <f>D33*(100-F33)%*E33</f>
        <v>67299.5</v>
      </c>
      <c r="H33" s="305" t="s">
        <v>2830</v>
      </c>
      <c r="K33" s="220"/>
      <c r="L33" s="248"/>
      <c r="N33" s="239"/>
      <c r="O33" s="239"/>
      <c r="P33" s="239"/>
      <c r="Q33" s="239"/>
      <c r="R33" s="239"/>
      <c r="S33" s="239"/>
    </row>
    <row r="34" spans="1:19" s="140" customFormat="1" ht="15" customHeight="1" x14ac:dyDescent="0.25">
      <c r="A34" s="305"/>
      <c r="B34" s="305"/>
      <c r="C34" s="430" t="s">
        <v>1990</v>
      </c>
      <c r="D34" s="431">
        <v>11853</v>
      </c>
      <c r="E34" s="425">
        <v>1</v>
      </c>
      <c r="F34" s="425">
        <f>50</f>
        <v>50</v>
      </c>
      <c r="G34" s="306">
        <f>D34*(100-F34)%*E34</f>
        <v>5926.5</v>
      </c>
      <c r="H34" s="305"/>
      <c r="I34" s="428"/>
      <c r="K34" s="220"/>
      <c r="L34" s="248"/>
      <c r="N34" s="239"/>
      <c r="O34" s="239"/>
      <c r="P34" s="239"/>
      <c r="Q34" s="239"/>
      <c r="R34" s="239"/>
      <c r="S34" s="239"/>
    </row>
    <row r="35" spans="1:19" s="140" customFormat="1" ht="15" customHeight="1" thickBot="1" x14ac:dyDescent="0.3">
      <c r="A35" s="305"/>
      <c r="B35" s="305"/>
      <c r="C35" s="305" t="s">
        <v>139</v>
      </c>
      <c r="D35" s="306">
        <v>19033</v>
      </c>
      <c r="E35" s="425">
        <v>1.5</v>
      </c>
      <c r="F35" s="425">
        <f>50</f>
        <v>50</v>
      </c>
      <c r="G35" s="306">
        <f>D35*(100-F35)%*E35</f>
        <v>14274.75</v>
      </c>
      <c r="H35" s="305"/>
      <c r="I35" s="428"/>
      <c r="K35" s="220"/>
      <c r="L35" s="248"/>
      <c r="N35" s="239"/>
      <c r="O35" s="239"/>
      <c r="P35" s="239"/>
      <c r="Q35" s="239"/>
      <c r="R35" s="239"/>
      <c r="S35" s="239"/>
    </row>
    <row r="36" spans="1:19" s="140" customFormat="1" ht="15" customHeight="1" x14ac:dyDescent="0.25">
      <c r="A36" s="423"/>
      <c r="B36" s="423"/>
      <c r="C36" s="429" t="s">
        <v>2837</v>
      </c>
      <c r="D36" s="424"/>
      <c r="E36" s="423"/>
      <c r="F36" s="423">
        <f>50</f>
        <v>50</v>
      </c>
      <c r="G36" s="424"/>
      <c r="H36" s="423"/>
      <c r="I36" s="428"/>
      <c r="K36" s="220"/>
      <c r="L36" s="248"/>
      <c r="N36" s="239"/>
      <c r="O36" s="239"/>
      <c r="P36" s="239"/>
      <c r="Q36" s="239"/>
      <c r="R36" s="239"/>
      <c r="S36" s="239"/>
    </row>
    <row r="37" spans="1:19" s="140" customFormat="1" ht="15" customHeight="1" x14ac:dyDescent="0.25">
      <c r="A37" s="305"/>
      <c r="B37" s="305"/>
      <c r="C37" s="305"/>
      <c r="D37" s="306"/>
      <c r="E37" s="425"/>
      <c r="F37" s="425"/>
      <c r="G37" s="306"/>
      <c r="H37" s="305"/>
      <c r="K37" s="220"/>
      <c r="L37" s="248"/>
      <c r="N37" s="239"/>
      <c r="O37" s="239"/>
      <c r="P37" s="239"/>
      <c r="Q37" s="239"/>
      <c r="R37" s="239"/>
      <c r="S37" s="239"/>
    </row>
    <row r="38" spans="1:19" s="140" customFormat="1" ht="15" customHeight="1" x14ac:dyDescent="0.25">
      <c r="A38" s="305"/>
      <c r="B38" s="305"/>
      <c r="C38" s="305" t="s">
        <v>2826</v>
      </c>
      <c r="D38" s="306">
        <v>134816</v>
      </c>
      <c r="E38" s="425">
        <v>1</v>
      </c>
      <c r="F38" s="425">
        <f>50</f>
        <v>50</v>
      </c>
      <c r="G38" s="306">
        <f>D38*(100-F38)%*E38</f>
        <v>67408</v>
      </c>
      <c r="H38" s="305" t="s">
        <v>2827</v>
      </c>
      <c r="I38" s="428"/>
      <c r="K38" s="220"/>
      <c r="L38" s="248"/>
      <c r="N38" s="239"/>
      <c r="O38" s="239"/>
      <c r="P38" s="239"/>
      <c r="Q38" s="239"/>
      <c r="R38" s="239"/>
      <c r="S38" s="239"/>
    </row>
    <row r="39" spans="1:19" s="140" customFormat="1" ht="15" customHeight="1" x14ac:dyDescent="0.25">
      <c r="A39" s="305"/>
      <c r="B39" s="305"/>
      <c r="C39" s="430" t="s">
        <v>1990</v>
      </c>
      <c r="D39" s="431">
        <v>11853</v>
      </c>
      <c r="E39" s="425">
        <v>1</v>
      </c>
      <c r="F39" s="425">
        <f>50</f>
        <v>50</v>
      </c>
      <c r="G39" s="306">
        <f>D39*(100-F39)%*E39</f>
        <v>5926.5</v>
      </c>
      <c r="H39" s="305"/>
      <c r="I39" s="428"/>
      <c r="K39" s="220"/>
      <c r="L39" s="248"/>
      <c r="N39" s="239"/>
      <c r="O39" s="239"/>
      <c r="P39" s="239"/>
      <c r="Q39" s="239"/>
      <c r="R39" s="239"/>
      <c r="S39" s="239"/>
    </row>
    <row r="40" spans="1:19" s="140" customFormat="1" ht="15" customHeight="1" thickBot="1" x14ac:dyDescent="0.3">
      <c r="A40" s="305"/>
      <c r="B40" s="305"/>
      <c r="C40" s="305" t="s">
        <v>139</v>
      </c>
      <c r="D40" s="306">
        <v>19033</v>
      </c>
      <c r="E40" s="425">
        <v>1.5</v>
      </c>
      <c r="F40" s="425">
        <f>50</f>
        <v>50</v>
      </c>
      <c r="G40" s="306">
        <f>D40*(100-F40)%*E40</f>
        <v>14274.75</v>
      </c>
      <c r="H40" s="305"/>
      <c r="I40" s="428"/>
      <c r="K40" s="220"/>
      <c r="L40" s="248"/>
      <c r="N40" s="239"/>
      <c r="O40" s="239"/>
      <c r="P40" s="239"/>
      <c r="Q40" s="239"/>
      <c r="R40" s="239"/>
      <c r="S40" s="239"/>
    </row>
    <row r="41" spans="1:19" s="140" customFormat="1" ht="15" customHeight="1" x14ac:dyDescent="0.25">
      <c r="A41" s="423"/>
      <c r="B41" s="423"/>
      <c r="C41" s="429" t="s">
        <v>2838</v>
      </c>
      <c r="D41" s="424"/>
      <c r="E41" s="423"/>
      <c r="F41" s="423">
        <f>50</f>
        <v>50</v>
      </c>
      <c r="G41" s="424"/>
      <c r="H41" s="423"/>
      <c r="K41" s="220"/>
      <c r="L41" s="248"/>
      <c r="N41" s="239"/>
      <c r="O41" s="239"/>
      <c r="P41" s="239"/>
      <c r="Q41" s="239"/>
      <c r="R41" s="239"/>
      <c r="S41" s="239"/>
    </row>
    <row r="42" spans="1:19" s="140" customFormat="1" ht="15" customHeight="1" x14ac:dyDescent="0.25">
      <c r="A42" s="305"/>
      <c r="B42" s="305"/>
      <c r="C42" s="305" t="s">
        <v>2011</v>
      </c>
      <c r="D42" s="306">
        <v>12204</v>
      </c>
      <c r="E42" s="425"/>
      <c r="F42" s="425">
        <f>50</f>
        <v>50</v>
      </c>
      <c r="G42" s="306">
        <f>D42*(100-F42)%*E42</f>
        <v>0</v>
      </c>
      <c r="H42" s="305"/>
      <c r="I42" s="428"/>
      <c r="K42" s="220"/>
      <c r="L42" s="248"/>
      <c r="N42" s="239"/>
      <c r="O42" s="239"/>
      <c r="P42" s="239"/>
      <c r="Q42" s="239"/>
      <c r="R42" s="239"/>
      <c r="S42" s="239"/>
    </row>
    <row r="43" spans="1:19" s="140" customFormat="1" ht="15" customHeight="1" x14ac:dyDescent="0.25">
      <c r="A43" s="305"/>
      <c r="B43" s="305"/>
      <c r="C43" s="305" t="s">
        <v>2825</v>
      </c>
      <c r="D43" s="306">
        <v>134599</v>
      </c>
      <c r="E43" s="425">
        <v>1</v>
      </c>
      <c r="F43" s="425">
        <f>50</f>
        <v>50</v>
      </c>
      <c r="G43" s="306">
        <f>D43*(100-F43)%*E43</f>
        <v>67299.5</v>
      </c>
      <c r="H43" s="305" t="s">
        <v>2831</v>
      </c>
      <c r="I43" s="428"/>
      <c r="K43" s="421"/>
      <c r="L43" s="421"/>
      <c r="N43" s="239"/>
      <c r="O43" s="239"/>
      <c r="P43" s="239"/>
      <c r="Q43" s="239"/>
      <c r="R43" s="239"/>
      <c r="S43" s="239"/>
    </row>
    <row r="44" spans="1:19" s="140" customFormat="1" ht="15" customHeight="1" x14ac:dyDescent="0.25">
      <c r="A44" s="305"/>
      <c r="B44" s="305"/>
      <c r="C44" s="430" t="s">
        <v>1990</v>
      </c>
      <c r="D44" s="431">
        <v>11853</v>
      </c>
      <c r="E44" s="425">
        <v>1</v>
      </c>
      <c r="F44" s="425">
        <f>50</f>
        <v>50</v>
      </c>
      <c r="G44" s="306">
        <f>D44*(100-F44)%*E44</f>
        <v>5926.5</v>
      </c>
      <c r="H44" s="305"/>
      <c r="I44" s="428"/>
      <c r="N44" s="239"/>
      <c r="O44" s="239"/>
      <c r="P44" s="239"/>
      <c r="Q44" s="239"/>
      <c r="R44" s="239"/>
      <c r="S44" s="239"/>
    </row>
    <row r="45" spans="1:19" s="140" customFormat="1" ht="15" customHeight="1" thickBot="1" x14ac:dyDescent="0.3">
      <c r="A45" s="305"/>
      <c r="B45" s="305"/>
      <c r="C45" s="305" t="s">
        <v>139</v>
      </c>
      <c r="D45" s="306">
        <v>19033</v>
      </c>
      <c r="E45" s="425">
        <v>1.5</v>
      </c>
      <c r="F45" s="425">
        <f>50</f>
        <v>50</v>
      </c>
      <c r="G45" s="306">
        <f>D45*(100-F45)%*E45</f>
        <v>14274.75</v>
      </c>
      <c r="H45" s="305"/>
      <c r="N45" s="239"/>
      <c r="O45" s="239"/>
      <c r="P45" s="239"/>
      <c r="Q45" s="239"/>
      <c r="R45" s="239"/>
      <c r="S45" s="239"/>
    </row>
    <row r="46" spans="1:19" s="140" customFormat="1" ht="15" customHeight="1" x14ac:dyDescent="0.25">
      <c r="A46" s="423"/>
      <c r="B46" s="423"/>
      <c r="C46" s="429" t="s">
        <v>2839</v>
      </c>
      <c r="D46" s="424"/>
      <c r="E46" s="423"/>
      <c r="F46" s="423">
        <f>50</f>
        <v>50</v>
      </c>
      <c r="G46" s="424"/>
      <c r="H46" s="423"/>
      <c r="I46" s="428"/>
      <c r="N46" s="239"/>
      <c r="O46" s="239"/>
      <c r="P46" s="239"/>
      <c r="Q46" s="239"/>
      <c r="R46" s="239"/>
      <c r="S46" s="239"/>
    </row>
    <row r="47" spans="1:19" s="140" customFormat="1" ht="15" customHeight="1" x14ac:dyDescent="0.25">
      <c r="A47" s="305"/>
      <c r="B47" s="305"/>
      <c r="C47" s="305" t="s">
        <v>2011</v>
      </c>
      <c r="D47" s="306">
        <v>12204</v>
      </c>
      <c r="E47" s="425"/>
      <c r="F47" s="425">
        <f>50</f>
        <v>50</v>
      </c>
      <c r="G47" s="306">
        <f>D47*(100-F47)%*E47</f>
        <v>0</v>
      </c>
      <c r="H47" s="305"/>
      <c r="I47" s="428"/>
      <c r="N47" s="239"/>
      <c r="O47" s="239"/>
      <c r="P47" s="239"/>
      <c r="Q47" s="239"/>
      <c r="R47" s="239"/>
      <c r="S47" s="239"/>
    </row>
    <row r="48" spans="1:19" s="140" customFormat="1" ht="15" customHeight="1" x14ac:dyDescent="0.25">
      <c r="A48" s="305"/>
      <c r="B48" s="305"/>
      <c r="C48" s="305" t="s">
        <v>2825</v>
      </c>
      <c r="D48" s="306">
        <v>134599</v>
      </c>
      <c r="E48" s="425">
        <v>1</v>
      </c>
      <c r="F48" s="425">
        <f>50</f>
        <v>50</v>
      </c>
      <c r="G48" s="306">
        <f>D48*(100-F48)%*E48</f>
        <v>67299.5</v>
      </c>
      <c r="H48" s="305" t="s">
        <v>2831</v>
      </c>
      <c r="I48" s="428"/>
      <c r="N48" s="239"/>
      <c r="O48" s="239"/>
      <c r="P48" s="239"/>
      <c r="Q48" s="239"/>
      <c r="R48" s="239"/>
      <c r="S48" s="239"/>
    </row>
    <row r="49" spans="1:19" s="140" customFormat="1" ht="15" customHeight="1" x14ac:dyDescent="0.25">
      <c r="A49" s="305"/>
      <c r="B49" s="305"/>
      <c r="C49" s="430" t="s">
        <v>1990</v>
      </c>
      <c r="D49" s="431">
        <v>11853</v>
      </c>
      <c r="E49" s="425">
        <v>1</v>
      </c>
      <c r="F49" s="425">
        <f>50</f>
        <v>50</v>
      </c>
      <c r="G49" s="306">
        <f>D49*(100-F49)%*E49</f>
        <v>5926.5</v>
      </c>
      <c r="H49" s="305"/>
      <c r="N49" s="239"/>
      <c r="O49" s="239"/>
      <c r="P49" s="239"/>
      <c r="Q49" s="239"/>
      <c r="R49" s="239"/>
      <c r="S49" s="239"/>
    </row>
    <row r="50" spans="1:19" s="140" customFormat="1" ht="15" customHeight="1" thickBot="1" x14ac:dyDescent="0.3">
      <c r="A50" s="305"/>
      <c r="B50" s="305"/>
      <c r="C50" s="305" t="s">
        <v>139</v>
      </c>
      <c r="D50" s="306">
        <v>19033</v>
      </c>
      <c r="E50" s="425">
        <v>1.5</v>
      </c>
      <c r="F50" s="425">
        <f>50</f>
        <v>50</v>
      </c>
      <c r="G50" s="306">
        <f>D50*(100-F50)%*E50</f>
        <v>14274.75</v>
      </c>
      <c r="H50" s="305"/>
      <c r="I50" s="428"/>
      <c r="N50" s="239"/>
      <c r="O50" s="239"/>
      <c r="P50" s="239"/>
      <c r="Q50" s="239"/>
      <c r="R50" s="239"/>
      <c r="S50" s="239"/>
    </row>
    <row r="51" spans="1:19" s="140" customFormat="1" ht="15" customHeight="1" x14ac:dyDescent="0.25">
      <c r="A51" s="423"/>
      <c r="B51" s="423"/>
      <c r="C51" s="429" t="s">
        <v>2840</v>
      </c>
      <c r="D51" s="424"/>
      <c r="E51" s="423"/>
      <c r="F51" s="423">
        <f>50</f>
        <v>50</v>
      </c>
      <c r="G51" s="424"/>
      <c r="H51" s="423"/>
      <c r="I51" s="428"/>
      <c r="N51" s="239"/>
      <c r="O51" s="239"/>
      <c r="P51" s="239"/>
      <c r="Q51" s="239"/>
      <c r="R51" s="239"/>
      <c r="S51" s="239"/>
    </row>
    <row r="52" spans="1:19" s="140" customFormat="1" ht="15" customHeight="1" x14ac:dyDescent="0.25">
      <c r="A52" s="305"/>
      <c r="B52" s="305"/>
      <c r="C52" s="305" t="s">
        <v>2011</v>
      </c>
      <c r="D52" s="306">
        <v>12204</v>
      </c>
      <c r="E52" s="425"/>
      <c r="F52" s="425">
        <f>50</f>
        <v>50</v>
      </c>
      <c r="G52" s="306">
        <f>D52*(100-F52)%*E52</f>
        <v>0</v>
      </c>
      <c r="H52" s="305"/>
      <c r="I52" s="428"/>
      <c r="N52" s="239"/>
      <c r="O52" s="239"/>
      <c r="P52" s="239"/>
      <c r="Q52" s="239"/>
      <c r="R52" s="239"/>
      <c r="S52" s="239"/>
    </row>
    <row r="53" spans="1:19" s="140" customFormat="1" ht="15" customHeight="1" x14ac:dyDescent="0.25">
      <c r="A53" s="305"/>
      <c r="B53" s="305"/>
      <c r="C53" s="305" t="s">
        <v>2829</v>
      </c>
      <c r="D53" s="306">
        <v>130039</v>
      </c>
      <c r="E53" s="425">
        <v>1</v>
      </c>
      <c r="F53" s="425">
        <f>50</f>
        <v>50</v>
      </c>
      <c r="G53" s="306">
        <f>D53*(100-F53)%*E53</f>
        <v>65019.5</v>
      </c>
      <c r="H53" s="305" t="s">
        <v>2828</v>
      </c>
      <c r="N53" s="239"/>
      <c r="O53" s="239"/>
      <c r="P53" s="239"/>
      <c r="Q53" s="239"/>
      <c r="R53" s="239"/>
      <c r="S53" s="239"/>
    </row>
    <row r="54" spans="1:19" s="140" customFormat="1" ht="15" customHeight="1" x14ac:dyDescent="0.25">
      <c r="A54" s="305"/>
      <c r="B54" s="305"/>
      <c r="C54" s="430" t="s">
        <v>1990</v>
      </c>
      <c r="D54" s="431">
        <v>11853</v>
      </c>
      <c r="E54" s="425">
        <v>1</v>
      </c>
      <c r="F54" s="425">
        <f>50</f>
        <v>50</v>
      </c>
      <c r="G54" s="306">
        <f>D54*(100-F54)%*E54</f>
        <v>5926.5</v>
      </c>
      <c r="H54" s="305"/>
      <c r="I54" s="427"/>
      <c r="N54" s="239"/>
      <c r="O54" s="239"/>
      <c r="P54" s="239"/>
      <c r="Q54" s="239"/>
      <c r="R54" s="239"/>
      <c r="S54" s="239"/>
    </row>
    <row r="55" spans="1:19" s="140" customFormat="1" ht="15" customHeight="1" thickBot="1" x14ac:dyDescent="0.3">
      <c r="A55" s="305"/>
      <c r="B55" s="305"/>
      <c r="C55" s="305" t="s">
        <v>139</v>
      </c>
      <c r="D55" s="306">
        <v>19033</v>
      </c>
      <c r="E55" s="425">
        <v>1.5</v>
      </c>
      <c r="F55" s="425">
        <f>50</f>
        <v>50</v>
      </c>
      <c r="G55" s="306">
        <f>D55*(100-F55)%*E55</f>
        <v>14274.75</v>
      </c>
      <c r="H55" s="305"/>
      <c r="I55" s="428"/>
      <c r="N55" s="239"/>
      <c r="O55" s="239"/>
      <c r="P55" s="239"/>
      <c r="Q55" s="239"/>
      <c r="R55" s="239"/>
      <c r="S55" s="239"/>
    </row>
    <row r="56" spans="1:19" s="140" customFormat="1" ht="15" customHeight="1" x14ac:dyDescent="0.25">
      <c r="A56" s="423"/>
      <c r="B56" s="423"/>
      <c r="C56" s="429" t="s">
        <v>2841</v>
      </c>
      <c r="D56" s="424"/>
      <c r="E56" s="423"/>
      <c r="F56" s="423">
        <f>50</f>
        <v>50</v>
      </c>
      <c r="G56" s="424"/>
      <c r="H56" s="423"/>
      <c r="N56" s="239"/>
      <c r="O56" s="239"/>
      <c r="P56" s="239"/>
      <c r="Q56" s="239"/>
      <c r="R56" s="239"/>
      <c r="S56" s="239"/>
    </row>
    <row r="57" spans="1:19" s="140" customFormat="1" ht="15" customHeight="1" x14ac:dyDescent="0.25">
      <c r="A57" s="305"/>
      <c r="B57" s="305"/>
      <c r="C57" s="305" t="s">
        <v>2011</v>
      </c>
      <c r="D57" s="306">
        <v>12204</v>
      </c>
      <c r="E57" s="425"/>
      <c r="F57" s="425">
        <f>50</f>
        <v>50</v>
      </c>
      <c r="G57" s="306">
        <f>D57*(100-F57)%*E57</f>
        <v>0</v>
      </c>
      <c r="H57" s="305"/>
      <c r="N57" s="239"/>
      <c r="O57" s="239"/>
      <c r="P57" s="239"/>
      <c r="Q57" s="239"/>
      <c r="R57" s="239"/>
      <c r="S57" s="239"/>
    </row>
    <row r="58" spans="1:19" s="140" customFormat="1" ht="15" customHeight="1" x14ac:dyDescent="0.25">
      <c r="A58" s="305"/>
      <c r="B58" s="305"/>
      <c r="C58" s="305" t="s">
        <v>2829</v>
      </c>
      <c r="D58" s="306">
        <v>130039</v>
      </c>
      <c r="E58" s="425">
        <v>1</v>
      </c>
      <c r="F58" s="425">
        <f>50</f>
        <v>50</v>
      </c>
      <c r="G58" s="306">
        <f>D58*(100-F58)%*E58</f>
        <v>65019.5</v>
      </c>
      <c r="H58" s="305" t="s">
        <v>2828</v>
      </c>
      <c r="N58" s="239"/>
      <c r="O58" s="239"/>
      <c r="P58" s="239"/>
      <c r="Q58" s="239"/>
      <c r="R58" s="239"/>
      <c r="S58" s="239"/>
    </row>
    <row r="59" spans="1:19" s="140" customFormat="1" ht="15" customHeight="1" x14ac:dyDescent="0.25">
      <c r="A59" s="305"/>
      <c r="B59" s="305"/>
      <c r="C59" s="430" t="s">
        <v>1990</v>
      </c>
      <c r="D59" s="431">
        <v>11853</v>
      </c>
      <c r="E59" s="425">
        <v>1</v>
      </c>
      <c r="F59" s="425">
        <f>50</f>
        <v>50</v>
      </c>
      <c r="G59" s="306">
        <f>D59*(100-F59)%*E59</f>
        <v>5926.5</v>
      </c>
      <c r="H59" s="305"/>
      <c r="N59" s="239"/>
      <c r="O59" s="239"/>
      <c r="P59" s="239"/>
      <c r="Q59" s="239"/>
      <c r="R59" s="239"/>
      <c r="S59" s="239"/>
    </row>
    <row r="60" spans="1:19" s="140" customFormat="1" ht="15" customHeight="1" thickBot="1" x14ac:dyDescent="0.3">
      <c r="A60" s="305"/>
      <c r="B60" s="305"/>
      <c r="C60" s="305" t="s">
        <v>139</v>
      </c>
      <c r="D60" s="306">
        <v>19033</v>
      </c>
      <c r="E60" s="425">
        <v>1.5</v>
      </c>
      <c r="F60" s="425">
        <f>50</f>
        <v>50</v>
      </c>
      <c r="G60" s="306">
        <f>D60*(100-F60)%*E60</f>
        <v>14274.75</v>
      </c>
      <c r="H60" s="305"/>
      <c r="N60" s="239"/>
      <c r="O60" s="239"/>
      <c r="P60" s="239"/>
      <c r="Q60" s="239"/>
      <c r="R60" s="239"/>
      <c r="S60" s="239"/>
    </row>
    <row r="61" spans="1:19" s="140" customFormat="1" ht="15" customHeight="1" x14ac:dyDescent="0.25">
      <c r="A61" s="423"/>
      <c r="B61" s="423"/>
      <c r="C61" s="429" t="s">
        <v>2842</v>
      </c>
      <c r="D61" s="424"/>
      <c r="E61" s="423"/>
      <c r="F61" s="423">
        <f>50</f>
        <v>50</v>
      </c>
      <c r="G61" s="424"/>
      <c r="H61" s="423"/>
    </row>
    <row r="62" spans="1:19" s="140" customFormat="1" ht="15" customHeight="1" x14ac:dyDescent="0.25">
      <c r="A62" s="305"/>
      <c r="B62" s="305"/>
      <c r="C62" s="305" t="s">
        <v>2011</v>
      </c>
      <c r="D62" s="306">
        <v>12204</v>
      </c>
      <c r="E62" s="425"/>
      <c r="F62" s="425">
        <f>50</f>
        <v>50</v>
      </c>
      <c r="G62" s="306">
        <f>D62*(100-F62)%*E62</f>
        <v>0</v>
      </c>
      <c r="H62" s="305"/>
    </row>
    <row r="63" spans="1:19" s="140" customFormat="1" ht="15" customHeight="1" x14ac:dyDescent="0.25">
      <c r="A63" s="305"/>
      <c r="B63" s="305"/>
      <c r="C63" s="305" t="s">
        <v>2829</v>
      </c>
      <c r="D63" s="306">
        <v>130039</v>
      </c>
      <c r="E63" s="425">
        <v>1</v>
      </c>
      <c r="F63" s="425">
        <f>50</f>
        <v>50</v>
      </c>
      <c r="G63" s="306">
        <f>D63*(100-F63)%*E63</f>
        <v>65019.5</v>
      </c>
      <c r="H63" s="305" t="s">
        <v>2832</v>
      </c>
    </row>
    <row r="64" spans="1:19" s="140" customFormat="1" ht="15" customHeight="1" x14ac:dyDescent="0.25">
      <c r="A64" s="305"/>
      <c r="B64" s="305"/>
      <c r="C64" s="430" t="s">
        <v>1990</v>
      </c>
      <c r="D64" s="431">
        <v>11853</v>
      </c>
      <c r="E64" s="425">
        <v>1</v>
      </c>
      <c r="F64" s="425">
        <f>50</f>
        <v>50</v>
      </c>
      <c r="G64" s="306">
        <f>D64*(100-F64)%*E64</f>
        <v>5926.5</v>
      </c>
      <c r="H64" s="305"/>
    </row>
    <row r="65" spans="1:8" s="140" customFormat="1" ht="15" customHeight="1" x14ac:dyDescent="0.25">
      <c r="A65" s="305"/>
      <c r="B65" s="305"/>
      <c r="C65" s="305" t="s">
        <v>139</v>
      </c>
      <c r="D65" s="306">
        <v>19033</v>
      </c>
      <c r="E65" s="425">
        <v>1.5</v>
      </c>
      <c r="F65" s="425">
        <f>50</f>
        <v>50</v>
      </c>
      <c r="G65" s="306">
        <f>D65*(100-F65)%*E65</f>
        <v>14274.75</v>
      </c>
      <c r="H65" s="305"/>
    </row>
    <row r="66" spans="1:8" s="140" customFormat="1" ht="15" customHeight="1" thickBot="1" x14ac:dyDescent="0.3">
      <c r="A66" s="417"/>
      <c r="B66" s="417"/>
      <c r="C66" s="417"/>
      <c r="D66" s="417"/>
      <c r="E66" s="417"/>
      <c r="F66" s="426"/>
      <c r="G66" s="418"/>
      <c r="H66" s="417"/>
    </row>
    <row r="67" spans="1:8" s="140" customFormat="1" ht="15" customHeight="1" thickBot="1" x14ac:dyDescent="0.3">
      <c r="A67" s="416"/>
      <c r="B67" s="416"/>
      <c r="C67" s="416"/>
      <c r="D67" s="416"/>
      <c r="E67" s="416"/>
      <c r="F67" s="419" t="s">
        <v>2806</v>
      </c>
      <c r="G67" s="420">
        <f>SUM(G17:G66)</f>
        <v>868276</v>
      </c>
      <c r="H67" s="416" t="s">
        <v>2807</v>
      </c>
    </row>
    <row r="68" spans="1:8" s="140" customFormat="1" ht="15" customHeight="1" x14ac:dyDescent="0.25">
      <c r="A68"/>
      <c r="B68"/>
      <c r="C68"/>
      <c r="D68"/>
      <c r="E68"/>
      <c r="F68"/>
      <c r="G68"/>
      <c r="H68"/>
    </row>
    <row r="69" spans="1:8" s="140" customFormat="1" ht="40.5" customHeight="1" x14ac:dyDescent="0.25">
      <c r="A69" s="194" t="s">
        <v>2424</v>
      </c>
      <c r="B69" s="195"/>
      <c r="C69" s="195"/>
      <c r="D69" s="195"/>
      <c r="E69" s="195"/>
      <c r="F69" s="195"/>
      <c r="G69" s="195"/>
    </row>
    <row r="70" spans="1:8" s="140" customFormat="1" ht="34.5" customHeight="1" x14ac:dyDescent="0.25">
      <c r="A70" s="195" t="s">
        <v>2425</v>
      </c>
      <c r="B70" s="196"/>
      <c r="C70" s="196"/>
      <c r="D70" s="197"/>
      <c r="E70" s="196"/>
      <c r="F70" s="196"/>
      <c r="G70" s="196"/>
    </row>
    <row r="71" spans="1:8" s="140" customFormat="1" x14ac:dyDescent="0.25">
      <c r="A71" s="198" t="s">
        <v>2426</v>
      </c>
      <c r="B71" s="196"/>
      <c r="C71" s="196"/>
      <c r="D71" s="197"/>
      <c r="E71" s="196"/>
      <c r="F71" s="196"/>
      <c r="G71" s="196"/>
    </row>
    <row r="72" spans="1:8" s="140" customFormat="1" x14ac:dyDescent="0.25">
      <c r="A72" s="198" t="s">
        <v>2427</v>
      </c>
      <c r="B72" s="196"/>
      <c r="C72" s="196"/>
      <c r="D72" s="197"/>
      <c r="E72" s="196"/>
      <c r="F72" s="196"/>
      <c r="G72" s="196"/>
    </row>
    <row r="73" spans="1:8" s="140" customFormat="1" ht="15" customHeight="1" x14ac:dyDescent="0.25">
      <c r="A73" s="198"/>
      <c r="B73" s="199"/>
      <c r="C73" s="199"/>
      <c r="D73" s="197"/>
      <c r="E73" s="196"/>
      <c r="F73" s="196"/>
      <c r="G73" s="196"/>
    </row>
    <row r="74" spans="1:8" s="140" customFormat="1" x14ac:dyDescent="0.25">
      <c r="A74" s="199" t="s">
        <v>2428</v>
      </c>
      <c r="B74" s="199"/>
      <c r="C74" s="199"/>
      <c r="D74" s="197"/>
      <c r="E74" s="196"/>
      <c r="F74" s="196"/>
      <c r="G74" s="196"/>
    </row>
    <row r="75" spans="1:8" s="140" customFormat="1" ht="15" customHeight="1" x14ac:dyDescent="0.25">
      <c r="A75" s="199" t="s">
        <v>2429</v>
      </c>
      <c r="B75" s="199"/>
      <c r="C75" s="199"/>
      <c r="D75" s="197"/>
      <c r="E75" s="196"/>
      <c r="F75" s="196"/>
      <c r="G75" s="196"/>
    </row>
    <row r="76" spans="1:8" s="140" customFormat="1" x14ac:dyDescent="0.25">
      <c r="A76" s="199" t="s">
        <v>2430</v>
      </c>
      <c r="B76" s="199"/>
      <c r="C76" s="199"/>
      <c r="D76" s="197"/>
      <c r="E76" s="196"/>
      <c r="F76" s="196"/>
      <c r="G76" s="196"/>
    </row>
    <row r="77" spans="1:8" s="140" customFormat="1" ht="15" customHeight="1" x14ac:dyDescent="0.25">
      <c r="A77" s="199" t="s">
        <v>2431</v>
      </c>
      <c r="B77" s="199"/>
      <c r="C77" s="199"/>
      <c r="D77" s="197"/>
      <c r="E77" s="196"/>
      <c r="F77" s="196"/>
      <c r="G77" s="196"/>
    </row>
    <row r="78" spans="1:8" s="140" customFormat="1" ht="15" customHeight="1" x14ac:dyDescent="0.25">
      <c r="A78" s="199" t="s">
        <v>2432</v>
      </c>
      <c r="B78" s="199"/>
      <c r="C78" s="199"/>
      <c r="D78" s="197"/>
      <c r="E78" s="196"/>
      <c r="F78" s="196"/>
      <c r="G78" s="196"/>
    </row>
    <row r="79" spans="1:8" s="140" customFormat="1" x14ac:dyDescent="0.25">
      <c r="A79" s="199" t="s">
        <v>2433</v>
      </c>
      <c r="B79" s="196"/>
      <c r="C79" s="196"/>
      <c r="D79" s="197"/>
      <c r="E79" s="196"/>
      <c r="F79" s="196"/>
      <c r="G79" s="196"/>
    </row>
    <row r="80" spans="1:8" s="140" customFormat="1" ht="34.5" customHeight="1" x14ac:dyDescent="0.25">
      <c r="A80"/>
      <c r="B80"/>
      <c r="C80"/>
      <c r="D80"/>
      <c r="E80"/>
      <c r="F80"/>
      <c r="G80"/>
      <c r="H80"/>
    </row>
    <row r="81" spans="1:8" s="140" customFormat="1" x14ac:dyDescent="0.25">
      <c r="A81"/>
      <c r="B81"/>
      <c r="C81"/>
      <c r="D81"/>
      <c r="E81"/>
      <c r="F81"/>
      <c r="G81"/>
      <c r="H81"/>
    </row>
    <row r="82" spans="1:8" s="140" customFormat="1" x14ac:dyDescent="0.25">
      <c r="A82"/>
      <c r="B82"/>
      <c r="C82"/>
      <c r="D82"/>
      <c r="E82"/>
      <c r="F82"/>
      <c r="G82"/>
      <c r="H82"/>
    </row>
    <row r="83" spans="1:8" s="140" customFormat="1" ht="15" customHeight="1" x14ac:dyDescent="0.25">
      <c r="A83"/>
      <c r="B83"/>
      <c r="C83"/>
      <c r="D83"/>
      <c r="E83"/>
      <c r="F83"/>
      <c r="G83"/>
      <c r="H83"/>
    </row>
    <row r="84" spans="1:8" s="140" customFormat="1" x14ac:dyDescent="0.25">
      <c r="A84"/>
      <c r="B84"/>
      <c r="C84"/>
      <c r="D84"/>
      <c r="E84"/>
      <c r="F84"/>
      <c r="G84"/>
      <c r="H84"/>
    </row>
    <row r="85" spans="1:8" s="140" customFormat="1" ht="15" customHeight="1" x14ac:dyDescent="0.25">
      <c r="A85"/>
      <c r="B85"/>
      <c r="C85"/>
      <c r="D85"/>
      <c r="E85"/>
      <c r="F85"/>
      <c r="G85"/>
      <c r="H85"/>
    </row>
    <row r="86" spans="1:8" s="140" customFormat="1" x14ac:dyDescent="0.25">
      <c r="A86"/>
      <c r="B86"/>
      <c r="C86"/>
      <c r="D86"/>
      <c r="E86"/>
      <c r="F86"/>
      <c r="G86"/>
      <c r="H86"/>
    </row>
    <row r="87" spans="1:8" s="140" customFormat="1" ht="15" customHeight="1" x14ac:dyDescent="0.25">
      <c r="A87"/>
      <c r="B87"/>
      <c r="C87"/>
      <c r="D87"/>
      <c r="E87"/>
      <c r="F87"/>
      <c r="G87"/>
      <c r="H87"/>
    </row>
    <row r="88" spans="1:8" s="140" customFormat="1" ht="15" customHeight="1" x14ac:dyDescent="0.25">
      <c r="A88"/>
      <c r="B88"/>
      <c r="C88"/>
      <c r="D88"/>
      <c r="E88"/>
      <c r="F88"/>
      <c r="G88"/>
      <c r="H88"/>
    </row>
    <row r="89" spans="1:8" s="140" customFormat="1" x14ac:dyDescent="0.25">
      <c r="A89"/>
      <c r="B89"/>
      <c r="C89"/>
      <c r="D89"/>
      <c r="E89"/>
      <c r="F89"/>
      <c r="G89"/>
      <c r="H89"/>
    </row>
    <row r="90" spans="1:8" s="140" customFormat="1" ht="15" customHeight="1" x14ac:dyDescent="0.25">
      <c r="A90"/>
      <c r="B90"/>
      <c r="C90"/>
      <c r="D90"/>
      <c r="E90"/>
      <c r="F90"/>
      <c r="G90"/>
      <c r="H90"/>
    </row>
    <row r="91" spans="1:8" s="140" customFormat="1" ht="15" customHeight="1" x14ac:dyDescent="0.25">
      <c r="A91"/>
      <c r="B91"/>
      <c r="C91"/>
      <c r="D91"/>
      <c r="E91"/>
      <c r="F91"/>
      <c r="G91"/>
      <c r="H91"/>
    </row>
    <row r="92" spans="1:8" s="140" customFormat="1" ht="15" customHeight="1" x14ac:dyDescent="0.25">
      <c r="A92"/>
      <c r="B92"/>
      <c r="C92"/>
      <c r="D92"/>
      <c r="E92"/>
      <c r="F92"/>
      <c r="G92"/>
      <c r="H92"/>
    </row>
    <row r="93" spans="1:8" s="140" customFormat="1" ht="15" customHeight="1" x14ac:dyDescent="0.25">
      <c r="A93"/>
      <c r="B93"/>
      <c r="C93"/>
      <c r="D93"/>
      <c r="E93"/>
      <c r="F93"/>
      <c r="G93"/>
      <c r="H93"/>
    </row>
    <row r="94" spans="1:8" s="140" customFormat="1" ht="15" customHeight="1" x14ac:dyDescent="0.25">
      <c r="A94"/>
      <c r="B94"/>
      <c r="C94"/>
      <c r="D94"/>
      <c r="E94"/>
      <c r="F94"/>
      <c r="G94"/>
      <c r="H94"/>
    </row>
    <row r="95" spans="1:8" s="140" customFormat="1" ht="15" customHeight="1" x14ac:dyDescent="0.25">
      <c r="A95"/>
      <c r="B95"/>
      <c r="C95"/>
      <c r="D95"/>
      <c r="E95"/>
      <c r="F95"/>
      <c r="G95"/>
      <c r="H95"/>
    </row>
    <row r="96" spans="1:8" s="140" customFormat="1" ht="15" customHeight="1" x14ac:dyDescent="0.25">
      <c r="A96"/>
      <c r="B96"/>
      <c r="C96"/>
      <c r="D96"/>
      <c r="E96"/>
      <c r="F96"/>
      <c r="G96"/>
      <c r="H96"/>
    </row>
    <row r="97" spans="1:8" s="140" customFormat="1" ht="15" customHeight="1" x14ac:dyDescent="0.25">
      <c r="A97"/>
      <c r="B97"/>
      <c r="C97"/>
      <c r="D97"/>
      <c r="E97"/>
      <c r="F97"/>
      <c r="G97"/>
      <c r="H97"/>
    </row>
    <row r="98" spans="1:8" s="140" customFormat="1" ht="15" customHeight="1" x14ac:dyDescent="0.25">
      <c r="A98"/>
      <c r="B98"/>
      <c r="C98"/>
      <c r="D98"/>
      <c r="E98"/>
      <c r="F98"/>
      <c r="G98"/>
      <c r="H98"/>
    </row>
    <row r="99" spans="1:8" s="140" customFormat="1" ht="15" customHeight="1" x14ac:dyDescent="0.25">
      <c r="A99"/>
      <c r="B99"/>
      <c r="C99"/>
      <c r="D99"/>
      <c r="E99"/>
      <c r="F99"/>
      <c r="G99"/>
      <c r="H99"/>
    </row>
    <row r="100" spans="1:8" s="140" customFormat="1" ht="15" customHeight="1" x14ac:dyDescent="0.25">
      <c r="A100"/>
      <c r="B100"/>
      <c r="C100"/>
      <c r="D100"/>
      <c r="E100"/>
      <c r="F100"/>
      <c r="G100"/>
      <c r="H100"/>
    </row>
    <row r="101" spans="1:8" s="140" customFormat="1" ht="15" customHeight="1" x14ac:dyDescent="0.25">
      <c r="A101"/>
      <c r="B101"/>
      <c r="C101"/>
      <c r="D101"/>
      <c r="E101"/>
      <c r="F101"/>
      <c r="G101"/>
      <c r="H101"/>
    </row>
    <row r="102" spans="1:8" s="140" customFormat="1" ht="15" customHeight="1" x14ac:dyDescent="0.25">
      <c r="A102"/>
      <c r="B102"/>
      <c r="C102"/>
      <c r="D102"/>
      <c r="E102"/>
      <c r="F102"/>
      <c r="G102"/>
      <c r="H102"/>
    </row>
    <row r="103" spans="1:8" s="140" customFormat="1" ht="15" customHeight="1" x14ac:dyDescent="0.25">
      <c r="A103"/>
      <c r="B103"/>
      <c r="C103"/>
      <c r="D103"/>
      <c r="E103"/>
      <c r="F103"/>
      <c r="G103"/>
      <c r="H103"/>
    </row>
    <row r="104" spans="1:8" s="140" customFormat="1" ht="15" customHeight="1" x14ac:dyDescent="0.25">
      <c r="A104"/>
      <c r="B104"/>
      <c r="C104"/>
      <c r="D104"/>
      <c r="E104"/>
      <c r="F104"/>
      <c r="G104"/>
      <c r="H104"/>
    </row>
    <row r="105" spans="1:8" s="140" customFormat="1" ht="15" customHeight="1" x14ac:dyDescent="0.25">
      <c r="A105"/>
      <c r="B105"/>
      <c r="C105"/>
      <c r="D105"/>
      <c r="E105"/>
      <c r="F105"/>
      <c r="G105"/>
      <c r="H105"/>
    </row>
    <row r="106" spans="1:8" s="140" customFormat="1" ht="15" customHeight="1" x14ac:dyDescent="0.25">
      <c r="A106"/>
      <c r="B106"/>
      <c r="C106"/>
      <c r="D106"/>
      <c r="E106"/>
      <c r="F106"/>
      <c r="G106"/>
      <c r="H106"/>
    </row>
    <row r="107" spans="1:8" s="140" customFormat="1" ht="15" customHeight="1" x14ac:dyDescent="0.25">
      <c r="A107"/>
      <c r="B107"/>
      <c r="C107"/>
      <c r="D107"/>
      <c r="E107"/>
      <c r="F107"/>
      <c r="G107"/>
      <c r="H107"/>
    </row>
    <row r="108" spans="1:8" s="140" customFormat="1" ht="15" customHeight="1" x14ac:dyDescent="0.25">
      <c r="A108"/>
      <c r="B108"/>
      <c r="C108"/>
      <c r="D108"/>
      <c r="E108"/>
      <c r="F108"/>
      <c r="G108"/>
      <c r="H108"/>
    </row>
    <row r="109" spans="1:8" s="140" customFormat="1" ht="15" customHeight="1" x14ac:dyDescent="0.25">
      <c r="A109"/>
      <c r="B109"/>
      <c r="C109"/>
      <c r="D109"/>
      <c r="E109"/>
      <c r="F109"/>
      <c r="G109"/>
      <c r="H109"/>
    </row>
    <row r="110" spans="1:8" s="140" customFormat="1" ht="15" customHeight="1" x14ac:dyDescent="0.25">
      <c r="A110"/>
      <c r="B110"/>
      <c r="C110"/>
      <c r="D110"/>
      <c r="E110"/>
      <c r="F110"/>
      <c r="G110"/>
      <c r="H110"/>
    </row>
    <row r="111" spans="1:8" s="140" customFormat="1" ht="15" customHeight="1" x14ac:dyDescent="0.25">
      <c r="A111"/>
      <c r="B111"/>
      <c r="C111"/>
      <c r="D111"/>
      <c r="E111"/>
      <c r="F111"/>
      <c r="G111"/>
      <c r="H111"/>
    </row>
    <row r="112" spans="1:8" s="140" customFormat="1" ht="15" customHeight="1" x14ac:dyDescent="0.25">
      <c r="A112"/>
      <c r="B112"/>
      <c r="C112"/>
      <c r="D112"/>
      <c r="E112"/>
      <c r="F112"/>
      <c r="G112"/>
      <c r="H112"/>
    </row>
    <row r="113" spans="1:8" s="140" customFormat="1" ht="15" customHeight="1" x14ac:dyDescent="0.25">
      <c r="A113"/>
      <c r="B113"/>
      <c r="C113"/>
      <c r="D113"/>
      <c r="E113"/>
      <c r="F113"/>
      <c r="G113"/>
      <c r="H113"/>
    </row>
    <row r="114" spans="1:8" s="140" customFormat="1" ht="15" customHeight="1" x14ac:dyDescent="0.25">
      <c r="A114"/>
      <c r="B114"/>
      <c r="C114"/>
      <c r="D114"/>
      <c r="E114"/>
      <c r="F114"/>
      <c r="G114"/>
      <c r="H114"/>
    </row>
    <row r="115" spans="1:8" s="140" customFormat="1" ht="15" customHeight="1" x14ac:dyDescent="0.25">
      <c r="A115"/>
      <c r="B115"/>
      <c r="C115"/>
      <c r="D115"/>
      <c r="E115"/>
      <c r="F115"/>
      <c r="G115"/>
      <c r="H115"/>
    </row>
    <row r="116" spans="1:8" s="140" customFormat="1" ht="15" customHeight="1" x14ac:dyDescent="0.25">
      <c r="A116"/>
      <c r="B116"/>
      <c r="C116"/>
      <c r="D116"/>
      <c r="E116"/>
      <c r="F116"/>
      <c r="G116"/>
      <c r="H116"/>
    </row>
    <row r="117" spans="1:8" s="140" customFormat="1" ht="15" customHeight="1" x14ac:dyDescent="0.25">
      <c r="A117"/>
      <c r="B117"/>
      <c r="C117"/>
      <c r="D117"/>
      <c r="E117"/>
      <c r="F117"/>
      <c r="G117"/>
      <c r="H117"/>
    </row>
    <row r="118" spans="1:8" s="140" customFormat="1" ht="15" customHeight="1" x14ac:dyDescent="0.25">
      <c r="A118"/>
      <c r="B118"/>
      <c r="C118"/>
      <c r="D118"/>
      <c r="E118"/>
      <c r="F118"/>
      <c r="G118"/>
      <c r="H118"/>
    </row>
    <row r="119" spans="1:8" s="140" customFormat="1" ht="15" customHeight="1" x14ac:dyDescent="0.25">
      <c r="A119"/>
      <c r="B119"/>
      <c r="C119"/>
      <c r="D119"/>
      <c r="E119"/>
      <c r="F119"/>
      <c r="G119"/>
      <c r="H119"/>
    </row>
    <row r="120" spans="1:8" s="140" customFormat="1" ht="15" customHeight="1" x14ac:dyDescent="0.25">
      <c r="A120"/>
      <c r="B120"/>
      <c r="C120"/>
      <c r="D120"/>
      <c r="E120"/>
      <c r="F120"/>
      <c r="G120"/>
      <c r="H120"/>
    </row>
    <row r="121" spans="1:8" s="140" customFormat="1" ht="15" customHeight="1" x14ac:dyDescent="0.25">
      <c r="A121"/>
      <c r="B121"/>
      <c r="C121"/>
      <c r="D121"/>
      <c r="E121"/>
      <c r="F121"/>
      <c r="G121"/>
      <c r="H121"/>
    </row>
    <row r="122" spans="1:8" s="140" customFormat="1" ht="15" customHeight="1" x14ac:dyDescent="0.25">
      <c r="A122"/>
      <c r="B122"/>
      <c r="C122"/>
      <c r="D122"/>
      <c r="E122"/>
      <c r="F122"/>
      <c r="G122"/>
      <c r="H122"/>
    </row>
    <row r="123" spans="1:8" s="140" customFormat="1" ht="15" customHeight="1" x14ac:dyDescent="0.25">
      <c r="A123"/>
      <c r="B123"/>
      <c r="C123"/>
      <c r="D123"/>
      <c r="E123"/>
      <c r="F123"/>
      <c r="G123"/>
      <c r="H123"/>
    </row>
    <row r="124" spans="1:8" s="140" customFormat="1" ht="15" customHeight="1" x14ac:dyDescent="0.25">
      <c r="A124"/>
      <c r="B124"/>
      <c r="C124"/>
      <c r="D124"/>
      <c r="E124"/>
      <c r="F124"/>
      <c r="G124"/>
      <c r="H124"/>
    </row>
    <row r="125" spans="1:8" s="140" customFormat="1" ht="15" customHeight="1" x14ac:dyDescent="0.25">
      <c r="A125"/>
      <c r="B125"/>
      <c r="C125"/>
      <c r="D125"/>
      <c r="E125"/>
      <c r="F125"/>
      <c r="G125"/>
      <c r="H125"/>
    </row>
    <row r="126" spans="1:8" s="140" customFormat="1" ht="15" customHeight="1" x14ac:dyDescent="0.25">
      <c r="A126"/>
      <c r="B126"/>
      <c r="C126"/>
      <c r="D126"/>
      <c r="E126"/>
      <c r="F126"/>
      <c r="G126"/>
      <c r="H126"/>
    </row>
    <row r="127" spans="1:8" s="140" customFormat="1" ht="15" customHeight="1" x14ac:dyDescent="0.25">
      <c r="A127"/>
      <c r="B127"/>
      <c r="C127"/>
      <c r="D127"/>
      <c r="E127"/>
      <c r="F127"/>
      <c r="G127"/>
      <c r="H127"/>
    </row>
    <row r="128" spans="1:8" s="140" customFormat="1" ht="15" customHeight="1" x14ac:dyDescent="0.25">
      <c r="A128"/>
      <c r="B128"/>
      <c r="C128"/>
      <c r="D128"/>
      <c r="E128"/>
      <c r="F128"/>
      <c r="G128"/>
      <c r="H128"/>
    </row>
    <row r="129" spans="1:8" s="140" customFormat="1" ht="15" customHeight="1" x14ac:dyDescent="0.25">
      <c r="A129"/>
      <c r="B129"/>
      <c r="C129"/>
      <c r="D129"/>
      <c r="E129"/>
      <c r="F129"/>
      <c r="G129"/>
      <c r="H129"/>
    </row>
    <row r="130" spans="1:8" s="140" customFormat="1" ht="15" customHeight="1" x14ac:dyDescent="0.25">
      <c r="A130"/>
      <c r="B130"/>
      <c r="C130"/>
      <c r="D130"/>
      <c r="E130"/>
      <c r="F130"/>
      <c r="G130"/>
      <c r="H130"/>
    </row>
    <row r="131" spans="1:8" s="140" customFormat="1" ht="15" customHeight="1" x14ac:dyDescent="0.25">
      <c r="A131"/>
      <c r="B131"/>
      <c r="C131"/>
      <c r="D131"/>
      <c r="E131"/>
      <c r="F131"/>
      <c r="G131"/>
      <c r="H131"/>
    </row>
    <row r="132" spans="1:8" s="140" customFormat="1" ht="15" customHeight="1" x14ac:dyDescent="0.25">
      <c r="A132"/>
      <c r="B132"/>
      <c r="C132"/>
      <c r="D132"/>
      <c r="E132"/>
      <c r="F132"/>
      <c r="G132"/>
      <c r="H132"/>
    </row>
    <row r="133" spans="1:8" s="140" customFormat="1" ht="15" customHeight="1" x14ac:dyDescent="0.25">
      <c r="A133"/>
      <c r="B133"/>
      <c r="C133"/>
      <c r="D133"/>
      <c r="E133"/>
      <c r="F133"/>
      <c r="G133"/>
      <c r="H133"/>
    </row>
    <row r="134" spans="1:8" s="140" customFormat="1" ht="15" customHeight="1" x14ac:dyDescent="0.25">
      <c r="A134"/>
      <c r="B134"/>
      <c r="C134"/>
      <c r="D134"/>
      <c r="E134"/>
      <c r="F134"/>
      <c r="G134"/>
      <c r="H134"/>
    </row>
    <row r="135" spans="1:8" s="140" customFormat="1" ht="15" customHeight="1" x14ac:dyDescent="0.25">
      <c r="A135"/>
      <c r="B135"/>
      <c r="C135"/>
      <c r="D135"/>
      <c r="E135"/>
      <c r="F135"/>
      <c r="G135"/>
      <c r="H135"/>
    </row>
    <row r="136" spans="1:8" s="140" customFormat="1" ht="15" customHeight="1" x14ac:dyDescent="0.25">
      <c r="A136"/>
      <c r="B136"/>
      <c r="C136"/>
      <c r="D136"/>
      <c r="E136"/>
      <c r="F136"/>
      <c r="G136"/>
      <c r="H136"/>
    </row>
    <row r="137" spans="1:8" s="140" customFormat="1" ht="15" customHeight="1" x14ac:dyDescent="0.25">
      <c r="A137"/>
      <c r="B137"/>
      <c r="C137"/>
      <c r="D137"/>
      <c r="E137"/>
      <c r="F137"/>
      <c r="G137"/>
      <c r="H137"/>
    </row>
    <row r="138" spans="1:8" s="140" customFormat="1" ht="15" customHeight="1" x14ac:dyDescent="0.25">
      <c r="A138"/>
      <c r="B138"/>
      <c r="C138"/>
      <c r="D138"/>
      <c r="E138"/>
      <c r="F138"/>
      <c r="G138"/>
      <c r="H138"/>
    </row>
    <row r="139" spans="1:8" s="140" customFormat="1" ht="15" customHeight="1" x14ac:dyDescent="0.25">
      <c r="A139"/>
      <c r="B139"/>
      <c r="C139"/>
      <c r="D139"/>
      <c r="E139"/>
      <c r="F139"/>
      <c r="G139"/>
      <c r="H139"/>
    </row>
    <row r="140" spans="1:8" s="140" customFormat="1" ht="15" customHeight="1" x14ac:dyDescent="0.25">
      <c r="A140"/>
      <c r="B140"/>
      <c r="C140"/>
      <c r="D140"/>
      <c r="E140"/>
      <c r="F140"/>
      <c r="G140"/>
      <c r="H140"/>
    </row>
    <row r="141" spans="1:8" s="140" customFormat="1" ht="15" customHeight="1" x14ac:dyDescent="0.25">
      <c r="A141"/>
      <c r="B141"/>
      <c r="C141"/>
      <c r="D141"/>
      <c r="E141"/>
      <c r="F141"/>
      <c r="G141"/>
      <c r="H141"/>
    </row>
    <row r="142" spans="1:8" s="140" customFormat="1" ht="15" customHeight="1" x14ac:dyDescent="0.25">
      <c r="A142"/>
      <c r="B142"/>
      <c r="C142"/>
      <c r="D142"/>
      <c r="E142"/>
      <c r="F142"/>
      <c r="G142"/>
      <c r="H142"/>
    </row>
    <row r="143" spans="1:8" s="140" customFormat="1" ht="15" customHeight="1" x14ac:dyDescent="0.25">
      <c r="A143"/>
      <c r="B143"/>
      <c r="C143"/>
      <c r="D143"/>
      <c r="E143"/>
      <c r="F143"/>
      <c r="G143"/>
      <c r="H143"/>
    </row>
    <row r="144" spans="1:8" s="140" customFormat="1" ht="15" customHeight="1" x14ac:dyDescent="0.25">
      <c r="A144"/>
      <c r="B144"/>
      <c r="C144"/>
      <c r="D144"/>
      <c r="E144"/>
      <c r="F144"/>
      <c r="G144"/>
      <c r="H144"/>
    </row>
    <row r="145" spans="1:8" s="140" customFormat="1" ht="15" customHeight="1" x14ac:dyDescent="0.25">
      <c r="A145"/>
      <c r="B145"/>
      <c r="C145"/>
      <c r="D145"/>
      <c r="E145"/>
      <c r="F145"/>
      <c r="G145"/>
      <c r="H145"/>
    </row>
    <row r="146" spans="1:8" s="140" customFormat="1" ht="15" customHeight="1" x14ac:dyDescent="0.25">
      <c r="A146"/>
      <c r="B146"/>
      <c r="C146"/>
      <c r="D146"/>
      <c r="E146"/>
      <c r="F146"/>
      <c r="G146"/>
      <c r="H146"/>
    </row>
    <row r="147" spans="1:8" s="140" customFormat="1" ht="15" customHeight="1" x14ac:dyDescent="0.25">
      <c r="A147"/>
      <c r="B147"/>
      <c r="C147"/>
      <c r="D147"/>
      <c r="E147"/>
      <c r="F147"/>
      <c r="G147"/>
      <c r="H147"/>
    </row>
    <row r="148" spans="1:8" s="140" customFormat="1" ht="15" customHeight="1" x14ac:dyDescent="0.25">
      <c r="A148"/>
      <c r="B148"/>
      <c r="C148"/>
      <c r="D148"/>
      <c r="E148"/>
      <c r="F148"/>
      <c r="G148"/>
      <c r="H148"/>
    </row>
    <row r="149" spans="1:8" s="140" customFormat="1" ht="15" customHeight="1" x14ac:dyDescent="0.25">
      <c r="A149"/>
      <c r="B149"/>
      <c r="C149"/>
      <c r="D149"/>
      <c r="E149"/>
      <c r="F149"/>
      <c r="G149"/>
      <c r="H149"/>
    </row>
    <row r="150" spans="1:8" s="140" customFormat="1" ht="15" customHeight="1" x14ac:dyDescent="0.25">
      <c r="A150"/>
      <c r="B150"/>
      <c r="C150"/>
      <c r="D150"/>
      <c r="E150"/>
      <c r="F150"/>
      <c r="G150"/>
      <c r="H150"/>
    </row>
    <row r="151" spans="1:8" s="140" customFormat="1" ht="15" customHeight="1" x14ac:dyDescent="0.25">
      <c r="A151"/>
      <c r="B151"/>
      <c r="C151"/>
      <c r="D151"/>
      <c r="E151"/>
      <c r="F151"/>
      <c r="G151"/>
      <c r="H151"/>
    </row>
    <row r="152" spans="1:8" s="140" customFormat="1" ht="15" customHeight="1" x14ac:dyDescent="0.25">
      <c r="A152"/>
      <c r="B152"/>
      <c r="C152"/>
      <c r="D152"/>
      <c r="E152"/>
      <c r="F152"/>
      <c r="G152"/>
      <c r="H152"/>
    </row>
    <row r="153" spans="1:8" s="140" customFormat="1" ht="15" customHeight="1" x14ac:dyDescent="0.25">
      <c r="A153"/>
      <c r="B153"/>
      <c r="C153"/>
      <c r="D153"/>
      <c r="E153"/>
      <c r="F153"/>
      <c r="G153"/>
      <c r="H153"/>
    </row>
    <row r="154" spans="1:8" s="140" customFormat="1" ht="15" customHeight="1" x14ac:dyDescent="0.25">
      <c r="A154"/>
      <c r="B154"/>
      <c r="C154"/>
      <c r="D154"/>
      <c r="E154"/>
      <c r="F154"/>
      <c r="G154"/>
      <c r="H154"/>
    </row>
    <row r="155" spans="1:8" s="140" customFormat="1" ht="40.5" customHeight="1" x14ac:dyDescent="0.25">
      <c r="A155"/>
      <c r="B155"/>
      <c r="C155"/>
      <c r="D155"/>
      <c r="E155"/>
      <c r="F155"/>
      <c r="G155"/>
      <c r="H155"/>
    </row>
    <row r="156" spans="1:8" s="140" customFormat="1" ht="34.5" customHeight="1" x14ac:dyDescent="0.25">
      <c r="A156"/>
      <c r="B156"/>
      <c r="C156"/>
      <c r="D156"/>
      <c r="E156"/>
      <c r="F156"/>
      <c r="G156"/>
      <c r="H156"/>
    </row>
    <row r="157" spans="1:8" s="140" customFormat="1" x14ac:dyDescent="0.25">
      <c r="A157"/>
      <c r="B157"/>
      <c r="C157"/>
      <c r="D157"/>
      <c r="E157"/>
      <c r="F157"/>
      <c r="G157"/>
      <c r="H157"/>
    </row>
    <row r="158" spans="1:8" s="140" customFormat="1" x14ac:dyDescent="0.25">
      <c r="A158"/>
      <c r="B158"/>
      <c r="C158"/>
      <c r="D158"/>
      <c r="E158"/>
      <c r="F158"/>
      <c r="G158"/>
      <c r="H158"/>
    </row>
    <row r="159" spans="1:8" s="140" customFormat="1" ht="15" customHeight="1" x14ac:dyDescent="0.25">
      <c r="A159"/>
      <c r="B159"/>
      <c r="C159"/>
      <c r="D159"/>
      <c r="E159"/>
      <c r="F159"/>
      <c r="G159"/>
      <c r="H159"/>
    </row>
    <row r="160" spans="1:8" s="140" customFormat="1" x14ac:dyDescent="0.25">
      <c r="A160"/>
      <c r="B160"/>
      <c r="C160"/>
      <c r="D160"/>
      <c r="E160"/>
      <c r="F160"/>
      <c r="G160"/>
      <c r="H160"/>
    </row>
    <row r="161" spans="1:8" s="140" customFormat="1" ht="15" customHeight="1" x14ac:dyDescent="0.25">
      <c r="A161"/>
      <c r="B161"/>
      <c r="C161"/>
      <c r="D161"/>
      <c r="E161"/>
      <c r="F161"/>
      <c r="G161"/>
      <c r="H161"/>
    </row>
    <row r="162" spans="1:8" s="140" customFormat="1" x14ac:dyDescent="0.25">
      <c r="A162"/>
      <c r="B162"/>
      <c r="C162"/>
      <c r="D162"/>
      <c r="E162"/>
      <c r="F162"/>
      <c r="G162"/>
      <c r="H162"/>
    </row>
    <row r="163" spans="1:8" s="140" customFormat="1" ht="15" customHeight="1" x14ac:dyDescent="0.25">
      <c r="A163"/>
      <c r="B163"/>
      <c r="C163"/>
      <c r="D163"/>
      <c r="E163"/>
      <c r="F163"/>
      <c r="G163"/>
      <c r="H163"/>
    </row>
    <row r="164" spans="1:8" s="140" customFormat="1" ht="15" customHeight="1" x14ac:dyDescent="0.25">
      <c r="A164"/>
      <c r="B164"/>
      <c r="C164"/>
      <c r="D164"/>
      <c r="E164"/>
      <c r="F164"/>
      <c r="G164"/>
      <c r="H164"/>
    </row>
    <row r="165" spans="1:8" s="140" customFormat="1" x14ac:dyDescent="0.25">
      <c r="A165"/>
      <c r="B165"/>
      <c r="C165"/>
      <c r="D165"/>
      <c r="E165"/>
      <c r="F165"/>
      <c r="G165"/>
      <c r="H165"/>
    </row>
    <row r="166" spans="1:8" s="140" customFormat="1" ht="15" customHeight="1" x14ac:dyDescent="0.25">
      <c r="A166"/>
      <c r="B166"/>
      <c r="C166"/>
      <c r="D166"/>
      <c r="E166"/>
      <c r="F166"/>
      <c r="G166"/>
      <c r="H166"/>
    </row>
    <row r="167" spans="1:8" s="140" customFormat="1" ht="15" customHeight="1" x14ac:dyDescent="0.25">
      <c r="A167"/>
      <c r="B167"/>
      <c r="C167"/>
      <c r="D167"/>
      <c r="E167"/>
      <c r="F167"/>
      <c r="G167"/>
      <c r="H167"/>
    </row>
    <row r="168" spans="1:8" s="140" customFormat="1" ht="15" customHeight="1" x14ac:dyDescent="0.25">
      <c r="A168"/>
      <c r="B168"/>
      <c r="C168"/>
      <c r="D168"/>
      <c r="E168"/>
      <c r="F168"/>
      <c r="G168"/>
      <c r="H168"/>
    </row>
    <row r="169" spans="1:8" s="140" customFormat="1" ht="15" customHeight="1" x14ac:dyDescent="0.25">
      <c r="A169"/>
      <c r="B169"/>
      <c r="C169"/>
      <c r="D169"/>
      <c r="E169"/>
      <c r="F169"/>
      <c r="G169"/>
      <c r="H169"/>
    </row>
    <row r="170" spans="1:8" s="140" customFormat="1" ht="15" customHeight="1" x14ac:dyDescent="0.25">
      <c r="A170"/>
      <c r="B170"/>
      <c r="C170"/>
      <c r="D170"/>
      <c r="E170"/>
      <c r="F170"/>
      <c r="G170"/>
      <c r="H170"/>
    </row>
    <row r="171" spans="1:8" s="140" customFormat="1" ht="15" customHeight="1" x14ac:dyDescent="0.25">
      <c r="A171"/>
      <c r="B171"/>
      <c r="C171"/>
      <c r="D171"/>
      <c r="E171"/>
      <c r="F171"/>
      <c r="G171"/>
      <c r="H171"/>
    </row>
    <row r="172" spans="1:8" s="140" customFormat="1" ht="15" customHeight="1" x14ac:dyDescent="0.25">
      <c r="A172"/>
      <c r="B172"/>
      <c r="C172"/>
      <c r="D172"/>
      <c r="E172"/>
      <c r="F172"/>
      <c r="G172"/>
      <c r="H172"/>
    </row>
    <row r="173" spans="1:8" s="140" customFormat="1" ht="15" customHeight="1" x14ac:dyDescent="0.25">
      <c r="A173"/>
      <c r="B173"/>
      <c r="C173"/>
      <c r="D173"/>
      <c r="E173"/>
      <c r="F173"/>
      <c r="G173"/>
      <c r="H173"/>
    </row>
    <row r="174" spans="1:8" s="140" customFormat="1" ht="15" customHeight="1" x14ac:dyDescent="0.25">
      <c r="A174"/>
      <c r="B174"/>
      <c r="C174"/>
      <c r="D174"/>
      <c r="E174"/>
      <c r="F174"/>
      <c r="G174"/>
      <c r="H174"/>
    </row>
    <row r="175" spans="1:8" s="140" customFormat="1" ht="15" customHeight="1" x14ac:dyDescent="0.25">
      <c r="A175"/>
      <c r="B175"/>
      <c r="C175"/>
      <c r="D175"/>
      <c r="E175"/>
      <c r="F175"/>
      <c r="G175"/>
      <c r="H175"/>
    </row>
    <row r="176" spans="1:8" s="140" customFormat="1" ht="15" customHeight="1" x14ac:dyDescent="0.25">
      <c r="A176"/>
      <c r="B176"/>
      <c r="C176"/>
      <c r="D176"/>
      <c r="E176"/>
      <c r="F176"/>
      <c r="G176"/>
      <c r="H176"/>
    </row>
    <row r="177" spans="1:8" s="140" customFormat="1" ht="15" customHeight="1" x14ac:dyDescent="0.25">
      <c r="A177"/>
      <c r="B177"/>
      <c r="C177"/>
      <c r="D177"/>
      <c r="E177"/>
      <c r="F177"/>
      <c r="G177"/>
      <c r="H177"/>
    </row>
    <row r="178" spans="1:8" s="140" customFormat="1" ht="15" customHeight="1" x14ac:dyDescent="0.25">
      <c r="A178"/>
      <c r="B178"/>
      <c r="C178"/>
      <c r="D178"/>
      <c r="E178"/>
      <c r="F178"/>
      <c r="G178"/>
      <c r="H178"/>
    </row>
    <row r="179" spans="1:8" s="140" customFormat="1" ht="15" customHeight="1" x14ac:dyDescent="0.25">
      <c r="A179"/>
      <c r="B179"/>
      <c r="C179"/>
      <c r="D179"/>
      <c r="E179"/>
      <c r="F179"/>
      <c r="G179"/>
      <c r="H179"/>
    </row>
    <row r="180" spans="1:8" s="140" customFormat="1" ht="15" customHeight="1" x14ac:dyDescent="0.25">
      <c r="A180"/>
      <c r="B180"/>
      <c r="C180"/>
      <c r="D180"/>
      <c r="E180"/>
      <c r="F180"/>
      <c r="G180"/>
      <c r="H180"/>
    </row>
    <row r="181" spans="1:8" s="140" customFormat="1" ht="15" customHeight="1" x14ac:dyDescent="0.25">
      <c r="A181"/>
      <c r="B181"/>
      <c r="C181"/>
      <c r="D181"/>
      <c r="E181"/>
      <c r="F181"/>
      <c r="G181"/>
      <c r="H181"/>
    </row>
    <row r="182" spans="1:8" s="140" customFormat="1" ht="15" customHeight="1" x14ac:dyDescent="0.25">
      <c r="A182"/>
      <c r="B182"/>
      <c r="C182"/>
      <c r="D182"/>
      <c r="E182"/>
      <c r="F182"/>
      <c r="G182"/>
      <c r="H182"/>
    </row>
    <row r="183" spans="1:8" s="140" customFormat="1" ht="15" customHeight="1" x14ac:dyDescent="0.25">
      <c r="A183"/>
      <c r="B183"/>
      <c r="C183"/>
      <c r="D183"/>
      <c r="E183"/>
      <c r="F183"/>
      <c r="G183"/>
      <c r="H183"/>
    </row>
    <row r="184" spans="1:8" s="140" customFormat="1" ht="15" customHeight="1" x14ac:dyDescent="0.25">
      <c r="A184"/>
      <c r="B184"/>
      <c r="C184"/>
      <c r="D184"/>
      <c r="E184"/>
      <c r="F184"/>
      <c r="G184"/>
      <c r="H184"/>
    </row>
    <row r="185" spans="1:8" s="140" customFormat="1" ht="15" customHeight="1" x14ac:dyDescent="0.25">
      <c r="A185"/>
      <c r="B185"/>
      <c r="C185"/>
      <c r="D185"/>
      <c r="E185"/>
      <c r="F185"/>
      <c r="G185"/>
      <c r="H185"/>
    </row>
    <row r="186" spans="1:8" s="140" customFormat="1" ht="15" customHeight="1" x14ac:dyDescent="0.25">
      <c r="A186"/>
      <c r="B186"/>
      <c r="C186"/>
      <c r="D186"/>
      <c r="E186"/>
      <c r="F186"/>
      <c r="G186"/>
      <c r="H186"/>
    </row>
    <row r="187" spans="1:8" s="140" customFormat="1" ht="15" customHeight="1" x14ac:dyDescent="0.25">
      <c r="A187"/>
      <c r="B187"/>
      <c r="C187"/>
      <c r="D187"/>
      <c r="E187"/>
      <c r="F187"/>
      <c r="G187"/>
      <c r="H187"/>
    </row>
    <row r="188" spans="1:8" s="140" customFormat="1" ht="15" customHeight="1" x14ac:dyDescent="0.25">
      <c r="A188"/>
      <c r="B188"/>
      <c r="C188"/>
      <c r="D188"/>
      <c r="E188"/>
      <c r="F188"/>
      <c r="G188"/>
      <c r="H188"/>
    </row>
    <row r="189" spans="1:8" s="140" customFormat="1" ht="15" customHeight="1" x14ac:dyDescent="0.25">
      <c r="A189"/>
      <c r="B189"/>
      <c r="C189"/>
      <c r="D189"/>
      <c r="E189"/>
      <c r="F189"/>
      <c r="G189"/>
      <c r="H189"/>
    </row>
    <row r="190" spans="1:8" s="140" customFormat="1" ht="15" customHeight="1" x14ac:dyDescent="0.25">
      <c r="A190"/>
      <c r="B190"/>
      <c r="C190"/>
      <c r="D190"/>
      <c r="E190"/>
      <c r="F190"/>
      <c r="G190"/>
      <c r="H190"/>
    </row>
    <row r="191" spans="1:8" s="140" customFormat="1" ht="15" customHeight="1" x14ac:dyDescent="0.25">
      <c r="A191"/>
      <c r="B191"/>
      <c r="C191"/>
      <c r="D191"/>
      <c r="E191"/>
      <c r="F191"/>
      <c r="G191"/>
      <c r="H191"/>
    </row>
    <row r="192" spans="1:8" s="140" customFormat="1" ht="15" customHeight="1" x14ac:dyDescent="0.25">
      <c r="A192"/>
      <c r="B192"/>
      <c r="C192"/>
      <c r="D192"/>
      <c r="E192"/>
      <c r="F192"/>
      <c r="G192"/>
      <c r="H192"/>
    </row>
    <row r="193" spans="1:8" s="140" customFormat="1" ht="15" customHeight="1" x14ac:dyDescent="0.25">
      <c r="A193"/>
      <c r="B193"/>
      <c r="C193"/>
      <c r="D193"/>
      <c r="E193"/>
      <c r="F193"/>
      <c r="G193"/>
      <c r="H193"/>
    </row>
    <row r="194" spans="1:8" s="140" customFormat="1" ht="15" customHeight="1" x14ac:dyDescent="0.25">
      <c r="A194"/>
      <c r="B194"/>
      <c r="C194"/>
      <c r="D194"/>
      <c r="E194"/>
      <c r="F194"/>
      <c r="G194"/>
      <c r="H194"/>
    </row>
    <row r="195" spans="1:8" s="140" customFormat="1" ht="15" customHeight="1" x14ac:dyDescent="0.25">
      <c r="A195"/>
      <c r="B195"/>
      <c r="C195"/>
      <c r="D195"/>
      <c r="E195"/>
      <c r="F195"/>
      <c r="G195"/>
      <c r="H195"/>
    </row>
    <row r="196" spans="1:8" s="140" customFormat="1" ht="15" customHeight="1" x14ac:dyDescent="0.25">
      <c r="A196"/>
      <c r="B196"/>
      <c r="C196"/>
      <c r="D196"/>
      <c r="E196"/>
      <c r="F196"/>
      <c r="G196"/>
      <c r="H196"/>
    </row>
    <row r="197" spans="1:8" s="140" customFormat="1" ht="15" customHeight="1" x14ac:dyDescent="0.25">
      <c r="A197"/>
      <c r="B197"/>
      <c r="C197"/>
      <c r="D197"/>
      <c r="E197"/>
      <c r="F197"/>
      <c r="G197"/>
      <c r="H197"/>
    </row>
    <row r="198" spans="1:8" s="140" customFormat="1" ht="15" customHeight="1" x14ac:dyDescent="0.25">
      <c r="A198"/>
      <c r="B198"/>
      <c r="C198"/>
      <c r="D198"/>
      <c r="E198"/>
      <c r="F198"/>
      <c r="G198"/>
      <c r="H198"/>
    </row>
    <row r="199" spans="1:8" s="140" customFormat="1" ht="15" customHeight="1" x14ac:dyDescent="0.25">
      <c r="A199"/>
      <c r="B199"/>
      <c r="C199"/>
      <c r="D199"/>
      <c r="E199"/>
      <c r="F199"/>
      <c r="G199"/>
      <c r="H199"/>
    </row>
    <row r="200" spans="1:8" s="140" customFormat="1" ht="15" customHeight="1" x14ac:dyDescent="0.25">
      <c r="A200"/>
      <c r="B200"/>
      <c r="C200"/>
      <c r="D200"/>
      <c r="E200"/>
      <c r="F200"/>
      <c r="G200"/>
      <c r="H200"/>
    </row>
    <row r="201" spans="1:8" s="140" customFormat="1" ht="15" customHeight="1" x14ac:dyDescent="0.25">
      <c r="A201"/>
      <c r="B201"/>
      <c r="C201"/>
      <c r="D201"/>
      <c r="E201"/>
      <c r="F201"/>
      <c r="G201"/>
      <c r="H201"/>
    </row>
    <row r="202" spans="1:8" s="140" customFormat="1" ht="15" customHeight="1" x14ac:dyDescent="0.25">
      <c r="A202"/>
      <c r="B202"/>
      <c r="C202"/>
      <c r="D202"/>
      <c r="E202"/>
      <c r="F202"/>
      <c r="G202"/>
      <c r="H202"/>
    </row>
    <row r="203" spans="1:8" s="140" customFormat="1" ht="15" customHeight="1" x14ac:dyDescent="0.25">
      <c r="A203"/>
      <c r="B203"/>
      <c r="C203"/>
      <c r="D203"/>
      <c r="E203"/>
      <c r="F203"/>
      <c r="G203"/>
      <c r="H203"/>
    </row>
    <row r="204" spans="1:8" s="140" customFormat="1" ht="15" customHeight="1" x14ac:dyDescent="0.25">
      <c r="A204"/>
      <c r="B204"/>
      <c r="C204"/>
      <c r="D204"/>
      <c r="E204"/>
      <c r="F204"/>
      <c r="G204"/>
      <c r="H204"/>
    </row>
    <row r="205" spans="1:8" s="140" customFormat="1" ht="15" customHeight="1" x14ac:dyDescent="0.25">
      <c r="A205"/>
      <c r="B205"/>
      <c r="C205"/>
      <c r="D205"/>
      <c r="E205"/>
      <c r="F205"/>
      <c r="G205"/>
      <c r="H205"/>
    </row>
    <row r="206" spans="1:8" s="140" customFormat="1" ht="15" customHeight="1" x14ac:dyDescent="0.25">
      <c r="A206"/>
      <c r="B206"/>
      <c r="C206"/>
      <c r="D206"/>
      <c r="E206"/>
      <c r="F206"/>
      <c r="G206"/>
      <c r="H206"/>
    </row>
    <row r="207" spans="1:8" s="140" customFormat="1" ht="15" customHeight="1" x14ac:dyDescent="0.25">
      <c r="A207"/>
      <c r="B207"/>
      <c r="C207"/>
      <c r="D207"/>
      <c r="E207"/>
      <c r="F207"/>
      <c r="G207"/>
      <c r="H207"/>
    </row>
    <row r="208" spans="1:8" s="140" customFormat="1" ht="15" customHeight="1" x14ac:dyDescent="0.25">
      <c r="A208"/>
      <c r="B208"/>
      <c r="C208"/>
      <c r="D208"/>
      <c r="E208"/>
      <c r="F208"/>
      <c r="G208"/>
      <c r="H208"/>
    </row>
    <row r="209" spans="1:8" s="140" customFormat="1" ht="15" customHeight="1" x14ac:dyDescent="0.25">
      <c r="A209"/>
      <c r="B209"/>
      <c r="C209"/>
      <c r="D209"/>
      <c r="E209"/>
      <c r="F209"/>
      <c r="G209"/>
      <c r="H209"/>
    </row>
    <row r="210" spans="1:8" s="140" customFormat="1" ht="15" customHeight="1" x14ac:dyDescent="0.25">
      <c r="A210"/>
      <c r="B210"/>
      <c r="C210"/>
      <c r="D210"/>
      <c r="E210"/>
      <c r="F210"/>
      <c r="G210"/>
      <c r="H210"/>
    </row>
    <row r="211" spans="1:8" s="140" customFormat="1" ht="15" customHeight="1" x14ac:dyDescent="0.25">
      <c r="A211"/>
      <c r="B211"/>
      <c r="C211"/>
      <c r="D211"/>
      <c r="E211"/>
      <c r="F211"/>
      <c r="G211"/>
      <c r="H211"/>
    </row>
    <row r="212" spans="1:8" s="140" customFormat="1" ht="15" customHeight="1" x14ac:dyDescent="0.25">
      <c r="A212"/>
      <c r="B212"/>
      <c r="C212"/>
      <c r="D212"/>
      <c r="E212"/>
      <c r="F212"/>
      <c r="G212"/>
      <c r="H212"/>
    </row>
    <row r="213" spans="1:8" s="140" customFormat="1" ht="15" customHeight="1" x14ac:dyDescent="0.25">
      <c r="A213"/>
      <c r="B213"/>
      <c r="C213"/>
      <c r="D213"/>
      <c r="E213"/>
      <c r="F213"/>
      <c r="G213"/>
      <c r="H213"/>
    </row>
    <row r="214" spans="1:8" s="140" customFormat="1" ht="15" customHeight="1" x14ac:dyDescent="0.25">
      <c r="A214"/>
      <c r="B214"/>
      <c r="C214"/>
      <c r="D214"/>
      <c r="E214"/>
      <c r="F214"/>
      <c r="G214"/>
      <c r="H214"/>
    </row>
    <row r="215" spans="1:8" s="140" customFormat="1" ht="15" customHeight="1" x14ac:dyDescent="0.25">
      <c r="A215"/>
      <c r="B215"/>
      <c r="C215"/>
      <c r="D215"/>
      <c r="E215"/>
      <c r="F215"/>
      <c r="G215"/>
      <c r="H215"/>
    </row>
    <row r="216" spans="1:8" s="140" customFormat="1" ht="15" customHeight="1" x14ac:dyDescent="0.25">
      <c r="A216"/>
      <c r="B216"/>
      <c r="C216"/>
      <c r="D216"/>
      <c r="E216"/>
      <c r="F216"/>
      <c r="G216"/>
      <c r="H216"/>
    </row>
    <row r="217" spans="1:8" s="140" customFormat="1" ht="15" customHeight="1" x14ac:dyDescent="0.25">
      <c r="A217"/>
      <c r="B217"/>
      <c r="C217"/>
      <c r="D217"/>
      <c r="E217"/>
      <c r="F217"/>
      <c r="G217"/>
      <c r="H217"/>
    </row>
    <row r="218" spans="1:8" s="140" customFormat="1" ht="15" customHeight="1" x14ac:dyDescent="0.25">
      <c r="A218"/>
      <c r="B218"/>
      <c r="C218"/>
      <c r="D218"/>
      <c r="E218"/>
      <c r="F218"/>
      <c r="G218"/>
      <c r="H218"/>
    </row>
    <row r="219" spans="1:8" s="140" customFormat="1" ht="15" customHeight="1" x14ac:dyDescent="0.25">
      <c r="A219"/>
      <c r="B219"/>
      <c r="C219"/>
      <c r="D219"/>
      <c r="E219"/>
      <c r="F219"/>
      <c r="G219"/>
      <c r="H219"/>
    </row>
    <row r="220" spans="1:8" s="140" customFormat="1" ht="15" customHeight="1" x14ac:dyDescent="0.25">
      <c r="A220"/>
      <c r="B220"/>
      <c r="C220"/>
      <c r="D220"/>
      <c r="E220"/>
      <c r="F220"/>
      <c r="G220"/>
      <c r="H220"/>
    </row>
    <row r="221" spans="1:8" s="140" customFormat="1" ht="15" customHeight="1" x14ac:dyDescent="0.25">
      <c r="A221"/>
      <c r="B221"/>
      <c r="C221"/>
      <c r="D221"/>
      <c r="E221"/>
      <c r="F221"/>
      <c r="G221"/>
      <c r="H221"/>
    </row>
    <row r="222" spans="1:8" s="140" customFormat="1" ht="15" customHeight="1" x14ac:dyDescent="0.25">
      <c r="A222"/>
      <c r="B222"/>
      <c r="C222"/>
      <c r="D222"/>
      <c r="E222"/>
      <c r="F222"/>
      <c r="G222"/>
      <c r="H222"/>
    </row>
    <row r="223" spans="1:8" s="140" customFormat="1" ht="15" customHeight="1" x14ac:dyDescent="0.25">
      <c r="A223"/>
      <c r="B223"/>
      <c r="C223"/>
      <c r="D223"/>
      <c r="E223"/>
      <c r="F223"/>
      <c r="G223"/>
      <c r="H223"/>
    </row>
    <row r="224" spans="1:8" s="140" customFormat="1" ht="15" customHeight="1" x14ac:dyDescent="0.25">
      <c r="A224"/>
      <c r="B224"/>
      <c r="C224"/>
      <c r="D224"/>
      <c r="E224"/>
      <c r="F224"/>
      <c r="G224"/>
      <c r="H224"/>
    </row>
    <row r="225" spans="1:8" s="140" customFormat="1" ht="15" customHeight="1" x14ac:dyDescent="0.25">
      <c r="A225"/>
      <c r="B225"/>
      <c r="C225"/>
      <c r="D225"/>
      <c r="E225"/>
      <c r="F225"/>
      <c r="G225"/>
      <c r="H225"/>
    </row>
    <row r="226" spans="1:8" s="140" customFormat="1" ht="15" customHeight="1" x14ac:dyDescent="0.25">
      <c r="A226"/>
      <c r="B226"/>
      <c r="C226"/>
      <c r="D226"/>
      <c r="E226"/>
      <c r="F226"/>
      <c r="G226"/>
      <c r="H226"/>
    </row>
    <row r="227" spans="1:8" s="140" customFormat="1" ht="15" customHeight="1" x14ac:dyDescent="0.25">
      <c r="A227"/>
      <c r="B227"/>
      <c r="C227"/>
      <c r="D227"/>
      <c r="E227"/>
      <c r="F227"/>
      <c r="G227"/>
      <c r="H227"/>
    </row>
    <row r="228" spans="1:8" s="140" customFormat="1" ht="15" customHeight="1" x14ac:dyDescent="0.25">
      <c r="A228"/>
      <c r="B228"/>
      <c r="C228"/>
      <c r="D228"/>
      <c r="E228"/>
      <c r="F228"/>
      <c r="G228"/>
      <c r="H228"/>
    </row>
    <row r="229" spans="1:8" s="140" customFormat="1" ht="15" customHeight="1" x14ac:dyDescent="0.25">
      <c r="A229"/>
      <c r="B229"/>
      <c r="C229"/>
      <c r="D229"/>
      <c r="E229"/>
      <c r="F229"/>
      <c r="G229"/>
      <c r="H229"/>
    </row>
    <row r="230" spans="1:8" s="140" customFormat="1" ht="15" customHeight="1" x14ac:dyDescent="0.25">
      <c r="A230"/>
      <c r="B230"/>
      <c r="C230"/>
      <c r="D230"/>
      <c r="E230"/>
      <c r="F230"/>
      <c r="G230"/>
      <c r="H230"/>
    </row>
    <row r="231" spans="1:8" s="140" customFormat="1" ht="15" customHeight="1" x14ac:dyDescent="0.25">
      <c r="A231"/>
      <c r="B231"/>
      <c r="C231"/>
      <c r="D231"/>
      <c r="E231"/>
      <c r="F231"/>
      <c r="G231"/>
      <c r="H231"/>
    </row>
    <row r="232" spans="1:8" s="140" customFormat="1" ht="15" customHeight="1" x14ac:dyDescent="0.25">
      <c r="A232"/>
      <c r="B232"/>
      <c r="C232"/>
      <c r="D232"/>
      <c r="E232"/>
      <c r="F232"/>
      <c r="G232"/>
      <c r="H232"/>
    </row>
    <row r="233" spans="1:8" s="140" customFormat="1" ht="15" customHeight="1" x14ac:dyDescent="0.25">
      <c r="A233"/>
      <c r="B233"/>
      <c r="C233"/>
      <c r="D233"/>
      <c r="E233"/>
      <c r="F233"/>
      <c r="G233"/>
      <c r="H233"/>
    </row>
    <row r="234" spans="1:8" s="140" customFormat="1" ht="15" customHeight="1" x14ac:dyDescent="0.25">
      <c r="A234"/>
      <c r="B234"/>
      <c r="C234"/>
      <c r="D234"/>
      <c r="E234"/>
      <c r="F234"/>
      <c r="G234"/>
      <c r="H234"/>
    </row>
    <row r="235" spans="1:8" s="140" customFormat="1" ht="40.5" customHeight="1" x14ac:dyDescent="0.25">
      <c r="A235"/>
      <c r="B235"/>
      <c r="C235"/>
      <c r="D235"/>
      <c r="E235"/>
      <c r="F235"/>
      <c r="G235"/>
      <c r="H235"/>
    </row>
    <row r="236" spans="1:8" s="140" customFormat="1" ht="34.5" customHeight="1" x14ac:dyDescent="0.25">
      <c r="A236"/>
      <c r="B236"/>
      <c r="C236"/>
      <c r="D236"/>
      <c r="E236"/>
      <c r="F236"/>
      <c r="G236"/>
      <c r="H236"/>
    </row>
    <row r="237" spans="1:8" s="140" customFormat="1" x14ac:dyDescent="0.25">
      <c r="A237"/>
      <c r="B237"/>
      <c r="C237"/>
      <c r="D237"/>
      <c r="E237"/>
      <c r="F237"/>
      <c r="G237"/>
      <c r="H237"/>
    </row>
    <row r="238" spans="1:8" s="140" customFormat="1" x14ac:dyDescent="0.25">
      <c r="A238"/>
      <c r="B238"/>
      <c r="C238"/>
      <c r="D238"/>
      <c r="E238"/>
      <c r="F238"/>
      <c r="G238"/>
      <c r="H238"/>
    </row>
    <row r="239" spans="1:8" s="140" customFormat="1" ht="15" customHeight="1" x14ac:dyDescent="0.25">
      <c r="A239"/>
      <c r="B239"/>
      <c r="C239"/>
      <c r="D239"/>
      <c r="E239"/>
      <c r="F239"/>
      <c r="G239"/>
      <c r="H239"/>
    </row>
    <row r="240" spans="1:8" s="140" customFormat="1" x14ac:dyDescent="0.25">
      <c r="A240"/>
      <c r="B240"/>
      <c r="C240"/>
      <c r="D240"/>
      <c r="E240"/>
      <c r="F240"/>
      <c r="G240"/>
      <c r="H240"/>
    </row>
    <row r="241" spans="1:8" s="140" customFormat="1" ht="15" customHeight="1" x14ac:dyDescent="0.25">
      <c r="A241"/>
      <c r="B241"/>
      <c r="C241"/>
      <c r="D241"/>
      <c r="E241"/>
      <c r="F241"/>
      <c r="G241"/>
      <c r="H241"/>
    </row>
    <row r="242" spans="1:8" s="140" customFormat="1" x14ac:dyDescent="0.25">
      <c r="A242"/>
      <c r="B242"/>
      <c r="C242"/>
      <c r="D242"/>
      <c r="E242"/>
      <c r="F242"/>
      <c r="G242"/>
      <c r="H242"/>
    </row>
    <row r="243" spans="1:8" s="140" customFormat="1" ht="15" customHeight="1" x14ac:dyDescent="0.25">
      <c r="A243"/>
      <c r="B243"/>
      <c r="C243"/>
      <c r="D243"/>
      <c r="E243"/>
      <c r="F243"/>
      <c r="G243"/>
      <c r="H243"/>
    </row>
    <row r="244" spans="1:8" s="140" customFormat="1" ht="15" customHeight="1" x14ac:dyDescent="0.25">
      <c r="A244"/>
      <c r="B244"/>
      <c r="C244"/>
      <c r="D244"/>
      <c r="E244"/>
      <c r="F244"/>
      <c r="G244"/>
      <c r="H244"/>
    </row>
    <row r="245" spans="1:8" s="140" customFormat="1" x14ac:dyDescent="0.25">
      <c r="A245"/>
      <c r="B245"/>
      <c r="C245"/>
      <c r="D245"/>
      <c r="E245"/>
      <c r="F245"/>
      <c r="G245"/>
      <c r="H245"/>
    </row>
    <row r="246" spans="1:8" s="140" customFormat="1" ht="15" customHeight="1" x14ac:dyDescent="0.25">
      <c r="A246"/>
      <c r="B246"/>
      <c r="C246"/>
      <c r="D246"/>
      <c r="E246"/>
      <c r="F246"/>
      <c r="G246"/>
      <c r="H246"/>
    </row>
    <row r="247" spans="1:8" s="140" customFormat="1" ht="15" customHeight="1" x14ac:dyDescent="0.25">
      <c r="A247"/>
      <c r="B247"/>
      <c r="C247"/>
      <c r="D247"/>
      <c r="E247"/>
      <c r="F247"/>
      <c r="G247"/>
      <c r="H247"/>
    </row>
    <row r="248" spans="1:8" s="140" customFormat="1" ht="15" customHeight="1" x14ac:dyDescent="0.25">
      <c r="A248"/>
      <c r="B248"/>
      <c r="C248"/>
      <c r="D248"/>
      <c r="E248"/>
      <c r="F248"/>
      <c r="G248"/>
      <c r="H248"/>
    </row>
    <row r="249" spans="1:8" s="140" customFormat="1" ht="15" customHeight="1" x14ac:dyDescent="0.25">
      <c r="A249"/>
      <c r="B249"/>
      <c r="C249"/>
      <c r="D249"/>
      <c r="E249"/>
      <c r="F249"/>
      <c r="G249"/>
      <c r="H249"/>
    </row>
    <row r="250" spans="1:8" s="140" customFormat="1" ht="15" customHeight="1" x14ac:dyDescent="0.25">
      <c r="A250"/>
      <c r="B250"/>
      <c r="C250"/>
      <c r="D250"/>
      <c r="E250"/>
      <c r="F250"/>
      <c r="G250"/>
      <c r="H250"/>
    </row>
    <row r="251" spans="1:8" s="140" customFormat="1" ht="15" customHeight="1" x14ac:dyDescent="0.25">
      <c r="A251"/>
      <c r="B251"/>
      <c r="C251"/>
      <c r="D251"/>
      <c r="E251"/>
      <c r="F251"/>
      <c r="G251"/>
      <c r="H251"/>
    </row>
    <row r="252" spans="1:8" s="140" customFormat="1" ht="15" customHeight="1" x14ac:dyDescent="0.25">
      <c r="A252"/>
      <c r="B252"/>
      <c r="C252"/>
      <c r="D252"/>
      <c r="E252"/>
      <c r="F252"/>
      <c r="G252"/>
      <c r="H252"/>
    </row>
    <row r="253" spans="1:8" s="140" customFormat="1" ht="15" customHeight="1" x14ac:dyDescent="0.25">
      <c r="A253"/>
      <c r="B253"/>
      <c r="C253"/>
      <c r="D253"/>
      <c r="E253"/>
      <c r="F253"/>
      <c r="G253"/>
      <c r="H253"/>
    </row>
    <row r="254" spans="1:8" s="140" customFormat="1" ht="15" customHeight="1" x14ac:dyDescent="0.25">
      <c r="A254"/>
      <c r="B254"/>
      <c r="C254"/>
      <c r="D254"/>
      <c r="E254"/>
      <c r="F254"/>
      <c r="G254"/>
      <c r="H254"/>
    </row>
    <row r="255" spans="1:8" s="140" customFormat="1" ht="15" customHeight="1" x14ac:dyDescent="0.25">
      <c r="A255"/>
      <c r="B255"/>
      <c r="C255"/>
      <c r="D255"/>
      <c r="E255"/>
      <c r="F255"/>
      <c r="G255"/>
      <c r="H255"/>
    </row>
    <row r="256" spans="1:8" s="140" customFormat="1" ht="15" customHeight="1" x14ac:dyDescent="0.25">
      <c r="A256"/>
      <c r="B256"/>
      <c r="C256"/>
      <c r="D256"/>
      <c r="E256"/>
      <c r="F256"/>
      <c r="G256"/>
      <c r="H256"/>
    </row>
    <row r="257" spans="1:8" s="140" customFormat="1" ht="15" customHeight="1" x14ac:dyDescent="0.25">
      <c r="A257"/>
      <c r="B257"/>
      <c r="C257"/>
      <c r="D257"/>
      <c r="E257"/>
      <c r="F257"/>
      <c r="G257"/>
      <c r="H257"/>
    </row>
    <row r="258" spans="1:8" s="140" customFormat="1" ht="15" customHeight="1" x14ac:dyDescent="0.25">
      <c r="A258"/>
      <c r="B258"/>
      <c r="C258"/>
      <c r="D258"/>
      <c r="E258"/>
      <c r="F258"/>
      <c r="G258"/>
      <c r="H258"/>
    </row>
    <row r="259" spans="1:8" s="140" customFormat="1" ht="15" customHeight="1" x14ac:dyDescent="0.25">
      <c r="A259"/>
      <c r="B259"/>
      <c r="C259"/>
      <c r="D259"/>
      <c r="E259"/>
      <c r="F259"/>
      <c r="G259"/>
      <c r="H259"/>
    </row>
    <row r="260" spans="1:8" s="140" customFormat="1" ht="15" customHeight="1" x14ac:dyDescent="0.25">
      <c r="A260"/>
      <c r="B260"/>
      <c r="C260"/>
      <c r="D260"/>
      <c r="E260"/>
      <c r="F260"/>
      <c r="G260"/>
      <c r="H260"/>
    </row>
    <row r="261" spans="1:8" s="140" customFormat="1" ht="15" customHeight="1" x14ac:dyDescent="0.25">
      <c r="A261"/>
      <c r="B261"/>
      <c r="C261"/>
      <c r="D261"/>
      <c r="E261"/>
      <c r="F261"/>
      <c r="G261"/>
      <c r="H261"/>
    </row>
    <row r="262" spans="1:8" s="140" customFormat="1" ht="40.5" customHeight="1" x14ac:dyDescent="0.25">
      <c r="A262"/>
      <c r="B262"/>
      <c r="C262"/>
      <c r="D262"/>
      <c r="E262"/>
      <c r="F262"/>
      <c r="G262"/>
      <c r="H262"/>
    </row>
    <row r="263" spans="1:8" s="140" customFormat="1" ht="34.5" customHeight="1" x14ac:dyDescent="0.25">
      <c r="A263"/>
      <c r="B263"/>
      <c r="C263"/>
      <c r="D263"/>
      <c r="E263"/>
      <c r="F263"/>
      <c r="G263"/>
      <c r="H263"/>
    </row>
    <row r="264" spans="1:8" s="140" customFormat="1" x14ac:dyDescent="0.25">
      <c r="A264"/>
      <c r="B264"/>
      <c r="C264"/>
      <c r="D264"/>
      <c r="E264"/>
      <c r="F264"/>
      <c r="G264"/>
      <c r="H264"/>
    </row>
    <row r="265" spans="1:8" s="140" customFormat="1" x14ac:dyDescent="0.25">
      <c r="A265"/>
      <c r="B265"/>
      <c r="C265"/>
      <c r="D265"/>
      <c r="E265"/>
      <c r="F265"/>
      <c r="G265"/>
      <c r="H265"/>
    </row>
    <row r="266" spans="1:8" s="140" customFormat="1" ht="15" customHeight="1" x14ac:dyDescent="0.25">
      <c r="A266"/>
      <c r="B266"/>
      <c r="C266"/>
      <c r="D266"/>
      <c r="E266"/>
      <c r="F266"/>
      <c r="G266"/>
      <c r="H266"/>
    </row>
    <row r="267" spans="1:8" s="140" customFormat="1" x14ac:dyDescent="0.25">
      <c r="A267"/>
      <c r="B267"/>
      <c r="C267"/>
      <c r="D267"/>
      <c r="E267"/>
      <c r="F267"/>
      <c r="G267"/>
      <c r="H267"/>
    </row>
    <row r="268" spans="1:8" s="140" customFormat="1" ht="15" customHeight="1" x14ac:dyDescent="0.25">
      <c r="A268"/>
      <c r="B268"/>
      <c r="C268"/>
      <c r="D268"/>
      <c r="E268"/>
      <c r="F268"/>
      <c r="G268"/>
      <c r="H268"/>
    </row>
    <row r="269" spans="1:8" s="140" customFormat="1" x14ac:dyDescent="0.25">
      <c r="A269"/>
      <c r="B269"/>
      <c r="C269"/>
      <c r="D269"/>
      <c r="E269"/>
      <c r="F269"/>
      <c r="G269"/>
      <c r="H269"/>
    </row>
    <row r="270" spans="1:8" s="140" customFormat="1" ht="15" customHeight="1" x14ac:dyDescent="0.25">
      <c r="A270"/>
      <c r="B270"/>
      <c r="C270"/>
      <c r="D270"/>
      <c r="E270"/>
      <c r="F270"/>
      <c r="G270"/>
      <c r="H270"/>
    </row>
    <row r="271" spans="1:8" s="140" customFormat="1" ht="15" customHeight="1" x14ac:dyDescent="0.25">
      <c r="A271"/>
      <c r="B271"/>
      <c r="C271"/>
      <c r="D271"/>
      <c r="E271"/>
      <c r="F271"/>
      <c r="G271"/>
      <c r="H271"/>
    </row>
    <row r="272" spans="1:8" s="140" customFormat="1" x14ac:dyDescent="0.25">
      <c r="A272"/>
      <c r="B272"/>
      <c r="C272"/>
      <c r="D272"/>
      <c r="E272"/>
      <c r="F272"/>
      <c r="G272"/>
      <c r="H272"/>
    </row>
    <row r="273" spans="1:8" s="140" customFormat="1" ht="15" customHeight="1" x14ac:dyDescent="0.25">
      <c r="A273"/>
      <c r="B273"/>
      <c r="C273"/>
      <c r="D273"/>
      <c r="E273"/>
      <c r="F273"/>
      <c r="G273"/>
      <c r="H273"/>
    </row>
    <row r="274" spans="1:8" s="140" customFormat="1" ht="15" customHeight="1" x14ac:dyDescent="0.25">
      <c r="A274"/>
      <c r="B274"/>
      <c r="C274"/>
      <c r="D274"/>
      <c r="E274"/>
      <c r="F274"/>
      <c r="G274"/>
      <c r="H274"/>
    </row>
    <row r="275" spans="1:8" s="140" customFormat="1" ht="15" customHeight="1" x14ac:dyDescent="0.25">
      <c r="A275"/>
      <c r="B275"/>
      <c r="C275"/>
      <c r="D275"/>
      <c r="E275"/>
      <c r="F275"/>
      <c r="G275"/>
      <c r="H275"/>
    </row>
    <row r="276" spans="1:8" s="140" customFormat="1" ht="15" customHeight="1" x14ac:dyDescent="0.25">
      <c r="A276"/>
      <c r="B276"/>
      <c r="C276"/>
      <c r="D276"/>
      <c r="E276"/>
      <c r="F276"/>
      <c r="G276"/>
      <c r="H276"/>
    </row>
    <row r="277" spans="1:8" s="140" customFormat="1" ht="15" customHeight="1" x14ac:dyDescent="0.25">
      <c r="A277"/>
      <c r="B277"/>
      <c r="C277"/>
      <c r="D277"/>
      <c r="E277"/>
      <c r="F277"/>
      <c r="G277"/>
      <c r="H277"/>
    </row>
    <row r="278" spans="1:8" s="140" customFormat="1" ht="15" customHeight="1" x14ac:dyDescent="0.25">
      <c r="A278"/>
      <c r="B278"/>
      <c r="C278"/>
      <c r="D278"/>
      <c r="E278"/>
      <c r="F278"/>
      <c r="G278"/>
      <c r="H278"/>
    </row>
    <row r="279" spans="1:8" s="140" customFormat="1" ht="15" customHeight="1" x14ac:dyDescent="0.25">
      <c r="A279"/>
      <c r="B279"/>
      <c r="C279"/>
      <c r="D279"/>
      <c r="E279"/>
      <c r="F279"/>
      <c r="G279"/>
      <c r="H279"/>
    </row>
    <row r="280" spans="1:8" s="140" customFormat="1" ht="15" customHeight="1" x14ac:dyDescent="0.25">
      <c r="A280"/>
      <c r="B280"/>
      <c r="C280"/>
      <c r="D280"/>
      <c r="E280"/>
      <c r="F280"/>
      <c r="G280"/>
      <c r="H280"/>
    </row>
    <row r="281" spans="1:8" s="140" customFormat="1" ht="15" customHeight="1" x14ac:dyDescent="0.25">
      <c r="A281"/>
      <c r="B281"/>
      <c r="C281"/>
      <c r="D281"/>
      <c r="E281"/>
      <c r="F281"/>
      <c r="G281"/>
      <c r="H281"/>
    </row>
    <row r="282" spans="1:8" s="140" customFormat="1" ht="15" customHeight="1" x14ac:dyDescent="0.25">
      <c r="A282"/>
      <c r="B282"/>
      <c r="C282"/>
      <c r="D282"/>
      <c r="E282"/>
      <c r="F282"/>
      <c r="G282"/>
      <c r="H282"/>
    </row>
    <row r="283" spans="1:8" s="140" customFormat="1" ht="15" customHeight="1" x14ac:dyDescent="0.25">
      <c r="A283"/>
      <c r="B283"/>
      <c r="C283"/>
      <c r="D283"/>
      <c r="E283"/>
      <c r="F283"/>
      <c r="G283"/>
      <c r="H283"/>
    </row>
    <row r="284" spans="1:8" s="140" customFormat="1" ht="15" customHeight="1" x14ac:dyDescent="0.25">
      <c r="A284"/>
      <c r="B284"/>
      <c r="C284"/>
      <c r="D284"/>
      <c r="E284"/>
      <c r="F284"/>
      <c r="G284"/>
      <c r="H284"/>
    </row>
    <row r="285" spans="1:8" s="140" customFormat="1" ht="15" customHeight="1" x14ac:dyDescent="0.25">
      <c r="A285"/>
      <c r="B285"/>
      <c r="C285"/>
      <c r="D285"/>
      <c r="E285"/>
      <c r="F285"/>
      <c r="G285"/>
      <c r="H285"/>
    </row>
    <row r="286" spans="1:8" s="140" customFormat="1" ht="15" customHeight="1" x14ac:dyDescent="0.25">
      <c r="A286"/>
      <c r="B286"/>
      <c r="C286"/>
      <c r="D286"/>
      <c r="E286"/>
      <c r="F286"/>
      <c r="G286"/>
      <c r="H286"/>
    </row>
    <row r="287" spans="1:8" s="140" customFormat="1" ht="15" customHeight="1" x14ac:dyDescent="0.25">
      <c r="A287"/>
      <c r="B287"/>
      <c r="C287"/>
      <c r="D287"/>
      <c r="E287"/>
      <c r="F287"/>
      <c r="G287"/>
      <c r="H287"/>
    </row>
    <row r="288" spans="1:8" s="140" customFormat="1" ht="15" customHeight="1" x14ac:dyDescent="0.25">
      <c r="A288"/>
      <c r="B288"/>
      <c r="C288"/>
      <c r="D288"/>
      <c r="E288"/>
      <c r="F288"/>
      <c r="G288"/>
      <c r="H288"/>
    </row>
    <row r="289" spans="1:8" s="140" customFormat="1" ht="15" customHeight="1" x14ac:dyDescent="0.25">
      <c r="A289"/>
      <c r="B289"/>
      <c r="C289"/>
      <c r="D289"/>
      <c r="E289"/>
      <c r="F289"/>
      <c r="G289"/>
      <c r="H289"/>
    </row>
    <row r="290" spans="1:8" s="140" customFormat="1" ht="15" customHeight="1" x14ac:dyDescent="0.25">
      <c r="A290"/>
      <c r="B290"/>
      <c r="C290"/>
      <c r="D290"/>
      <c r="E290"/>
      <c r="F290"/>
      <c r="G290"/>
      <c r="H290"/>
    </row>
    <row r="291" spans="1:8" s="140" customFormat="1" ht="15" customHeight="1" x14ac:dyDescent="0.25">
      <c r="A291"/>
      <c r="B291"/>
      <c r="C291"/>
      <c r="D291"/>
      <c r="E291"/>
      <c r="F291"/>
      <c r="G291"/>
      <c r="H291"/>
    </row>
    <row r="292" spans="1:8" s="140" customFormat="1" ht="15" customHeight="1" x14ac:dyDescent="0.25">
      <c r="A292"/>
      <c r="B292"/>
      <c r="C292"/>
      <c r="D292"/>
      <c r="E292"/>
      <c r="F292"/>
      <c r="G292"/>
      <c r="H292"/>
    </row>
    <row r="293" spans="1:8" s="140" customFormat="1" ht="15" customHeight="1" x14ac:dyDescent="0.25">
      <c r="A293"/>
      <c r="B293"/>
      <c r="C293"/>
      <c r="D293"/>
      <c r="E293"/>
      <c r="F293"/>
      <c r="G293"/>
      <c r="H293"/>
    </row>
    <row r="294" spans="1:8" s="140" customFormat="1" ht="15" customHeight="1" x14ac:dyDescent="0.25">
      <c r="A294"/>
      <c r="B294"/>
      <c r="C294"/>
      <c r="D294"/>
      <c r="E294"/>
      <c r="F294"/>
      <c r="G294"/>
      <c r="H294"/>
    </row>
    <row r="295" spans="1:8" s="140" customFormat="1" ht="15" customHeight="1" x14ac:dyDescent="0.25">
      <c r="A295"/>
      <c r="B295"/>
      <c r="C295"/>
      <c r="D295"/>
      <c r="E295"/>
      <c r="F295"/>
      <c r="G295"/>
      <c r="H295"/>
    </row>
    <row r="296" spans="1:8" s="140" customFormat="1" ht="15" customHeight="1" x14ac:dyDescent="0.25">
      <c r="A296"/>
      <c r="B296"/>
      <c r="C296"/>
      <c r="D296"/>
      <c r="E296"/>
      <c r="F296"/>
      <c r="G296"/>
      <c r="H296"/>
    </row>
    <row r="297" spans="1:8" s="140" customFormat="1" ht="15" customHeight="1" x14ac:dyDescent="0.25">
      <c r="A297"/>
      <c r="B297"/>
      <c r="C297"/>
      <c r="D297"/>
      <c r="E297"/>
      <c r="F297"/>
      <c r="G297"/>
      <c r="H297"/>
    </row>
    <row r="298" spans="1:8" s="140" customFormat="1" ht="15" customHeight="1" x14ac:dyDescent="0.25">
      <c r="A298"/>
      <c r="B298"/>
      <c r="C298"/>
      <c r="D298"/>
      <c r="E298"/>
      <c r="F298"/>
      <c r="G298"/>
      <c r="H298"/>
    </row>
    <row r="299" spans="1:8" s="140" customFormat="1" ht="15" customHeight="1" x14ac:dyDescent="0.25">
      <c r="A299"/>
      <c r="B299"/>
      <c r="C299"/>
      <c r="D299"/>
      <c r="E299"/>
      <c r="F299"/>
      <c r="G299"/>
      <c r="H299"/>
    </row>
    <row r="300" spans="1:8" s="140" customFormat="1" ht="15" customHeight="1" x14ac:dyDescent="0.25">
      <c r="A300"/>
      <c r="B300"/>
      <c r="C300"/>
      <c r="D300"/>
      <c r="E300"/>
      <c r="F300"/>
      <c r="G300"/>
      <c r="H300"/>
    </row>
    <row r="301" spans="1:8" s="140" customFormat="1" ht="15" customHeight="1" x14ac:dyDescent="0.25">
      <c r="A301"/>
      <c r="B301"/>
      <c r="C301"/>
      <c r="D301"/>
      <c r="E301"/>
      <c r="F301"/>
      <c r="G301"/>
      <c r="H301"/>
    </row>
    <row r="302" spans="1:8" s="140" customFormat="1" ht="15" customHeight="1" x14ac:dyDescent="0.25">
      <c r="A302"/>
      <c r="B302"/>
      <c r="C302"/>
      <c r="D302"/>
      <c r="E302"/>
      <c r="F302"/>
      <c r="G302"/>
      <c r="H302"/>
    </row>
    <row r="303" spans="1:8" s="140" customFormat="1" ht="15" customHeight="1" x14ac:dyDescent="0.25">
      <c r="A303"/>
      <c r="B303"/>
      <c r="C303"/>
      <c r="D303"/>
      <c r="E303"/>
      <c r="F303"/>
      <c r="G303"/>
      <c r="H303"/>
    </row>
    <row r="304" spans="1:8" s="140" customFormat="1" ht="15" customHeight="1" x14ac:dyDescent="0.25">
      <c r="A304"/>
      <c r="B304"/>
      <c r="C304"/>
      <c r="D304"/>
      <c r="E304"/>
      <c r="F304"/>
      <c r="G304"/>
      <c r="H304"/>
    </row>
    <row r="305" spans="1:8" s="140" customFormat="1" ht="15" customHeight="1" x14ac:dyDescent="0.25">
      <c r="A305"/>
      <c r="B305"/>
      <c r="C305"/>
      <c r="D305"/>
      <c r="E305"/>
      <c r="F305"/>
      <c r="G305"/>
      <c r="H305"/>
    </row>
    <row r="306" spans="1:8" s="140" customFormat="1" ht="15" customHeight="1" x14ac:dyDescent="0.25">
      <c r="A306"/>
      <c r="B306"/>
      <c r="C306"/>
      <c r="D306"/>
      <c r="E306"/>
      <c r="F306"/>
      <c r="G306"/>
      <c r="H306"/>
    </row>
    <row r="307" spans="1:8" s="140" customFormat="1" ht="15" customHeight="1" x14ac:dyDescent="0.25">
      <c r="A307"/>
      <c r="B307"/>
      <c r="C307"/>
      <c r="D307"/>
      <c r="E307"/>
      <c r="F307"/>
      <c r="G307"/>
      <c r="H307"/>
    </row>
    <row r="308" spans="1:8" s="140" customFormat="1" ht="15" customHeight="1" x14ac:dyDescent="0.25">
      <c r="A308"/>
      <c r="B308"/>
      <c r="C308"/>
      <c r="D308"/>
      <c r="E308"/>
      <c r="F308"/>
      <c r="G308"/>
      <c r="H308"/>
    </row>
    <row r="309" spans="1:8" s="140" customFormat="1" ht="15" customHeight="1" x14ac:dyDescent="0.25">
      <c r="A309"/>
      <c r="B309"/>
      <c r="C309"/>
      <c r="D309"/>
      <c r="E309"/>
      <c r="F309"/>
      <c r="G309"/>
      <c r="H309"/>
    </row>
    <row r="310" spans="1:8" s="140" customFormat="1" ht="15" customHeight="1" x14ac:dyDescent="0.25">
      <c r="A310"/>
      <c r="B310"/>
      <c r="C310"/>
      <c r="D310"/>
      <c r="E310"/>
      <c r="F310"/>
      <c r="G310"/>
      <c r="H310"/>
    </row>
    <row r="311" spans="1:8" s="140" customFormat="1" ht="15" customHeight="1" x14ac:dyDescent="0.25">
      <c r="A311"/>
      <c r="B311"/>
      <c r="C311"/>
      <c r="D311"/>
      <c r="E311"/>
      <c r="F311"/>
      <c r="G311"/>
      <c r="H311"/>
    </row>
    <row r="312" spans="1:8" s="140" customFormat="1" ht="15" customHeight="1" x14ac:dyDescent="0.25">
      <c r="A312"/>
      <c r="B312"/>
      <c r="C312"/>
      <c r="D312"/>
      <c r="E312"/>
      <c r="F312"/>
      <c r="G312"/>
      <c r="H312"/>
    </row>
    <row r="313" spans="1:8" s="140" customFormat="1" ht="15" customHeight="1" x14ac:dyDescent="0.25">
      <c r="A313"/>
      <c r="B313"/>
      <c r="C313"/>
      <c r="D313"/>
      <c r="E313"/>
      <c r="F313"/>
      <c r="G313"/>
      <c r="H313"/>
    </row>
    <row r="314" spans="1:8" s="140" customFormat="1" ht="15" customHeight="1" x14ac:dyDescent="0.25">
      <c r="A314"/>
      <c r="B314"/>
      <c r="C314"/>
      <c r="D314"/>
      <c r="E314"/>
      <c r="F314"/>
      <c r="G314"/>
      <c r="H314"/>
    </row>
    <row r="315" spans="1:8" s="140" customFormat="1" ht="15" customHeight="1" x14ac:dyDescent="0.25">
      <c r="A315"/>
      <c r="B315"/>
      <c r="C315"/>
      <c r="D315"/>
      <c r="E315"/>
      <c r="F315"/>
      <c r="G315"/>
      <c r="H315"/>
    </row>
    <row r="316" spans="1:8" s="140" customFormat="1" ht="40.5" customHeight="1" x14ac:dyDescent="0.25">
      <c r="A316"/>
      <c r="B316"/>
      <c r="C316"/>
      <c r="D316"/>
      <c r="E316"/>
      <c r="F316"/>
      <c r="G316"/>
      <c r="H316"/>
    </row>
    <row r="317" spans="1:8" s="140" customFormat="1" ht="34.5" customHeight="1" x14ac:dyDescent="0.25">
      <c r="A317"/>
      <c r="B317"/>
      <c r="C317"/>
      <c r="D317"/>
      <c r="E317"/>
      <c r="F317"/>
      <c r="G317"/>
      <c r="H317"/>
    </row>
    <row r="318" spans="1:8" s="140" customFormat="1" x14ac:dyDescent="0.25">
      <c r="A318"/>
      <c r="B318"/>
      <c r="C318"/>
      <c r="D318"/>
      <c r="E318"/>
      <c r="F318"/>
      <c r="G318"/>
      <c r="H318"/>
    </row>
    <row r="319" spans="1:8" s="140" customFormat="1" x14ac:dyDescent="0.25">
      <c r="A319"/>
      <c r="B319"/>
      <c r="C319"/>
      <c r="D319"/>
      <c r="E319"/>
      <c r="F319"/>
      <c r="G319"/>
      <c r="H319"/>
    </row>
    <row r="320" spans="1:8" s="140" customFormat="1" ht="15" customHeight="1" x14ac:dyDescent="0.25">
      <c r="A320"/>
      <c r="B320"/>
      <c r="C320"/>
      <c r="D320"/>
      <c r="E320"/>
      <c r="F320"/>
      <c r="G320"/>
      <c r="H320"/>
    </row>
    <row r="321" spans="1:8" s="140" customFormat="1" x14ac:dyDescent="0.25">
      <c r="A321"/>
      <c r="B321"/>
      <c r="C321"/>
      <c r="D321"/>
      <c r="E321"/>
      <c r="F321"/>
      <c r="G321"/>
      <c r="H321"/>
    </row>
    <row r="322" spans="1:8" s="140" customFormat="1" ht="15" customHeight="1" x14ac:dyDescent="0.25">
      <c r="A322"/>
      <c r="B322"/>
      <c r="C322"/>
      <c r="D322"/>
      <c r="E322"/>
      <c r="F322"/>
      <c r="G322"/>
      <c r="H322"/>
    </row>
    <row r="323" spans="1:8" s="140" customFormat="1" x14ac:dyDescent="0.25">
      <c r="A323"/>
      <c r="B323"/>
      <c r="C323"/>
      <c r="D323"/>
      <c r="E323"/>
      <c r="F323"/>
      <c r="G323"/>
      <c r="H323"/>
    </row>
    <row r="324" spans="1:8" s="140" customFormat="1" ht="15" customHeight="1" x14ac:dyDescent="0.25">
      <c r="A324"/>
      <c r="B324"/>
      <c r="C324"/>
      <c r="D324"/>
      <c r="E324"/>
      <c r="F324"/>
      <c r="G324"/>
      <c r="H324"/>
    </row>
    <row r="325" spans="1:8" s="140" customFormat="1" ht="15" customHeight="1" x14ac:dyDescent="0.25">
      <c r="A325"/>
      <c r="B325"/>
      <c r="C325"/>
      <c r="D325"/>
      <c r="E325"/>
      <c r="F325"/>
      <c r="G325"/>
      <c r="H325"/>
    </row>
    <row r="326" spans="1:8" s="140" customFormat="1" x14ac:dyDescent="0.25">
      <c r="A326"/>
      <c r="B326"/>
      <c r="C326"/>
      <c r="D326"/>
      <c r="E326"/>
      <c r="F326"/>
      <c r="G326"/>
      <c r="H326"/>
    </row>
    <row r="327" spans="1:8" s="140" customFormat="1" ht="15" customHeight="1" x14ac:dyDescent="0.25">
      <c r="A327"/>
      <c r="B327"/>
      <c r="C327"/>
      <c r="D327"/>
      <c r="E327"/>
      <c r="F327"/>
      <c r="G327"/>
      <c r="H327"/>
    </row>
    <row r="328" spans="1:8" s="140" customFormat="1" ht="15" customHeight="1" x14ac:dyDescent="0.25">
      <c r="A328"/>
      <c r="B328"/>
      <c r="C328"/>
      <c r="D328"/>
      <c r="E328"/>
      <c r="F328"/>
      <c r="G328"/>
      <c r="H328"/>
    </row>
    <row r="329" spans="1:8" s="140" customFormat="1" ht="15" customHeight="1" x14ac:dyDescent="0.25">
      <c r="A329"/>
      <c r="B329"/>
      <c r="C329"/>
      <c r="D329"/>
      <c r="E329"/>
      <c r="F329"/>
      <c r="G329"/>
      <c r="H329"/>
    </row>
    <row r="330" spans="1:8" s="140" customFormat="1" ht="15" customHeight="1" x14ac:dyDescent="0.25">
      <c r="A330"/>
      <c r="B330"/>
      <c r="C330"/>
      <c r="D330"/>
      <c r="E330"/>
      <c r="F330"/>
      <c r="G330"/>
      <c r="H330"/>
    </row>
    <row r="331" spans="1:8" s="140" customFormat="1" ht="15" customHeight="1" x14ac:dyDescent="0.25">
      <c r="A331"/>
      <c r="B331"/>
      <c r="C331"/>
      <c r="D331"/>
      <c r="E331"/>
      <c r="F331"/>
      <c r="G331"/>
      <c r="H331"/>
    </row>
    <row r="332" spans="1:8" s="140" customFormat="1" ht="15" customHeight="1" x14ac:dyDescent="0.25">
      <c r="A332"/>
      <c r="B332"/>
      <c r="C332"/>
      <c r="D332"/>
      <c r="E332"/>
      <c r="F332"/>
      <c r="G332"/>
      <c r="H332"/>
    </row>
    <row r="333" spans="1:8" s="140" customFormat="1" ht="15" customHeight="1" x14ac:dyDescent="0.25">
      <c r="A333"/>
      <c r="B333"/>
      <c r="C333"/>
      <c r="D333"/>
      <c r="E333"/>
      <c r="F333"/>
      <c r="G333"/>
      <c r="H333"/>
    </row>
    <row r="334" spans="1:8" s="140" customFormat="1" ht="15" customHeight="1" x14ac:dyDescent="0.25">
      <c r="A334"/>
      <c r="B334"/>
      <c r="C334"/>
      <c r="D334"/>
      <c r="E334"/>
      <c r="F334"/>
      <c r="G334"/>
      <c r="H334"/>
    </row>
    <row r="335" spans="1:8" s="140" customFormat="1" ht="15" customHeight="1" x14ac:dyDescent="0.25">
      <c r="A335"/>
      <c r="B335"/>
      <c r="C335"/>
      <c r="D335"/>
      <c r="E335"/>
      <c r="F335"/>
      <c r="G335"/>
      <c r="H335"/>
    </row>
    <row r="336" spans="1:8" s="140" customFormat="1" ht="15" customHeight="1" x14ac:dyDescent="0.25">
      <c r="A336"/>
      <c r="B336"/>
      <c r="C336"/>
      <c r="D336"/>
      <c r="E336"/>
      <c r="F336"/>
      <c r="G336"/>
      <c r="H336"/>
    </row>
    <row r="337" spans="1:8" s="140" customFormat="1" ht="15" customHeight="1" x14ac:dyDescent="0.25">
      <c r="A337"/>
      <c r="B337"/>
      <c r="C337"/>
      <c r="D337"/>
      <c r="E337"/>
      <c r="F337"/>
      <c r="G337"/>
      <c r="H337"/>
    </row>
    <row r="338" spans="1:8" s="140" customFormat="1" ht="15" customHeight="1" x14ac:dyDescent="0.25">
      <c r="A338"/>
      <c r="B338"/>
      <c r="C338"/>
      <c r="D338"/>
      <c r="E338"/>
      <c r="F338"/>
      <c r="G338"/>
      <c r="H338"/>
    </row>
    <row r="339" spans="1:8" s="140" customFormat="1" ht="15" customHeight="1" x14ac:dyDescent="0.25">
      <c r="A339"/>
      <c r="B339"/>
      <c r="C339"/>
      <c r="D339"/>
      <c r="E339"/>
      <c r="F339"/>
      <c r="G339"/>
      <c r="H339"/>
    </row>
    <row r="340" spans="1:8" s="140" customFormat="1" ht="15" customHeight="1" x14ac:dyDescent="0.25">
      <c r="A340"/>
      <c r="B340"/>
      <c r="C340"/>
      <c r="D340"/>
      <c r="E340"/>
      <c r="F340"/>
      <c r="G340"/>
      <c r="H340"/>
    </row>
    <row r="341" spans="1:8" s="140" customFormat="1" ht="15" customHeight="1" x14ac:dyDescent="0.25">
      <c r="A341"/>
      <c r="B341"/>
      <c r="C341"/>
      <c r="D341"/>
      <c r="E341"/>
      <c r="F341"/>
      <c r="G341"/>
      <c r="H341"/>
    </row>
    <row r="342" spans="1:8" s="140" customFormat="1" ht="15" customHeight="1" x14ac:dyDescent="0.25">
      <c r="A342"/>
      <c r="B342"/>
      <c r="C342"/>
      <c r="D342"/>
      <c r="E342"/>
      <c r="F342"/>
      <c r="G342"/>
      <c r="H342"/>
    </row>
    <row r="343" spans="1:8" s="140" customFormat="1" ht="15" customHeight="1" x14ac:dyDescent="0.25">
      <c r="A343"/>
      <c r="B343"/>
      <c r="C343"/>
      <c r="D343"/>
      <c r="E343"/>
      <c r="F343"/>
      <c r="G343"/>
      <c r="H343"/>
    </row>
    <row r="344" spans="1:8" s="140" customFormat="1" ht="15" customHeight="1" x14ac:dyDescent="0.25">
      <c r="A344"/>
      <c r="B344"/>
      <c r="C344"/>
      <c r="D344"/>
      <c r="E344"/>
      <c r="F344"/>
      <c r="G344"/>
      <c r="H344"/>
    </row>
    <row r="345" spans="1:8" s="140" customFormat="1" ht="15" customHeight="1" x14ac:dyDescent="0.25">
      <c r="A345"/>
      <c r="B345"/>
      <c r="C345"/>
      <c r="D345"/>
      <c r="E345"/>
      <c r="F345"/>
      <c r="G345"/>
      <c r="H345"/>
    </row>
    <row r="346" spans="1:8" s="140" customFormat="1" ht="15" customHeight="1" x14ac:dyDescent="0.25">
      <c r="A346"/>
      <c r="B346"/>
      <c r="C346"/>
      <c r="D346"/>
      <c r="E346"/>
      <c r="F346"/>
      <c r="G346"/>
      <c r="H346"/>
    </row>
    <row r="347" spans="1:8" s="140" customFormat="1" ht="15" customHeight="1" x14ac:dyDescent="0.25">
      <c r="A347"/>
      <c r="B347"/>
      <c r="C347"/>
      <c r="D347"/>
      <c r="E347"/>
      <c r="F347"/>
      <c r="G347"/>
      <c r="H347"/>
    </row>
    <row r="348" spans="1:8" s="140" customFormat="1" ht="15" customHeight="1" x14ac:dyDescent="0.25">
      <c r="A348"/>
      <c r="B348"/>
      <c r="C348"/>
      <c r="D348"/>
      <c r="E348"/>
      <c r="F348"/>
      <c r="G348"/>
      <c r="H348"/>
    </row>
    <row r="349" spans="1:8" s="140" customFormat="1" ht="15" customHeight="1" x14ac:dyDescent="0.25">
      <c r="A349"/>
      <c r="B349"/>
      <c r="C349"/>
      <c r="D349"/>
      <c r="E349"/>
      <c r="F349"/>
      <c r="G349"/>
      <c r="H349"/>
    </row>
    <row r="350" spans="1:8" s="140" customFormat="1" ht="15" customHeight="1" x14ac:dyDescent="0.25">
      <c r="A350"/>
      <c r="B350"/>
      <c r="C350"/>
      <c r="D350"/>
      <c r="E350"/>
      <c r="F350"/>
      <c r="G350"/>
      <c r="H350"/>
    </row>
    <row r="351" spans="1:8" s="140" customFormat="1" ht="15" customHeight="1" x14ac:dyDescent="0.25">
      <c r="A351"/>
      <c r="B351"/>
      <c r="C351"/>
      <c r="D351"/>
      <c r="E351"/>
      <c r="F351"/>
      <c r="G351"/>
      <c r="H351"/>
    </row>
    <row r="352" spans="1:8" s="140" customFormat="1" ht="15" customHeight="1" x14ac:dyDescent="0.25">
      <c r="A352"/>
      <c r="B352"/>
      <c r="C352"/>
      <c r="D352"/>
      <c r="E352"/>
      <c r="F352"/>
      <c r="G352"/>
      <c r="H352"/>
    </row>
    <row r="353" spans="1:8" s="140" customFormat="1" ht="15" customHeight="1" x14ac:dyDescent="0.25">
      <c r="A353"/>
      <c r="B353"/>
      <c r="C353"/>
      <c r="D353"/>
      <c r="E353"/>
      <c r="F353"/>
      <c r="G353"/>
      <c r="H353"/>
    </row>
    <row r="354" spans="1:8" s="140" customFormat="1" ht="15" customHeight="1" x14ac:dyDescent="0.25">
      <c r="A354"/>
      <c r="B354"/>
      <c r="C354"/>
      <c r="D354"/>
      <c r="E354"/>
      <c r="F354"/>
      <c r="G354"/>
      <c r="H354"/>
    </row>
    <row r="355" spans="1:8" s="140" customFormat="1" ht="15" customHeight="1" x14ac:dyDescent="0.25">
      <c r="A355"/>
      <c r="B355"/>
      <c r="C355"/>
      <c r="D355"/>
      <c r="E355"/>
      <c r="F355"/>
      <c r="G355"/>
      <c r="H355"/>
    </row>
    <row r="356" spans="1:8" s="140" customFormat="1" ht="15" customHeight="1" x14ac:dyDescent="0.25">
      <c r="A356"/>
      <c r="B356"/>
      <c r="C356"/>
      <c r="D356"/>
      <c r="E356"/>
      <c r="F356"/>
      <c r="G356"/>
      <c r="H356"/>
    </row>
    <row r="357" spans="1:8" s="140" customFormat="1" ht="15" customHeight="1" x14ac:dyDescent="0.25">
      <c r="A357"/>
      <c r="B357"/>
      <c r="C357"/>
      <c r="D357"/>
      <c r="E357"/>
      <c r="F357"/>
      <c r="G357"/>
      <c r="H357"/>
    </row>
    <row r="358" spans="1:8" s="140" customFormat="1" ht="15" customHeight="1" x14ac:dyDescent="0.25">
      <c r="A358"/>
      <c r="B358"/>
      <c r="C358"/>
      <c r="D358"/>
      <c r="E358"/>
      <c r="F358"/>
      <c r="G358"/>
      <c r="H358"/>
    </row>
    <row r="359" spans="1:8" s="140" customFormat="1" ht="15" customHeight="1" x14ac:dyDescent="0.25">
      <c r="A359"/>
      <c r="B359"/>
      <c r="C359"/>
      <c r="D359"/>
      <c r="E359"/>
      <c r="F359"/>
      <c r="G359"/>
      <c r="H359"/>
    </row>
    <row r="360" spans="1:8" s="140" customFormat="1" ht="15" customHeight="1" x14ac:dyDescent="0.25">
      <c r="A360"/>
      <c r="B360"/>
      <c r="C360"/>
      <c r="D360"/>
      <c r="E360"/>
      <c r="F360"/>
      <c r="G360"/>
      <c r="H360"/>
    </row>
    <row r="361" spans="1:8" s="140" customFormat="1" ht="15" customHeight="1" x14ac:dyDescent="0.25">
      <c r="A361"/>
      <c r="B361"/>
      <c r="C361"/>
      <c r="D361"/>
      <c r="E361"/>
      <c r="F361"/>
      <c r="G361"/>
      <c r="H361"/>
    </row>
    <row r="362" spans="1:8" s="140" customFormat="1" ht="15" customHeight="1" x14ac:dyDescent="0.25">
      <c r="A362"/>
      <c r="B362"/>
      <c r="C362"/>
      <c r="D362"/>
      <c r="E362"/>
      <c r="F362"/>
      <c r="G362"/>
      <c r="H362"/>
    </row>
    <row r="363" spans="1:8" s="140" customFormat="1" ht="15" customHeight="1" x14ac:dyDescent="0.25">
      <c r="A363"/>
      <c r="B363"/>
      <c r="C363"/>
      <c r="D363"/>
      <c r="E363"/>
      <c r="F363"/>
      <c r="G363"/>
      <c r="H363"/>
    </row>
    <row r="364" spans="1:8" s="140" customFormat="1" ht="15" customHeight="1" x14ac:dyDescent="0.25">
      <c r="A364"/>
      <c r="B364"/>
      <c r="C364"/>
      <c r="D364"/>
      <c r="E364"/>
      <c r="F364"/>
      <c r="G364"/>
      <c r="H364"/>
    </row>
    <row r="365" spans="1:8" s="140" customFormat="1" ht="15" customHeight="1" x14ac:dyDescent="0.25">
      <c r="A365"/>
      <c r="B365"/>
      <c r="C365"/>
      <c r="D365"/>
      <c r="E365"/>
      <c r="F365"/>
      <c r="G365"/>
      <c r="H365"/>
    </row>
    <row r="366" spans="1:8" s="140" customFormat="1" ht="15" customHeight="1" x14ac:dyDescent="0.25">
      <c r="A366"/>
      <c r="B366"/>
      <c r="C366"/>
      <c r="D366"/>
      <c r="E366"/>
      <c r="F366"/>
      <c r="G366"/>
      <c r="H366"/>
    </row>
    <row r="367" spans="1:8" s="140" customFormat="1" ht="15" customHeight="1" x14ac:dyDescent="0.25">
      <c r="A367"/>
      <c r="B367"/>
      <c r="C367"/>
      <c r="D367"/>
      <c r="E367"/>
      <c r="F367"/>
      <c r="G367"/>
      <c r="H367"/>
    </row>
    <row r="368" spans="1:8" s="140" customFormat="1" ht="15" customHeight="1" x14ac:dyDescent="0.25">
      <c r="A368"/>
      <c r="B368"/>
      <c r="C368"/>
      <c r="D368"/>
      <c r="E368"/>
      <c r="F368"/>
      <c r="G368"/>
      <c r="H368"/>
    </row>
    <row r="369" spans="1:8" s="140" customFormat="1" ht="15" customHeight="1" x14ac:dyDescent="0.25">
      <c r="A369"/>
      <c r="B369"/>
      <c r="C369"/>
      <c r="D369"/>
      <c r="E369"/>
      <c r="F369"/>
      <c r="G369"/>
      <c r="H369"/>
    </row>
    <row r="370" spans="1:8" s="140" customFormat="1" ht="15" customHeight="1" x14ac:dyDescent="0.25">
      <c r="A370"/>
      <c r="B370"/>
      <c r="C370"/>
      <c r="D370"/>
      <c r="E370"/>
      <c r="F370"/>
      <c r="G370"/>
      <c r="H370"/>
    </row>
    <row r="371" spans="1:8" s="140" customFormat="1" ht="15" customHeight="1" x14ac:dyDescent="0.25">
      <c r="A371"/>
      <c r="B371"/>
      <c r="C371"/>
      <c r="D371"/>
      <c r="E371"/>
      <c r="F371"/>
      <c r="G371"/>
      <c r="H371"/>
    </row>
    <row r="372" spans="1:8" s="140" customFormat="1" ht="15" customHeight="1" x14ac:dyDescent="0.25">
      <c r="A372"/>
      <c r="B372"/>
      <c r="C372"/>
      <c r="D372"/>
      <c r="E372"/>
      <c r="F372"/>
      <c r="G372"/>
      <c r="H372"/>
    </row>
    <row r="373" spans="1:8" s="140" customFormat="1" ht="15" customHeight="1" x14ac:dyDescent="0.25">
      <c r="A373"/>
      <c r="B373"/>
      <c r="C373"/>
      <c r="D373"/>
      <c r="E373"/>
      <c r="F373"/>
      <c r="G373"/>
      <c r="H373"/>
    </row>
    <row r="374" spans="1:8" s="140" customFormat="1" ht="15" customHeight="1" x14ac:dyDescent="0.25">
      <c r="A374"/>
      <c r="B374"/>
      <c r="C374"/>
      <c r="D374"/>
      <c r="E374"/>
      <c r="F374"/>
      <c r="G374"/>
      <c r="H374"/>
    </row>
    <row r="375" spans="1:8" s="140" customFormat="1" ht="15" customHeight="1" x14ac:dyDescent="0.25">
      <c r="A375"/>
      <c r="B375"/>
      <c r="C375"/>
      <c r="D375"/>
      <c r="E375"/>
      <c r="F375"/>
      <c r="G375"/>
      <c r="H375"/>
    </row>
    <row r="376" spans="1:8" s="140" customFormat="1" ht="15" customHeight="1" x14ac:dyDescent="0.25">
      <c r="A376"/>
      <c r="B376"/>
      <c r="C376"/>
      <c r="D376"/>
      <c r="E376"/>
      <c r="F376"/>
      <c r="G376"/>
      <c r="H376"/>
    </row>
    <row r="377" spans="1:8" s="140" customFormat="1" ht="15" customHeight="1" x14ac:dyDescent="0.25">
      <c r="A377"/>
      <c r="B377"/>
      <c r="C377"/>
      <c r="D377"/>
      <c r="E377"/>
      <c r="F377"/>
      <c r="G377"/>
      <c r="H377"/>
    </row>
    <row r="378" spans="1:8" s="140" customFormat="1" ht="15" customHeight="1" x14ac:dyDescent="0.25">
      <c r="A378"/>
      <c r="B378"/>
      <c r="C378"/>
      <c r="D378"/>
      <c r="E378"/>
      <c r="F378"/>
      <c r="G378"/>
      <c r="H378"/>
    </row>
    <row r="379" spans="1:8" s="140" customFormat="1" ht="15" customHeight="1" x14ac:dyDescent="0.25">
      <c r="A379"/>
      <c r="B379"/>
      <c r="C379"/>
      <c r="D379"/>
      <c r="E379"/>
      <c r="F379"/>
      <c r="G379"/>
      <c r="H379"/>
    </row>
    <row r="380" spans="1:8" s="140" customFormat="1" ht="15" customHeight="1" x14ac:dyDescent="0.25">
      <c r="A380"/>
      <c r="B380"/>
      <c r="C380"/>
      <c r="D380"/>
      <c r="E380"/>
      <c r="F380"/>
      <c r="G380"/>
      <c r="H380"/>
    </row>
    <row r="381" spans="1:8" s="140" customFormat="1" ht="15" customHeight="1" x14ac:dyDescent="0.25">
      <c r="A381"/>
      <c r="B381"/>
      <c r="C381"/>
      <c r="D381"/>
      <c r="E381"/>
      <c r="F381"/>
      <c r="G381"/>
      <c r="H381"/>
    </row>
    <row r="382" spans="1:8" s="140" customFormat="1" ht="15" customHeight="1" x14ac:dyDescent="0.25">
      <c r="A382"/>
      <c r="B382"/>
      <c r="C382"/>
      <c r="D382"/>
      <c r="E382"/>
      <c r="F382"/>
      <c r="G382"/>
      <c r="H382"/>
    </row>
    <row r="383" spans="1:8" s="140" customFormat="1" ht="15" customHeight="1" x14ac:dyDescent="0.25">
      <c r="A383"/>
      <c r="B383"/>
      <c r="C383"/>
      <c r="D383"/>
      <c r="E383"/>
      <c r="F383"/>
      <c r="G383"/>
      <c r="H383"/>
    </row>
    <row r="384" spans="1:8" s="140" customFormat="1" ht="15" customHeight="1" x14ac:dyDescent="0.25">
      <c r="A384"/>
      <c r="B384"/>
      <c r="C384"/>
      <c r="D384"/>
      <c r="E384"/>
      <c r="F384"/>
      <c r="G384"/>
      <c r="H384"/>
    </row>
    <row r="385" spans="1:8" s="140" customFormat="1" ht="15" customHeight="1" x14ac:dyDescent="0.25">
      <c r="A385"/>
      <c r="B385"/>
      <c r="C385"/>
      <c r="D385"/>
      <c r="E385"/>
      <c r="F385"/>
      <c r="G385"/>
      <c r="H385"/>
    </row>
    <row r="386" spans="1:8" s="140" customFormat="1" ht="15" customHeight="1" x14ac:dyDescent="0.25">
      <c r="A386"/>
      <c r="B386"/>
      <c r="C386"/>
      <c r="D386"/>
      <c r="E386"/>
      <c r="F386"/>
      <c r="G386"/>
      <c r="H386"/>
    </row>
    <row r="387" spans="1:8" s="140" customFormat="1" ht="15" customHeight="1" x14ac:dyDescent="0.25">
      <c r="A387"/>
      <c r="B387"/>
      <c r="C387"/>
      <c r="D387"/>
      <c r="E387"/>
      <c r="F387"/>
      <c r="G387"/>
      <c r="H387"/>
    </row>
    <row r="388" spans="1:8" s="140" customFormat="1" ht="15" customHeight="1" x14ac:dyDescent="0.25">
      <c r="A388"/>
      <c r="B388"/>
      <c r="C388"/>
      <c r="D388"/>
      <c r="E388"/>
      <c r="F388"/>
      <c r="G388"/>
      <c r="H388"/>
    </row>
    <row r="389" spans="1:8" s="140" customFormat="1" ht="15" customHeight="1" x14ac:dyDescent="0.25">
      <c r="A389"/>
      <c r="B389"/>
      <c r="C389"/>
      <c r="D389"/>
      <c r="E389"/>
      <c r="F389"/>
      <c r="G389"/>
      <c r="H389"/>
    </row>
    <row r="390" spans="1:8" s="140" customFormat="1" ht="15" customHeight="1" x14ac:dyDescent="0.25">
      <c r="A390"/>
      <c r="B390"/>
      <c r="C390"/>
      <c r="D390"/>
      <c r="E390"/>
      <c r="F390"/>
      <c r="G390"/>
      <c r="H390"/>
    </row>
    <row r="391" spans="1:8" s="140" customFormat="1" ht="15" customHeight="1" x14ac:dyDescent="0.25">
      <c r="A391"/>
      <c r="B391"/>
      <c r="C391"/>
      <c r="D391"/>
      <c r="E391"/>
      <c r="F391"/>
      <c r="G391"/>
      <c r="H391"/>
    </row>
    <row r="392" spans="1:8" s="140" customFormat="1" ht="15" customHeight="1" x14ac:dyDescent="0.25">
      <c r="A392"/>
      <c r="B392"/>
      <c r="C392"/>
      <c r="D392"/>
      <c r="E392"/>
      <c r="F392"/>
      <c r="G392"/>
      <c r="H392"/>
    </row>
    <row r="393" spans="1:8" s="140" customFormat="1" ht="15" customHeight="1" x14ac:dyDescent="0.25">
      <c r="A393"/>
      <c r="B393"/>
      <c r="C393"/>
      <c r="D393"/>
      <c r="E393"/>
      <c r="F393"/>
      <c r="G393"/>
      <c r="H393"/>
    </row>
    <row r="394" spans="1:8" s="140" customFormat="1" ht="15" customHeight="1" x14ac:dyDescent="0.25">
      <c r="A394"/>
      <c r="B394"/>
      <c r="C394"/>
      <c r="D394"/>
      <c r="E394"/>
      <c r="F394"/>
      <c r="G394"/>
      <c r="H394"/>
    </row>
    <row r="395" spans="1:8" s="140" customFormat="1" ht="15" customHeight="1" x14ac:dyDescent="0.25">
      <c r="A395"/>
      <c r="B395"/>
      <c r="C395"/>
      <c r="D395"/>
      <c r="E395"/>
      <c r="F395"/>
      <c r="G395"/>
      <c r="H395"/>
    </row>
    <row r="396" spans="1:8" s="140" customFormat="1" ht="15" customHeight="1" x14ac:dyDescent="0.25">
      <c r="A396"/>
      <c r="B396"/>
      <c r="C396"/>
      <c r="D396"/>
      <c r="E396"/>
      <c r="F396"/>
      <c r="G396"/>
      <c r="H396"/>
    </row>
    <row r="397" spans="1:8" s="140" customFormat="1" ht="15" customHeight="1" x14ac:dyDescent="0.25">
      <c r="A397"/>
      <c r="B397"/>
      <c r="C397"/>
      <c r="D397"/>
      <c r="E397"/>
      <c r="F397"/>
      <c r="G397"/>
      <c r="H397"/>
    </row>
    <row r="398" spans="1:8" s="140" customFormat="1" ht="15" customHeight="1" x14ac:dyDescent="0.25">
      <c r="A398"/>
      <c r="B398"/>
      <c r="C398"/>
      <c r="D398"/>
      <c r="E398"/>
      <c r="F398"/>
      <c r="G398"/>
      <c r="H398"/>
    </row>
    <row r="399" spans="1:8" s="140" customFormat="1" ht="15" customHeight="1" x14ac:dyDescent="0.25">
      <c r="A399"/>
      <c r="B399"/>
      <c r="C399"/>
      <c r="D399"/>
      <c r="E399"/>
      <c r="F399"/>
      <c r="G399"/>
      <c r="H399"/>
    </row>
    <row r="400" spans="1:8" s="140" customFormat="1" ht="15" customHeight="1" x14ac:dyDescent="0.25">
      <c r="A400"/>
      <c r="B400"/>
      <c r="C400"/>
      <c r="D400"/>
      <c r="E400"/>
      <c r="F400"/>
      <c r="G400"/>
      <c r="H400"/>
    </row>
    <row r="401" spans="1:8" s="140" customFormat="1" ht="15" customHeight="1" x14ac:dyDescent="0.25">
      <c r="A401"/>
      <c r="B401"/>
      <c r="C401"/>
      <c r="D401"/>
      <c r="E401"/>
      <c r="F401"/>
      <c r="G401"/>
      <c r="H401"/>
    </row>
    <row r="402" spans="1:8" s="140" customFormat="1" ht="15" customHeight="1" x14ac:dyDescent="0.25">
      <c r="A402"/>
      <c r="B402"/>
      <c r="C402"/>
      <c r="D402"/>
      <c r="E402"/>
      <c r="F402"/>
      <c r="G402"/>
      <c r="H402"/>
    </row>
    <row r="403" spans="1:8" s="140" customFormat="1" ht="15" customHeight="1" x14ac:dyDescent="0.25">
      <c r="A403"/>
      <c r="B403"/>
      <c r="C403"/>
      <c r="D403"/>
      <c r="E403"/>
      <c r="F403"/>
      <c r="G403"/>
      <c r="H403"/>
    </row>
    <row r="404" spans="1:8" s="140" customFormat="1" ht="15" customHeight="1" x14ac:dyDescent="0.25">
      <c r="A404"/>
      <c r="B404"/>
      <c r="C404"/>
      <c r="D404"/>
      <c r="E404"/>
      <c r="F404"/>
      <c r="G404"/>
      <c r="H404"/>
    </row>
    <row r="405" spans="1:8" s="140" customFormat="1" ht="15" customHeight="1" x14ac:dyDescent="0.25">
      <c r="A405"/>
      <c r="B405"/>
      <c r="C405"/>
      <c r="D405"/>
      <c r="E405"/>
      <c r="F405"/>
      <c r="G405"/>
      <c r="H405"/>
    </row>
    <row r="406" spans="1:8" s="140" customFormat="1" ht="15" customHeight="1" x14ac:dyDescent="0.25">
      <c r="A406"/>
      <c r="B406"/>
      <c r="C406"/>
      <c r="D406"/>
      <c r="E406"/>
      <c r="F406"/>
      <c r="G406"/>
      <c r="H406"/>
    </row>
    <row r="407" spans="1:8" s="140" customFormat="1" ht="15" customHeight="1" x14ac:dyDescent="0.25">
      <c r="A407"/>
      <c r="B407"/>
      <c r="C407"/>
      <c r="D407"/>
      <c r="E407"/>
      <c r="F407"/>
      <c r="G407"/>
      <c r="H407"/>
    </row>
    <row r="408" spans="1:8" s="140" customFormat="1" ht="15" customHeight="1" x14ac:dyDescent="0.25">
      <c r="A408"/>
      <c r="B408"/>
      <c r="C408"/>
      <c r="D408"/>
      <c r="E408"/>
      <c r="F408"/>
      <c r="G408"/>
      <c r="H408"/>
    </row>
    <row r="409" spans="1:8" s="140" customFormat="1" ht="15" customHeight="1" x14ac:dyDescent="0.25">
      <c r="A409"/>
      <c r="B409"/>
      <c r="C409"/>
      <c r="D409"/>
      <c r="E409"/>
      <c r="F409"/>
      <c r="G409"/>
      <c r="H409"/>
    </row>
    <row r="410" spans="1:8" s="140" customFormat="1" ht="15" customHeight="1" x14ac:dyDescent="0.25">
      <c r="A410"/>
      <c r="B410"/>
      <c r="C410"/>
      <c r="D410"/>
      <c r="E410"/>
      <c r="F410"/>
      <c r="G410"/>
      <c r="H410"/>
    </row>
    <row r="411" spans="1:8" s="140" customFormat="1" ht="15" customHeight="1" x14ac:dyDescent="0.25">
      <c r="A411"/>
      <c r="B411"/>
      <c r="C411"/>
      <c r="D411"/>
      <c r="E411"/>
      <c r="F411"/>
      <c r="G411"/>
      <c r="H411"/>
    </row>
    <row r="412" spans="1:8" s="140" customFormat="1" ht="15" customHeight="1" x14ac:dyDescent="0.25">
      <c r="A412"/>
      <c r="B412"/>
      <c r="C412"/>
      <c r="D412"/>
      <c r="E412"/>
      <c r="F412"/>
      <c r="G412"/>
      <c r="H412"/>
    </row>
    <row r="413" spans="1:8" s="140" customFormat="1" ht="15" customHeight="1" x14ac:dyDescent="0.25">
      <c r="A413"/>
      <c r="B413"/>
      <c r="C413"/>
      <c r="D413"/>
      <c r="E413"/>
      <c r="F413"/>
      <c r="G413"/>
      <c r="H413"/>
    </row>
    <row r="414" spans="1:8" s="140" customFormat="1" ht="15" customHeight="1" x14ac:dyDescent="0.25">
      <c r="A414"/>
      <c r="B414"/>
      <c r="C414"/>
      <c r="D414"/>
      <c r="E414"/>
      <c r="F414"/>
      <c r="G414"/>
      <c r="H414"/>
    </row>
    <row r="415" spans="1:8" s="140" customFormat="1" ht="15" customHeight="1" x14ac:dyDescent="0.25">
      <c r="A415"/>
      <c r="B415"/>
      <c r="C415"/>
      <c r="D415"/>
      <c r="E415"/>
      <c r="F415"/>
      <c r="G415"/>
      <c r="H415"/>
    </row>
    <row r="416" spans="1:8" s="140" customFormat="1" ht="15" customHeight="1" x14ac:dyDescent="0.25">
      <c r="A416"/>
      <c r="B416"/>
      <c r="C416"/>
      <c r="D416"/>
      <c r="E416"/>
      <c r="F416"/>
      <c r="G416"/>
      <c r="H416"/>
    </row>
    <row r="417" spans="1:8" s="140" customFormat="1" ht="15" customHeight="1" x14ac:dyDescent="0.25">
      <c r="A417"/>
      <c r="B417"/>
      <c r="C417"/>
      <c r="D417"/>
      <c r="E417"/>
      <c r="F417"/>
      <c r="G417"/>
      <c r="H417"/>
    </row>
    <row r="418" spans="1:8" s="140" customFormat="1" ht="15" customHeight="1" x14ac:dyDescent="0.25">
      <c r="A418"/>
      <c r="B418"/>
      <c r="C418"/>
      <c r="D418"/>
      <c r="E418"/>
      <c r="F418"/>
      <c r="G418"/>
      <c r="H418"/>
    </row>
    <row r="419" spans="1:8" s="140" customFormat="1" ht="15" customHeight="1" x14ac:dyDescent="0.25">
      <c r="A419"/>
      <c r="B419"/>
      <c r="C419"/>
      <c r="D419"/>
      <c r="E419"/>
      <c r="F419"/>
      <c r="G419"/>
      <c r="H419"/>
    </row>
    <row r="420" spans="1:8" s="140" customFormat="1" ht="15" customHeight="1" x14ac:dyDescent="0.25">
      <c r="A420"/>
      <c r="B420"/>
      <c r="C420"/>
      <c r="D420"/>
      <c r="E420"/>
      <c r="F420"/>
      <c r="G420"/>
      <c r="H420"/>
    </row>
    <row r="421" spans="1:8" s="140" customFormat="1" ht="15" customHeight="1" x14ac:dyDescent="0.25">
      <c r="A421"/>
      <c r="B421"/>
      <c r="C421"/>
      <c r="D421"/>
      <c r="E421"/>
      <c r="F421"/>
      <c r="G421"/>
      <c r="H421"/>
    </row>
    <row r="422" spans="1:8" s="140" customFormat="1" ht="15" customHeight="1" x14ac:dyDescent="0.25">
      <c r="A422"/>
      <c r="B422"/>
      <c r="C422"/>
      <c r="D422"/>
      <c r="E422"/>
      <c r="F422"/>
      <c r="G422"/>
      <c r="H422"/>
    </row>
    <row r="423" spans="1:8" s="140" customFormat="1" ht="15" customHeight="1" x14ac:dyDescent="0.25">
      <c r="A423"/>
      <c r="B423"/>
      <c r="C423"/>
      <c r="D423"/>
      <c r="E423"/>
      <c r="F423"/>
      <c r="G423"/>
      <c r="H423"/>
    </row>
    <row r="424" spans="1:8" s="140" customFormat="1" ht="15" customHeight="1" x14ac:dyDescent="0.25">
      <c r="A424"/>
      <c r="B424"/>
      <c r="C424"/>
      <c r="D424"/>
      <c r="E424"/>
      <c r="F424"/>
      <c r="G424"/>
      <c r="H424"/>
    </row>
    <row r="425" spans="1:8" s="140" customFormat="1" ht="40.5" customHeight="1" x14ac:dyDescent="0.25">
      <c r="A425"/>
      <c r="B425"/>
      <c r="C425"/>
      <c r="D425"/>
      <c r="E425"/>
      <c r="F425"/>
      <c r="G425"/>
      <c r="H425"/>
    </row>
    <row r="426" spans="1:8" s="140" customFormat="1" ht="34.5" customHeight="1" x14ac:dyDescent="0.25">
      <c r="A426"/>
      <c r="B426"/>
      <c r="C426"/>
      <c r="D426"/>
      <c r="E426"/>
      <c r="F426"/>
      <c r="G426"/>
      <c r="H426"/>
    </row>
    <row r="427" spans="1:8" s="140" customFormat="1" x14ac:dyDescent="0.25">
      <c r="A427"/>
      <c r="B427"/>
      <c r="C427"/>
      <c r="D427"/>
      <c r="E427"/>
      <c r="F427"/>
      <c r="G427"/>
      <c r="H427"/>
    </row>
    <row r="428" spans="1:8" s="140" customFormat="1" x14ac:dyDescent="0.25">
      <c r="A428"/>
      <c r="B428"/>
      <c r="C428"/>
      <c r="D428"/>
      <c r="E428"/>
      <c r="F428"/>
      <c r="G428"/>
      <c r="H428"/>
    </row>
    <row r="429" spans="1:8" s="140" customFormat="1" ht="15" customHeight="1" x14ac:dyDescent="0.25">
      <c r="A429"/>
      <c r="B429"/>
      <c r="C429"/>
      <c r="D429"/>
      <c r="E429"/>
      <c r="F429"/>
      <c r="G429"/>
      <c r="H429"/>
    </row>
    <row r="430" spans="1:8" s="140" customFormat="1" x14ac:dyDescent="0.25">
      <c r="A430"/>
      <c r="B430"/>
      <c r="C430"/>
      <c r="D430"/>
      <c r="E430"/>
      <c r="F430"/>
      <c r="G430"/>
      <c r="H430"/>
    </row>
    <row r="431" spans="1:8" s="140" customFormat="1" ht="15" customHeight="1" x14ac:dyDescent="0.25">
      <c r="A431"/>
      <c r="B431"/>
      <c r="C431"/>
      <c r="D431"/>
      <c r="E431"/>
      <c r="F431"/>
      <c r="G431"/>
      <c r="H431"/>
    </row>
    <row r="432" spans="1:8" s="140" customFormat="1" x14ac:dyDescent="0.25">
      <c r="A432"/>
      <c r="B432"/>
      <c r="C432"/>
      <c r="D432"/>
      <c r="E432"/>
      <c r="F432"/>
      <c r="G432"/>
      <c r="H432"/>
    </row>
    <row r="433" spans="1:8" s="140" customFormat="1" ht="15" customHeight="1" x14ac:dyDescent="0.25">
      <c r="A433"/>
      <c r="B433"/>
      <c r="C433"/>
      <c r="D433"/>
      <c r="E433"/>
      <c r="F433"/>
      <c r="G433"/>
      <c r="H433"/>
    </row>
    <row r="434" spans="1:8" s="140" customFormat="1" ht="15" customHeight="1" x14ac:dyDescent="0.25">
      <c r="A434"/>
      <c r="B434"/>
      <c r="C434"/>
      <c r="D434"/>
      <c r="E434"/>
      <c r="F434"/>
      <c r="G434"/>
      <c r="H434"/>
    </row>
    <row r="435" spans="1:8" s="140" customFormat="1" x14ac:dyDescent="0.25">
      <c r="A435"/>
      <c r="B435"/>
      <c r="C435"/>
      <c r="D435"/>
      <c r="E435"/>
      <c r="F435"/>
      <c r="G435"/>
      <c r="H435"/>
    </row>
    <row r="436" spans="1:8" s="140" customFormat="1" ht="15" customHeight="1" x14ac:dyDescent="0.25">
      <c r="A436"/>
      <c r="B436"/>
      <c r="C436"/>
      <c r="D436"/>
      <c r="E436"/>
      <c r="F436"/>
      <c r="G436"/>
      <c r="H436"/>
    </row>
    <row r="437" spans="1:8" s="140" customFormat="1" ht="15" customHeight="1" x14ac:dyDescent="0.25">
      <c r="A437"/>
      <c r="B437"/>
      <c r="C437"/>
      <c r="D437"/>
      <c r="E437"/>
      <c r="F437"/>
      <c r="G437"/>
      <c r="H437"/>
    </row>
    <row r="438" spans="1:8" s="140" customFormat="1" ht="15" customHeight="1" x14ac:dyDescent="0.25">
      <c r="A438"/>
      <c r="B438"/>
      <c r="C438"/>
      <c r="D438"/>
      <c r="E438"/>
      <c r="F438"/>
      <c r="G438"/>
      <c r="H438"/>
    </row>
    <row r="439" spans="1:8" s="140" customFormat="1" ht="15" customHeight="1" x14ac:dyDescent="0.25">
      <c r="A439"/>
      <c r="B439"/>
      <c r="C439"/>
      <c r="D439"/>
      <c r="E439"/>
      <c r="F439"/>
      <c r="G439"/>
      <c r="H439"/>
    </row>
    <row r="440" spans="1:8" s="140" customFormat="1" ht="15" customHeight="1" x14ac:dyDescent="0.25">
      <c r="A440"/>
      <c r="B440"/>
      <c r="C440"/>
      <c r="D440"/>
      <c r="E440"/>
      <c r="F440"/>
      <c r="G440"/>
      <c r="H440"/>
    </row>
    <row r="441" spans="1:8" s="140" customFormat="1" ht="15" customHeight="1" x14ac:dyDescent="0.25">
      <c r="A441"/>
      <c r="B441"/>
      <c r="C441"/>
      <c r="D441"/>
      <c r="E441"/>
      <c r="F441"/>
      <c r="G441"/>
      <c r="H441"/>
    </row>
    <row r="442" spans="1:8" s="140" customFormat="1" ht="15" customHeight="1" x14ac:dyDescent="0.25">
      <c r="A442"/>
      <c r="B442"/>
      <c r="C442"/>
      <c r="D442"/>
      <c r="E442"/>
      <c r="F442"/>
      <c r="G442"/>
      <c r="H442"/>
    </row>
    <row r="443" spans="1:8" s="140" customFormat="1" x14ac:dyDescent="0.25">
      <c r="A443"/>
      <c r="B443"/>
      <c r="C443"/>
      <c r="D443"/>
      <c r="E443"/>
      <c r="F443"/>
      <c r="G443"/>
      <c r="H443"/>
    </row>
    <row r="444" spans="1:8" s="140" customFormat="1" ht="40.5" customHeight="1" x14ac:dyDescent="0.25">
      <c r="A444"/>
      <c r="B444"/>
      <c r="C444"/>
      <c r="D444"/>
      <c r="E444"/>
      <c r="F444"/>
      <c r="G444"/>
      <c r="H444"/>
    </row>
    <row r="445" spans="1:8" s="140" customFormat="1" ht="34.5" customHeight="1" x14ac:dyDescent="0.25">
      <c r="A445"/>
      <c r="B445"/>
      <c r="C445"/>
      <c r="D445"/>
      <c r="E445"/>
      <c r="F445"/>
      <c r="G445"/>
      <c r="H445"/>
    </row>
    <row r="446" spans="1:8" s="140" customFormat="1" x14ac:dyDescent="0.25">
      <c r="A446"/>
      <c r="B446"/>
      <c r="C446"/>
      <c r="D446"/>
      <c r="E446"/>
      <c r="F446"/>
      <c r="G446"/>
      <c r="H446"/>
    </row>
    <row r="447" spans="1:8" s="140" customFormat="1" x14ac:dyDescent="0.25">
      <c r="A447"/>
      <c r="B447"/>
      <c r="C447"/>
      <c r="D447"/>
      <c r="E447"/>
      <c r="F447"/>
      <c r="G447"/>
      <c r="H447"/>
    </row>
    <row r="448" spans="1:8" s="140" customFormat="1" ht="15" customHeight="1" x14ac:dyDescent="0.25">
      <c r="A448"/>
      <c r="B448"/>
      <c r="C448"/>
      <c r="D448"/>
      <c r="E448"/>
      <c r="F448"/>
      <c r="G448"/>
      <c r="H448"/>
    </row>
    <row r="449" spans="1:8" s="140" customFormat="1" x14ac:dyDescent="0.25">
      <c r="A449"/>
      <c r="B449"/>
      <c r="C449"/>
      <c r="D449"/>
      <c r="E449"/>
      <c r="F449"/>
      <c r="G449"/>
      <c r="H449"/>
    </row>
    <row r="450" spans="1:8" s="140" customFormat="1" ht="15" customHeight="1" x14ac:dyDescent="0.25">
      <c r="A450"/>
      <c r="B450"/>
      <c r="C450"/>
      <c r="D450"/>
      <c r="E450"/>
      <c r="F450"/>
      <c r="G450"/>
      <c r="H450"/>
    </row>
    <row r="451" spans="1:8" s="140" customFormat="1" x14ac:dyDescent="0.25">
      <c r="A451"/>
      <c r="B451"/>
      <c r="C451"/>
      <c r="D451"/>
      <c r="E451"/>
      <c r="F451"/>
      <c r="G451"/>
      <c r="H451"/>
    </row>
    <row r="452" spans="1:8" s="140" customFormat="1" ht="15" customHeight="1" x14ac:dyDescent="0.25">
      <c r="A452"/>
      <c r="B452"/>
      <c r="C452"/>
      <c r="D452"/>
      <c r="E452"/>
      <c r="F452"/>
      <c r="G452"/>
      <c r="H452"/>
    </row>
    <row r="453" spans="1:8" s="140" customFormat="1" ht="15" customHeight="1" x14ac:dyDescent="0.25">
      <c r="A453"/>
      <c r="B453"/>
      <c r="C453"/>
      <c r="D453"/>
      <c r="E453"/>
      <c r="F453"/>
      <c r="G453"/>
      <c r="H453"/>
    </row>
    <row r="454" spans="1:8" s="140" customFormat="1" x14ac:dyDescent="0.25">
      <c r="A454"/>
      <c r="B454"/>
      <c r="C454"/>
      <c r="D454"/>
      <c r="E454"/>
      <c r="F454"/>
      <c r="G454"/>
      <c r="H454"/>
    </row>
    <row r="455" spans="1:8" s="140" customFormat="1" ht="15" customHeight="1" x14ac:dyDescent="0.25">
      <c r="A455"/>
      <c r="B455"/>
      <c r="C455"/>
      <c r="D455"/>
      <c r="E455"/>
      <c r="F455"/>
      <c r="G455"/>
      <c r="H455"/>
    </row>
    <row r="456" spans="1:8" s="140" customFormat="1" ht="15" customHeight="1" x14ac:dyDescent="0.25">
      <c r="A456"/>
      <c r="B456"/>
      <c r="C456"/>
      <c r="D456"/>
      <c r="E456"/>
      <c r="F456"/>
      <c r="G456"/>
      <c r="H456"/>
    </row>
    <row r="457" spans="1:8" s="140" customFormat="1" ht="15" customHeight="1" x14ac:dyDescent="0.25">
      <c r="A457"/>
      <c r="B457"/>
      <c r="C457"/>
      <c r="D457"/>
      <c r="E457"/>
      <c r="F457"/>
      <c r="G457"/>
      <c r="H457"/>
    </row>
    <row r="458" spans="1:8" s="140" customFormat="1" ht="15" customHeight="1" x14ac:dyDescent="0.25">
      <c r="A458"/>
      <c r="B458"/>
      <c r="C458"/>
      <c r="D458"/>
      <c r="E458"/>
      <c r="F458"/>
      <c r="G458"/>
      <c r="H458"/>
    </row>
    <row r="459" spans="1:8" s="140" customFormat="1" ht="15" customHeight="1" x14ac:dyDescent="0.25">
      <c r="A459"/>
      <c r="B459"/>
      <c r="C459"/>
      <c r="D459"/>
      <c r="E459"/>
      <c r="F459"/>
      <c r="G459"/>
      <c r="H459"/>
    </row>
    <row r="460" spans="1:8" s="140" customFormat="1" ht="15" customHeight="1" x14ac:dyDescent="0.25">
      <c r="A460"/>
      <c r="B460"/>
      <c r="C460"/>
      <c r="D460"/>
      <c r="E460"/>
      <c r="F460"/>
      <c r="G460"/>
      <c r="H460"/>
    </row>
    <row r="461" spans="1:8" s="140" customFormat="1" ht="15" customHeight="1" x14ac:dyDescent="0.25">
      <c r="A461"/>
      <c r="B461"/>
      <c r="C461"/>
      <c r="D461"/>
      <c r="E461"/>
      <c r="F461"/>
      <c r="G461"/>
      <c r="H461"/>
    </row>
    <row r="462" spans="1:8" s="140" customFormat="1" ht="15" customHeight="1" x14ac:dyDescent="0.25">
      <c r="A462"/>
      <c r="B462"/>
      <c r="C462"/>
      <c r="D462"/>
      <c r="E462"/>
      <c r="F462"/>
      <c r="G462"/>
      <c r="H462"/>
    </row>
    <row r="463" spans="1:8" s="140" customFormat="1" ht="15" customHeight="1" x14ac:dyDescent="0.25">
      <c r="A463"/>
      <c r="B463"/>
      <c r="C463"/>
      <c r="D463"/>
      <c r="E463"/>
      <c r="F463"/>
      <c r="G463"/>
      <c r="H463"/>
    </row>
    <row r="464" spans="1:8" s="140" customFormat="1" ht="15" customHeight="1" x14ac:dyDescent="0.25">
      <c r="A464"/>
      <c r="B464"/>
      <c r="C464"/>
      <c r="D464"/>
      <c r="E464"/>
      <c r="F464"/>
      <c r="G464"/>
      <c r="H464"/>
    </row>
    <row r="465" spans="1:8" s="140" customFormat="1" ht="15" customHeight="1" x14ac:dyDescent="0.25">
      <c r="A465"/>
      <c r="B465"/>
      <c r="C465"/>
      <c r="D465"/>
      <c r="E465"/>
      <c r="F465"/>
      <c r="G465"/>
      <c r="H465"/>
    </row>
    <row r="466" spans="1:8" s="140" customFormat="1" ht="15" customHeight="1" x14ac:dyDescent="0.25">
      <c r="A466"/>
      <c r="B466"/>
      <c r="C466"/>
      <c r="D466"/>
      <c r="E466"/>
      <c r="F466"/>
      <c r="G466"/>
      <c r="H466"/>
    </row>
    <row r="467" spans="1:8" s="140" customFormat="1" ht="15" customHeight="1" x14ac:dyDescent="0.25">
      <c r="A467"/>
      <c r="B467"/>
      <c r="C467"/>
      <c r="D467"/>
      <c r="E467"/>
      <c r="F467"/>
      <c r="G467"/>
      <c r="H467"/>
    </row>
    <row r="468" spans="1:8" s="140" customFormat="1" ht="15" customHeight="1" x14ac:dyDescent="0.25">
      <c r="A468"/>
      <c r="B468"/>
      <c r="C468"/>
      <c r="D468"/>
      <c r="E468"/>
      <c r="F468"/>
      <c r="G468"/>
      <c r="H468"/>
    </row>
    <row r="469" spans="1:8" s="140" customFormat="1" ht="15" customHeight="1" x14ac:dyDescent="0.25">
      <c r="A469"/>
      <c r="B469"/>
      <c r="C469"/>
      <c r="D469"/>
      <c r="E469"/>
      <c r="F469"/>
      <c r="G469"/>
      <c r="H469"/>
    </row>
    <row r="470" spans="1:8" s="140" customFormat="1" ht="15" customHeight="1" x14ac:dyDescent="0.25">
      <c r="A470"/>
      <c r="B470"/>
      <c r="C470"/>
      <c r="D470"/>
      <c r="E470"/>
      <c r="F470"/>
      <c r="G470"/>
      <c r="H470"/>
    </row>
    <row r="471" spans="1:8" s="140" customFormat="1" ht="15" customHeight="1" x14ac:dyDescent="0.25">
      <c r="A471"/>
      <c r="B471"/>
      <c r="C471"/>
      <c r="D471"/>
      <c r="E471"/>
      <c r="F471"/>
      <c r="G471"/>
      <c r="H471"/>
    </row>
    <row r="472" spans="1:8" s="140" customFormat="1" ht="15" customHeight="1" x14ac:dyDescent="0.25">
      <c r="A472"/>
      <c r="B472"/>
      <c r="C472"/>
      <c r="D472"/>
      <c r="E472"/>
      <c r="F472"/>
      <c r="G472"/>
      <c r="H472"/>
    </row>
    <row r="473" spans="1:8" s="140" customFormat="1" ht="15" customHeight="1" x14ac:dyDescent="0.25">
      <c r="A473"/>
      <c r="B473"/>
      <c r="C473"/>
      <c r="D473"/>
      <c r="E473"/>
      <c r="F473"/>
      <c r="G473"/>
      <c r="H473"/>
    </row>
    <row r="474" spans="1:8" s="140" customFormat="1" ht="15" customHeight="1" x14ac:dyDescent="0.25">
      <c r="A474"/>
      <c r="B474"/>
      <c r="C474"/>
      <c r="D474"/>
      <c r="E474"/>
      <c r="F474"/>
      <c r="G474"/>
      <c r="H474"/>
    </row>
    <row r="475" spans="1:8" s="140" customFormat="1" ht="15" customHeight="1" x14ac:dyDescent="0.25">
      <c r="A475"/>
      <c r="B475"/>
      <c r="C475"/>
      <c r="D475"/>
      <c r="E475"/>
      <c r="F475"/>
      <c r="G475"/>
      <c r="H475"/>
    </row>
    <row r="476" spans="1:8" s="140" customFormat="1" ht="15" customHeight="1" x14ac:dyDescent="0.25">
      <c r="A476"/>
      <c r="B476"/>
      <c r="C476"/>
      <c r="D476"/>
      <c r="E476"/>
      <c r="F476"/>
      <c r="G476"/>
      <c r="H476"/>
    </row>
    <row r="477" spans="1:8" s="140" customFormat="1" ht="15" customHeight="1" x14ac:dyDescent="0.25">
      <c r="A477"/>
      <c r="B477"/>
      <c r="C477"/>
      <c r="D477"/>
      <c r="E477"/>
      <c r="F477"/>
      <c r="G477"/>
      <c r="H477"/>
    </row>
    <row r="478" spans="1:8" s="140" customFormat="1" ht="15" customHeight="1" x14ac:dyDescent="0.25">
      <c r="A478"/>
      <c r="B478"/>
      <c r="C478"/>
      <c r="D478"/>
      <c r="E478"/>
      <c r="F478"/>
      <c r="G478"/>
      <c r="H478"/>
    </row>
    <row r="479" spans="1:8" s="140" customFormat="1" ht="15" customHeight="1" x14ac:dyDescent="0.25">
      <c r="A479"/>
      <c r="B479"/>
      <c r="C479"/>
      <c r="D479"/>
      <c r="E479"/>
      <c r="F479"/>
      <c r="G479"/>
      <c r="H479"/>
    </row>
    <row r="480" spans="1:8" s="140" customFormat="1" ht="15" customHeight="1" x14ac:dyDescent="0.25">
      <c r="A480"/>
      <c r="B480"/>
      <c r="C480"/>
      <c r="D480"/>
      <c r="E480"/>
      <c r="F480"/>
      <c r="G480"/>
      <c r="H480"/>
    </row>
    <row r="481" spans="1:8" s="140" customFormat="1" ht="15" customHeight="1" x14ac:dyDescent="0.25">
      <c r="A481"/>
      <c r="B481"/>
      <c r="C481"/>
      <c r="D481"/>
      <c r="E481"/>
      <c r="F481"/>
      <c r="G481"/>
      <c r="H481"/>
    </row>
    <row r="482" spans="1:8" s="140" customFormat="1" ht="15" customHeight="1" x14ac:dyDescent="0.25">
      <c r="A482"/>
      <c r="B482"/>
      <c r="C482"/>
      <c r="D482"/>
      <c r="E482"/>
      <c r="F482"/>
      <c r="G482"/>
      <c r="H482"/>
    </row>
    <row r="483" spans="1:8" s="140" customFormat="1" ht="15" customHeight="1" x14ac:dyDescent="0.25">
      <c r="A483"/>
      <c r="B483"/>
      <c r="C483"/>
      <c r="D483"/>
      <c r="E483"/>
      <c r="F483"/>
      <c r="G483"/>
      <c r="H483"/>
    </row>
    <row r="484" spans="1:8" s="140" customFormat="1" ht="15" customHeight="1" x14ac:dyDescent="0.25">
      <c r="A484"/>
      <c r="B484"/>
      <c r="C484"/>
      <c r="D484"/>
      <c r="E484"/>
      <c r="F484"/>
      <c r="G484"/>
      <c r="H484"/>
    </row>
    <row r="485" spans="1:8" s="140" customFormat="1" ht="15" customHeight="1" x14ac:dyDescent="0.25">
      <c r="A485"/>
      <c r="B485"/>
      <c r="C485"/>
      <c r="D485"/>
      <c r="E485"/>
      <c r="F485"/>
      <c r="G485"/>
      <c r="H485"/>
    </row>
    <row r="486" spans="1:8" s="140" customFormat="1" ht="15" customHeight="1" x14ac:dyDescent="0.25">
      <c r="A486"/>
      <c r="B486"/>
      <c r="C486"/>
      <c r="D486"/>
      <c r="E486"/>
      <c r="F486"/>
      <c r="G486"/>
      <c r="H486"/>
    </row>
    <row r="487" spans="1:8" s="140" customFormat="1" ht="15" customHeight="1" x14ac:dyDescent="0.25">
      <c r="A487"/>
      <c r="B487"/>
      <c r="C487"/>
      <c r="D487"/>
      <c r="E487"/>
      <c r="F487"/>
      <c r="G487"/>
      <c r="H487"/>
    </row>
    <row r="488" spans="1:8" s="140" customFormat="1" ht="15" customHeight="1" x14ac:dyDescent="0.25">
      <c r="A488"/>
      <c r="B488"/>
      <c r="C488"/>
      <c r="D488"/>
      <c r="E488"/>
      <c r="F488"/>
      <c r="G488"/>
      <c r="H488"/>
    </row>
    <row r="489" spans="1:8" s="140" customFormat="1" ht="15" customHeight="1" x14ac:dyDescent="0.25">
      <c r="A489"/>
      <c r="B489"/>
      <c r="C489"/>
      <c r="D489"/>
      <c r="E489"/>
      <c r="F489"/>
      <c r="G489"/>
      <c r="H489"/>
    </row>
    <row r="490" spans="1:8" s="140" customFormat="1" ht="15" customHeight="1" x14ac:dyDescent="0.25">
      <c r="A490"/>
      <c r="B490"/>
      <c r="C490"/>
      <c r="D490"/>
      <c r="E490"/>
      <c r="F490"/>
      <c r="G490"/>
      <c r="H490"/>
    </row>
    <row r="491" spans="1:8" s="140" customFormat="1" ht="15" customHeight="1" x14ac:dyDescent="0.25">
      <c r="A491"/>
      <c r="B491"/>
      <c r="C491"/>
      <c r="D491"/>
      <c r="E491"/>
      <c r="F491"/>
      <c r="G491"/>
      <c r="H491"/>
    </row>
    <row r="492" spans="1:8" s="140" customFormat="1" ht="15" customHeight="1" x14ac:dyDescent="0.25">
      <c r="A492"/>
      <c r="B492"/>
      <c r="C492"/>
      <c r="D492"/>
      <c r="E492"/>
      <c r="F492"/>
      <c r="G492"/>
      <c r="H492"/>
    </row>
    <row r="493" spans="1:8" s="140" customFormat="1" ht="15" customHeight="1" x14ac:dyDescent="0.25">
      <c r="A493"/>
      <c r="B493"/>
      <c r="C493"/>
      <c r="D493"/>
      <c r="E493"/>
      <c r="F493"/>
      <c r="G493"/>
      <c r="H493"/>
    </row>
    <row r="494" spans="1:8" s="140" customFormat="1" ht="15" customHeight="1" x14ac:dyDescent="0.25">
      <c r="A494"/>
      <c r="B494"/>
      <c r="C494"/>
      <c r="D494"/>
      <c r="E494"/>
      <c r="F494"/>
      <c r="G494"/>
      <c r="H494"/>
    </row>
    <row r="495" spans="1:8" s="140" customFormat="1" ht="15" customHeight="1" x14ac:dyDescent="0.25">
      <c r="A495"/>
      <c r="B495"/>
      <c r="C495"/>
      <c r="D495"/>
      <c r="E495"/>
      <c r="F495"/>
      <c r="G495"/>
      <c r="H495"/>
    </row>
    <row r="496" spans="1:8" s="140" customFormat="1" ht="15" customHeight="1" x14ac:dyDescent="0.25">
      <c r="A496"/>
      <c r="B496"/>
      <c r="C496"/>
      <c r="D496"/>
      <c r="E496"/>
      <c r="F496"/>
      <c r="G496"/>
      <c r="H496"/>
    </row>
    <row r="497" spans="1:17" s="140" customFormat="1" ht="15" customHeight="1" x14ac:dyDescent="0.25">
      <c r="A497"/>
      <c r="B497"/>
      <c r="C497"/>
      <c r="D497"/>
      <c r="E497"/>
      <c r="F497"/>
      <c r="G497"/>
      <c r="H497"/>
    </row>
    <row r="498" spans="1:17" s="140" customFormat="1" ht="15" customHeight="1" x14ac:dyDescent="0.25">
      <c r="A498"/>
      <c r="B498"/>
      <c r="C498"/>
      <c r="D498"/>
      <c r="E498"/>
      <c r="F498"/>
      <c r="G498"/>
      <c r="H498"/>
    </row>
    <row r="499" spans="1:17" s="140" customFormat="1" ht="15" customHeight="1" x14ac:dyDescent="0.25">
      <c r="A499"/>
      <c r="B499"/>
      <c r="C499"/>
      <c r="D499"/>
      <c r="E499"/>
      <c r="F499"/>
      <c r="G499"/>
      <c r="H499"/>
    </row>
    <row r="500" spans="1:17" s="140" customFormat="1" ht="15" customHeight="1" x14ac:dyDescent="0.25">
      <c r="A500"/>
      <c r="B500"/>
      <c r="C500"/>
      <c r="D500"/>
      <c r="E500"/>
      <c r="F500"/>
      <c r="G500"/>
      <c r="H500"/>
    </row>
    <row r="501" spans="1:17" s="140" customFormat="1" ht="15" customHeight="1" x14ac:dyDescent="0.25">
      <c r="A501"/>
      <c r="B501"/>
      <c r="C501"/>
      <c r="D501"/>
      <c r="E501"/>
      <c r="F501"/>
      <c r="G501"/>
      <c r="H501"/>
    </row>
    <row r="502" spans="1:17" s="140" customFormat="1" ht="15" customHeight="1" x14ac:dyDescent="0.25">
      <c r="A502"/>
      <c r="B502"/>
      <c r="C502"/>
      <c r="D502"/>
      <c r="E502"/>
      <c r="F502"/>
      <c r="G502"/>
      <c r="H502"/>
      <c r="J502" s="239"/>
      <c r="K502" s="239"/>
      <c r="L502" s="239"/>
      <c r="M502" s="239"/>
      <c r="N502" s="239"/>
      <c r="O502" s="239"/>
      <c r="P502" s="239"/>
      <c r="Q502" s="239"/>
    </row>
    <row r="503" spans="1:17" s="140" customFormat="1" ht="15" customHeight="1" x14ac:dyDescent="0.25">
      <c r="A503"/>
      <c r="B503"/>
      <c r="C503"/>
      <c r="D503"/>
      <c r="E503"/>
      <c r="F503"/>
      <c r="G503"/>
      <c r="H503"/>
    </row>
    <row r="504" spans="1:17" s="140" customFormat="1" ht="15" customHeight="1" x14ac:dyDescent="0.25">
      <c r="A504"/>
      <c r="B504"/>
      <c r="C504"/>
      <c r="D504"/>
      <c r="E504"/>
      <c r="F504"/>
      <c r="G504"/>
      <c r="H504"/>
    </row>
    <row r="505" spans="1:17" s="140" customFormat="1" ht="15" customHeight="1" x14ac:dyDescent="0.25">
      <c r="A505"/>
      <c r="B505"/>
      <c r="C505"/>
      <c r="D505"/>
      <c r="E505"/>
      <c r="F505"/>
      <c r="G505"/>
      <c r="H505"/>
    </row>
    <row r="506" spans="1:17" s="140" customFormat="1" ht="15" customHeight="1" x14ac:dyDescent="0.25">
      <c r="A506"/>
      <c r="B506"/>
      <c r="C506"/>
      <c r="D506"/>
      <c r="E506"/>
      <c r="F506"/>
      <c r="G506"/>
      <c r="H506"/>
    </row>
    <row r="507" spans="1:17" s="140" customFormat="1" ht="15" customHeight="1" x14ac:dyDescent="0.25">
      <c r="A507"/>
      <c r="B507"/>
      <c r="C507"/>
      <c r="D507"/>
      <c r="E507"/>
      <c r="F507"/>
      <c r="G507"/>
      <c r="H507"/>
    </row>
    <row r="508" spans="1:17" s="140" customFormat="1" ht="15" customHeight="1" x14ac:dyDescent="0.25">
      <c r="A508"/>
      <c r="B508"/>
      <c r="C508"/>
      <c r="D508"/>
      <c r="E508"/>
      <c r="F508"/>
      <c r="G508"/>
      <c r="H508"/>
    </row>
    <row r="509" spans="1:17" s="140" customFormat="1" ht="15" customHeight="1" x14ac:dyDescent="0.25">
      <c r="A509"/>
      <c r="B509"/>
      <c r="C509"/>
      <c r="D509"/>
      <c r="E509"/>
      <c r="F509"/>
      <c r="G509"/>
      <c r="H509"/>
    </row>
    <row r="510" spans="1:17" s="140" customFormat="1" ht="15" customHeight="1" x14ac:dyDescent="0.25">
      <c r="A510"/>
      <c r="B510"/>
      <c r="C510"/>
      <c r="D510"/>
      <c r="E510"/>
      <c r="F510"/>
      <c r="G510"/>
      <c r="H510"/>
    </row>
    <row r="511" spans="1:17" s="140" customFormat="1" ht="15" customHeight="1" x14ac:dyDescent="0.25">
      <c r="A511"/>
      <c r="B511"/>
      <c r="C511"/>
      <c r="D511"/>
      <c r="E511"/>
      <c r="F511"/>
      <c r="G511"/>
      <c r="H511"/>
    </row>
    <row r="512" spans="1:17" s="140" customFormat="1" ht="15" customHeight="1" x14ac:dyDescent="0.25">
      <c r="A512"/>
      <c r="B512"/>
      <c r="C512"/>
      <c r="D512"/>
      <c r="E512"/>
      <c r="F512"/>
      <c r="G512"/>
      <c r="H512"/>
    </row>
    <row r="513" spans="1:17" s="140" customFormat="1" ht="15" customHeight="1" x14ac:dyDescent="0.25">
      <c r="A513"/>
      <c r="B513"/>
      <c r="C513"/>
      <c r="D513"/>
      <c r="E513"/>
      <c r="F513"/>
      <c r="G513"/>
      <c r="H513"/>
    </row>
    <row r="514" spans="1:17" s="140" customFormat="1" ht="15" customHeight="1" x14ac:dyDescent="0.25">
      <c r="A514"/>
      <c r="B514"/>
      <c r="C514"/>
      <c r="D514"/>
      <c r="E514"/>
      <c r="F514"/>
      <c r="G514"/>
      <c r="H514"/>
      <c r="J514" s="239"/>
      <c r="K514" s="239"/>
      <c r="L514" s="239"/>
      <c r="M514" s="239"/>
      <c r="N514" s="239"/>
      <c r="O514" s="239"/>
      <c r="P514" s="239"/>
      <c r="Q514" s="239"/>
    </row>
    <row r="515" spans="1:17" s="140" customFormat="1" ht="15" customHeight="1" x14ac:dyDescent="0.25">
      <c r="A515"/>
      <c r="B515"/>
      <c r="C515"/>
      <c r="D515"/>
      <c r="E515"/>
      <c r="F515"/>
      <c r="G515"/>
      <c r="H515"/>
      <c r="J515" s="239"/>
      <c r="K515" s="239"/>
      <c r="L515" s="239"/>
      <c r="M515" s="239"/>
      <c r="N515" s="239"/>
      <c r="O515" s="239"/>
      <c r="P515" s="239"/>
      <c r="Q515" s="239"/>
    </row>
    <row r="516" spans="1:17" s="140" customFormat="1" ht="15" customHeight="1" x14ac:dyDescent="0.25">
      <c r="A516"/>
      <c r="B516"/>
      <c r="C516"/>
      <c r="D516"/>
      <c r="E516"/>
      <c r="F516"/>
      <c r="G516"/>
      <c r="H516"/>
      <c r="J516" s="239"/>
      <c r="K516" s="239"/>
      <c r="L516" s="239"/>
      <c r="M516" s="239"/>
      <c r="N516" s="239"/>
      <c r="O516" s="239"/>
      <c r="P516" s="239"/>
      <c r="Q516" s="239"/>
    </row>
    <row r="517" spans="1:17" s="140" customFormat="1" ht="15" customHeight="1" x14ac:dyDescent="0.25">
      <c r="A517"/>
      <c r="B517"/>
      <c r="C517"/>
      <c r="D517"/>
      <c r="E517"/>
      <c r="F517"/>
      <c r="G517"/>
      <c r="H517"/>
      <c r="J517" s="239"/>
      <c r="K517" s="239"/>
      <c r="L517" s="239"/>
      <c r="M517" s="239"/>
      <c r="N517" s="239"/>
      <c r="O517" s="239"/>
      <c r="P517" s="239"/>
      <c r="Q517" s="239"/>
    </row>
    <row r="518" spans="1:17" s="140" customFormat="1" ht="15" customHeight="1" x14ac:dyDescent="0.25">
      <c r="A518"/>
      <c r="B518"/>
      <c r="C518"/>
      <c r="D518"/>
      <c r="E518"/>
      <c r="F518"/>
      <c r="G518"/>
      <c r="H518"/>
      <c r="J518" s="239"/>
      <c r="K518" s="239"/>
      <c r="L518" s="239"/>
      <c r="M518" s="239"/>
      <c r="N518" s="239"/>
      <c r="O518" s="239"/>
      <c r="P518" s="239"/>
      <c r="Q518" s="239"/>
    </row>
    <row r="519" spans="1:17" s="140" customFormat="1" ht="15" customHeight="1" x14ac:dyDescent="0.25">
      <c r="A519"/>
      <c r="B519"/>
      <c r="C519"/>
      <c r="D519"/>
      <c r="E519"/>
      <c r="F519"/>
      <c r="G519"/>
      <c r="H519"/>
      <c r="J519" s="239"/>
      <c r="K519" s="239"/>
      <c r="L519" s="239"/>
      <c r="M519" s="239"/>
      <c r="N519" s="239"/>
      <c r="O519" s="239"/>
      <c r="P519" s="239"/>
      <c r="Q519" s="239"/>
    </row>
    <row r="520" spans="1:17" s="140" customFormat="1" ht="15" customHeight="1" x14ac:dyDescent="0.25">
      <c r="A520"/>
      <c r="B520"/>
      <c r="C520"/>
      <c r="D520"/>
      <c r="E520"/>
      <c r="F520"/>
      <c r="G520"/>
      <c r="H520"/>
      <c r="J520" s="239"/>
      <c r="K520" s="239"/>
      <c r="L520" s="239"/>
      <c r="M520" s="239"/>
      <c r="N520" s="239"/>
      <c r="O520" s="239"/>
      <c r="P520" s="239"/>
      <c r="Q520" s="239"/>
    </row>
    <row r="521" spans="1:17" s="140" customFormat="1" ht="15" customHeight="1" x14ac:dyDescent="0.25">
      <c r="A521"/>
      <c r="B521"/>
      <c r="C521"/>
      <c r="D521"/>
      <c r="E521"/>
      <c r="F521"/>
      <c r="G521"/>
      <c r="H521"/>
      <c r="J521" s="239"/>
      <c r="K521" s="239"/>
      <c r="L521" s="239"/>
      <c r="M521" s="239"/>
      <c r="N521" s="239"/>
      <c r="O521" s="239"/>
      <c r="P521" s="239"/>
      <c r="Q521" s="239"/>
    </row>
    <row r="522" spans="1:17" s="140" customFormat="1" ht="15" customHeight="1" x14ac:dyDescent="0.25">
      <c r="A522"/>
      <c r="B522"/>
      <c r="C522"/>
      <c r="D522"/>
      <c r="E522"/>
      <c r="F522"/>
      <c r="G522"/>
      <c r="H522"/>
      <c r="J522" s="239"/>
      <c r="K522" s="239"/>
      <c r="L522" s="239"/>
      <c r="M522" s="239"/>
      <c r="N522" s="239"/>
      <c r="O522" s="239"/>
      <c r="P522" s="239"/>
      <c r="Q522" s="239"/>
    </row>
    <row r="523" spans="1:17" s="140" customFormat="1" ht="15" customHeight="1" x14ac:dyDescent="0.25">
      <c r="A523"/>
      <c r="B523"/>
      <c r="C523"/>
      <c r="D523"/>
      <c r="E523"/>
      <c r="F523"/>
      <c r="G523"/>
      <c r="H523"/>
      <c r="J523" s="239"/>
      <c r="K523" s="239"/>
      <c r="L523" s="239"/>
      <c r="M523" s="239"/>
      <c r="N523" s="239"/>
      <c r="O523" s="239"/>
      <c r="P523" s="239"/>
      <c r="Q523" s="239"/>
    </row>
    <row r="524" spans="1:17" s="140" customFormat="1" ht="15" customHeight="1" x14ac:dyDescent="0.25">
      <c r="A524"/>
      <c r="B524"/>
      <c r="C524"/>
      <c r="D524"/>
      <c r="E524"/>
      <c r="F524"/>
      <c r="G524"/>
      <c r="H524"/>
      <c r="J524" s="239"/>
      <c r="K524" s="239"/>
      <c r="L524" s="239"/>
      <c r="M524" s="239"/>
      <c r="N524" s="239"/>
      <c r="O524" s="239"/>
      <c r="P524" s="239"/>
      <c r="Q524" s="239"/>
    </row>
    <row r="525" spans="1:17" s="140" customFormat="1" ht="15" customHeight="1" x14ac:dyDescent="0.25">
      <c r="A525"/>
      <c r="B525"/>
      <c r="C525"/>
      <c r="D525"/>
      <c r="E525"/>
      <c r="F525"/>
      <c r="G525"/>
      <c r="H525"/>
      <c r="J525" s="239"/>
      <c r="K525" s="239"/>
      <c r="L525" s="239"/>
      <c r="M525" s="239"/>
      <c r="N525" s="239"/>
      <c r="O525" s="239"/>
      <c r="P525" s="239"/>
      <c r="Q525" s="239"/>
    </row>
    <row r="526" spans="1:17" s="140" customFormat="1" ht="15" customHeight="1" x14ac:dyDescent="0.25">
      <c r="A526"/>
      <c r="B526"/>
      <c r="C526"/>
      <c r="D526"/>
      <c r="E526"/>
      <c r="F526"/>
      <c r="G526"/>
      <c r="H526"/>
      <c r="J526" s="239"/>
      <c r="K526" s="239"/>
      <c r="L526" s="239"/>
      <c r="M526" s="239"/>
      <c r="N526" s="239"/>
      <c r="O526" s="239"/>
      <c r="P526" s="239"/>
      <c r="Q526" s="239"/>
    </row>
    <row r="527" spans="1:17" s="140" customFormat="1" ht="15" customHeight="1" x14ac:dyDescent="0.25">
      <c r="A527"/>
      <c r="B527"/>
      <c r="C527"/>
      <c r="D527"/>
      <c r="E527"/>
      <c r="F527"/>
      <c r="G527"/>
      <c r="H527"/>
      <c r="J527" s="239"/>
      <c r="K527" s="239"/>
      <c r="L527" s="239"/>
      <c r="M527" s="239"/>
      <c r="N527" s="239"/>
      <c r="O527" s="239"/>
      <c r="P527" s="239"/>
      <c r="Q527" s="239"/>
    </row>
    <row r="528" spans="1:17" s="140" customFormat="1" ht="15" customHeight="1" x14ac:dyDescent="0.25">
      <c r="A528"/>
      <c r="B528"/>
      <c r="C528"/>
      <c r="D528"/>
      <c r="E528"/>
      <c r="F528"/>
      <c r="G528"/>
      <c r="H528"/>
      <c r="J528" s="239"/>
      <c r="K528" s="239"/>
      <c r="L528" s="239"/>
      <c r="M528" s="239"/>
      <c r="N528" s="239"/>
      <c r="O528" s="239"/>
      <c r="P528" s="239"/>
      <c r="Q528" s="239"/>
    </row>
    <row r="529" spans="1:17" s="140" customFormat="1" ht="15" customHeight="1" x14ac:dyDescent="0.25">
      <c r="A529"/>
      <c r="B529"/>
      <c r="C529"/>
      <c r="D529"/>
      <c r="E529"/>
      <c r="F529"/>
      <c r="G529"/>
      <c r="H529"/>
      <c r="J529" s="239"/>
      <c r="K529" s="239"/>
      <c r="L529" s="239"/>
      <c r="M529" s="239"/>
      <c r="N529" s="239"/>
      <c r="O529" s="239"/>
      <c r="P529" s="239"/>
      <c r="Q529" s="239"/>
    </row>
    <row r="530" spans="1:17" s="140" customFormat="1" ht="15" customHeight="1" x14ac:dyDescent="0.25">
      <c r="A530"/>
      <c r="B530"/>
      <c r="C530"/>
      <c r="D530"/>
      <c r="E530"/>
      <c r="F530"/>
      <c r="G530"/>
      <c r="H530"/>
      <c r="J530" s="239"/>
      <c r="K530" s="239"/>
      <c r="L530" s="239"/>
      <c r="M530" s="239"/>
      <c r="N530" s="239"/>
      <c r="O530" s="239"/>
      <c r="P530" s="239"/>
      <c r="Q530" s="239"/>
    </row>
    <row r="531" spans="1:17" s="140" customFormat="1" ht="15" customHeight="1" x14ac:dyDescent="0.25">
      <c r="A531"/>
      <c r="B531"/>
      <c r="C531"/>
      <c r="D531"/>
      <c r="E531"/>
      <c r="F531"/>
      <c r="G531"/>
      <c r="H531"/>
      <c r="J531" s="239"/>
      <c r="K531" s="239"/>
      <c r="L531" s="239"/>
      <c r="M531" s="239"/>
      <c r="N531" s="239"/>
      <c r="O531" s="239"/>
      <c r="P531" s="239"/>
      <c r="Q531" s="239"/>
    </row>
    <row r="532" spans="1:17" s="140" customFormat="1" ht="15" customHeight="1" x14ac:dyDescent="0.25">
      <c r="A532"/>
      <c r="B532"/>
      <c r="C532"/>
      <c r="D532"/>
      <c r="E532"/>
      <c r="F532"/>
      <c r="G532"/>
      <c r="H532"/>
      <c r="J532" s="239"/>
      <c r="K532" s="239"/>
      <c r="L532" s="239"/>
      <c r="M532" s="239"/>
      <c r="N532" s="239"/>
      <c r="O532" s="239"/>
      <c r="P532" s="239"/>
      <c r="Q532" s="239"/>
    </row>
    <row r="533" spans="1:17" s="140" customFormat="1" ht="15" customHeight="1" x14ac:dyDescent="0.25">
      <c r="A533"/>
      <c r="B533"/>
      <c r="C533"/>
      <c r="D533"/>
      <c r="E533"/>
      <c r="F533"/>
      <c r="G533"/>
      <c r="H533"/>
      <c r="J533" s="239"/>
      <c r="K533" s="239"/>
      <c r="L533" s="239"/>
      <c r="M533" s="239"/>
      <c r="N533" s="239"/>
      <c r="O533" s="239"/>
      <c r="P533" s="239"/>
      <c r="Q533" s="239"/>
    </row>
    <row r="534" spans="1:17" s="140" customFormat="1" ht="15" customHeight="1" x14ac:dyDescent="0.25">
      <c r="A534"/>
      <c r="B534"/>
      <c r="C534"/>
      <c r="D534"/>
      <c r="E534"/>
      <c r="F534"/>
      <c r="G534"/>
      <c r="H534"/>
      <c r="J534" s="239"/>
      <c r="K534" s="239"/>
      <c r="L534" s="239"/>
      <c r="M534" s="239"/>
      <c r="N534" s="239"/>
      <c r="O534" s="239"/>
      <c r="P534" s="239"/>
      <c r="Q534" s="239"/>
    </row>
    <row r="535" spans="1:17" s="140" customFormat="1" ht="15" customHeight="1" x14ac:dyDescent="0.25">
      <c r="A535"/>
      <c r="B535"/>
      <c r="C535"/>
      <c r="D535"/>
      <c r="E535"/>
      <c r="F535"/>
      <c r="G535"/>
      <c r="H535"/>
      <c r="J535" s="239"/>
      <c r="K535" s="239"/>
      <c r="L535" s="239"/>
      <c r="M535" s="239"/>
      <c r="N535" s="239"/>
      <c r="O535" s="239"/>
      <c r="P535" s="239"/>
      <c r="Q535" s="239"/>
    </row>
    <row r="536" spans="1:17" s="140" customFormat="1" ht="15" customHeight="1" x14ac:dyDescent="0.25">
      <c r="A536"/>
      <c r="B536"/>
      <c r="C536"/>
      <c r="D536"/>
      <c r="E536"/>
      <c r="F536"/>
      <c r="G536"/>
      <c r="H536"/>
      <c r="J536" s="239"/>
      <c r="K536" s="239"/>
      <c r="L536" s="239"/>
      <c r="M536" s="239"/>
      <c r="N536" s="239"/>
      <c r="O536" s="239"/>
      <c r="P536" s="239"/>
      <c r="Q536" s="239"/>
    </row>
    <row r="537" spans="1:17" s="140" customFormat="1" ht="15" customHeight="1" x14ac:dyDescent="0.25">
      <c r="A537"/>
      <c r="B537"/>
      <c r="C537"/>
      <c r="D537"/>
      <c r="E537"/>
      <c r="F537"/>
      <c r="G537"/>
      <c r="H537"/>
      <c r="J537" s="239"/>
      <c r="K537" s="239"/>
      <c r="L537" s="239"/>
      <c r="M537" s="239"/>
      <c r="N537" s="239"/>
      <c r="O537" s="239"/>
      <c r="P537" s="239"/>
      <c r="Q537" s="239"/>
    </row>
    <row r="538" spans="1:17" s="140" customFormat="1" ht="15" customHeight="1" x14ac:dyDescent="0.25">
      <c r="A538"/>
      <c r="B538"/>
      <c r="C538"/>
      <c r="D538"/>
      <c r="E538"/>
      <c r="F538"/>
      <c r="G538"/>
      <c r="H538"/>
      <c r="J538" s="239"/>
      <c r="K538" s="239"/>
      <c r="L538" s="239"/>
      <c r="M538" s="239"/>
      <c r="N538" s="239"/>
      <c r="O538" s="239"/>
      <c r="P538" s="239"/>
      <c r="Q538" s="239"/>
    </row>
    <row r="539" spans="1:17" s="140" customFormat="1" ht="15" customHeight="1" x14ac:dyDescent="0.25">
      <c r="A539"/>
      <c r="B539"/>
      <c r="C539"/>
      <c r="D539"/>
      <c r="E539"/>
      <c r="F539"/>
      <c r="G539"/>
      <c r="H539"/>
      <c r="J539" s="239"/>
      <c r="K539" s="239"/>
      <c r="L539" s="239"/>
      <c r="M539" s="239"/>
      <c r="N539" s="239"/>
      <c r="O539" s="239"/>
      <c r="P539" s="239"/>
      <c r="Q539" s="239"/>
    </row>
    <row r="540" spans="1:17" s="140" customFormat="1" ht="15" customHeight="1" x14ac:dyDescent="0.25">
      <c r="A540"/>
      <c r="B540"/>
      <c r="C540"/>
      <c r="D540"/>
      <c r="E540"/>
      <c r="F540"/>
      <c r="G540"/>
      <c r="H540"/>
    </row>
    <row r="541" spans="1:17" s="140" customFormat="1" ht="15" customHeight="1" x14ac:dyDescent="0.25">
      <c r="A541"/>
      <c r="B541"/>
      <c r="C541"/>
      <c r="D541"/>
      <c r="E541"/>
      <c r="F541"/>
      <c r="G541"/>
      <c r="H541"/>
    </row>
    <row r="542" spans="1:17" s="140" customFormat="1" ht="15" customHeight="1" x14ac:dyDescent="0.25">
      <c r="A542"/>
      <c r="B542"/>
      <c r="C542"/>
      <c r="D542"/>
      <c r="E542"/>
      <c r="F542"/>
      <c r="G542"/>
      <c r="H542"/>
    </row>
    <row r="543" spans="1:17" s="140" customFormat="1" ht="15" customHeight="1" x14ac:dyDescent="0.25">
      <c r="A543"/>
      <c r="B543"/>
      <c r="C543"/>
      <c r="D543"/>
      <c r="E543"/>
      <c r="F543"/>
      <c r="G543"/>
      <c r="H543"/>
    </row>
    <row r="544" spans="1:17" s="140" customFormat="1" ht="15" customHeight="1" x14ac:dyDescent="0.25">
      <c r="A544"/>
      <c r="B544"/>
      <c r="C544"/>
      <c r="D544"/>
      <c r="E544"/>
      <c r="F544"/>
      <c r="G544"/>
      <c r="H544"/>
    </row>
    <row r="545" spans="1:8" s="140" customFormat="1" ht="15" customHeight="1" x14ac:dyDescent="0.25">
      <c r="A545"/>
      <c r="B545"/>
      <c r="C545"/>
      <c r="D545"/>
      <c r="E545"/>
      <c r="F545"/>
      <c r="G545"/>
      <c r="H545"/>
    </row>
    <row r="546" spans="1:8" s="140" customFormat="1" ht="15" customHeight="1" x14ac:dyDescent="0.25">
      <c r="A546"/>
      <c r="B546"/>
      <c r="C546"/>
      <c r="D546"/>
      <c r="E546"/>
      <c r="F546"/>
      <c r="G546"/>
      <c r="H546"/>
    </row>
    <row r="547" spans="1:8" s="140" customFormat="1" ht="15" customHeight="1" x14ac:dyDescent="0.25">
      <c r="A547"/>
      <c r="B547"/>
      <c r="C547"/>
      <c r="D547"/>
      <c r="E547"/>
      <c r="F547"/>
      <c r="G547"/>
      <c r="H547"/>
    </row>
    <row r="548" spans="1:8" s="140" customFormat="1" ht="15" customHeight="1" x14ac:dyDescent="0.25">
      <c r="A548"/>
      <c r="B548"/>
      <c r="C548"/>
      <c r="D548"/>
      <c r="E548"/>
      <c r="F548"/>
      <c r="G548"/>
      <c r="H548"/>
    </row>
    <row r="549" spans="1:8" s="140" customFormat="1" ht="15" customHeight="1" x14ac:dyDescent="0.25">
      <c r="A549"/>
      <c r="B549"/>
      <c r="C549"/>
      <c r="D549"/>
      <c r="E549"/>
      <c r="F549"/>
      <c r="G549"/>
      <c r="H549"/>
    </row>
    <row r="550" spans="1:8" s="140" customFormat="1" ht="15" customHeight="1" x14ac:dyDescent="0.25">
      <c r="A550"/>
      <c r="B550"/>
      <c r="C550"/>
      <c r="D550"/>
      <c r="E550"/>
      <c r="F550"/>
      <c r="G550"/>
      <c r="H550"/>
    </row>
    <row r="551" spans="1:8" s="140" customFormat="1" ht="15" customHeight="1" x14ac:dyDescent="0.25">
      <c r="A551"/>
      <c r="B551"/>
      <c r="C551"/>
      <c r="D551"/>
      <c r="E551"/>
      <c r="F551"/>
      <c r="G551"/>
      <c r="H551"/>
    </row>
    <row r="552" spans="1:8" s="140" customFormat="1" ht="15" customHeight="1" x14ac:dyDescent="0.25">
      <c r="A552"/>
      <c r="B552"/>
      <c r="C552"/>
      <c r="D552"/>
      <c r="E552"/>
      <c r="F552"/>
      <c r="G552"/>
      <c r="H552"/>
    </row>
    <row r="553" spans="1:8" s="140" customFormat="1" ht="15" customHeight="1" x14ac:dyDescent="0.25">
      <c r="A553"/>
      <c r="B553"/>
      <c r="C553"/>
      <c r="D553"/>
      <c r="E553"/>
      <c r="F553"/>
      <c r="G553"/>
      <c r="H553"/>
    </row>
    <row r="554" spans="1:8" s="140" customFormat="1" ht="15" customHeight="1" x14ac:dyDescent="0.25">
      <c r="A554"/>
      <c r="B554"/>
      <c r="C554"/>
      <c r="D554"/>
      <c r="E554"/>
      <c r="F554"/>
      <c r="G554"/>
      <c r="H554"/>
    </row>
    <row r="555" spans="1:8" s="140" customFormat="1" ht="15" customHeight="1" x14ac:dyDescent="0.25">
      <c r="A555"/>
      <c r="B555"/>
      <c r="C555"/>
      <c r="D555"/>
      <c r="E555"/>
      <c r="F555"/>
      <c r="G555"/>
      <c r="H555"/>
    </row>
    <row r="556" spans="1:8" s="140" customFormat="1" ht="15" customHeight="1" x14ac:dyDescent="0.25">
      <c r="A556"/>
      <c r="B556"/>
      <c r="C556"/>
      <c r="D556"/>
      <c r="E556"/>
      <c r="F556"/>
      <c r="G556"/>
      <c r="H556"/>
    </row>
    <row r="557" spans="1:8" s="140" customFormat="1" ht="15" customHeight="1" x14ac:dyDescent="0.25">
      <c r="A557"/>
      <c r="B557"/>
      <c r="C557"/>
      <c r="D557"/>
      <c r="E557"/>
      <c r="F557"/>
      <c r="G557"/>
      <c r="H557"/>
    </row>
    <row r="558" spans="1:8" s="140" customFormat="1" ht="15" customHeight="1" x14ac:dyDescent="0.25">
      <c r="A558"/>
      <c r="B558"/>
      <c r="C558"/>
      <c r="D558"/>
      <c r="E558"/>
      <c r="F558"/>
      <c r="G558"/>
      <c r="H558"/>
    </row>
    <row r="559" spans="1:8" s="140" customFormat="1" ht="15" customHeight="1" x14ac:dyDescent="0.25">
      <c r="A559"/>
      <c r="B559"/>
      <c r="C559"/>
      <c r="D559"/>
      <c r="E559"/>
      <c r="F559"/>
      <c r="G559"/>
      <c r="H559"/>
    </row>
    <row r="560" spans="1:8" s="140" customFormat="1" ht="15" customHeight="1" x14ac:dyDescent="0.25">
      <c r="A560"/>
      <c r="B560"/>
      <c r="C560"/>
      <c r="D560"/>
      <c r="E560"/>
      <c r="F560"/>
      <c r="G560"/>
      <c r="H560"/>
    </row>
    <row r="561" spans="1:8" s="140" customFormat="1" ht="15" customHeight="1" x14ac:dyDescent="0.25">
      <c r="A561"/>
      <c r="B561"/>
      <c r="C561"/>
      <c r="D561"/>
      <c r="E561"/>
      <c r="F561"/>
      <c r="G561"/>
      <c r="H561"/>
    </row>
    <row r="562" spans="1:8" s="140" customFormat="1" ht="15" customHeight="1" x14ac:dyDescent="0.25">
      <c r="A562"/>
      <c r="B562"/>
      <c r="C562"/>
      <c r="D562"/>
      <c r="E562"/>
      <c r="F562"/>
      <c r="G562"/>
      <c r="H562"/>
    </row>
    <row r="563" spans="1:8" s="140" customFormat="1" ht="15" customHeight="1" x14ac:dyDescent="0.25">
      <c r="A563"/>
      <c r="B563"/>
      <c r="C563"/>
      <c r="D563"/>
      <c r="E563"/>
      <c r="F563"/>
      <c r="G563"/>
      <c r="H563"/>
    </row>
    <row r="564" spans="1:8" s="140" customFormat="1" ht="15" customHeight="1" x14ac:dyDescent="0.25">
      <c r="A564"/>
      <c r="B564"/>
      <c r="C564"/>
      <c r="D564"/>
      <c r="E564"/>
      <c r="F564"/>
      <c r="G564"/>
      <c r="H564"/>
    </row>
    <row r="565" spans="1:8" s="140" customFormat="1" ht="15" customHeight="1" x14ac:dyDescent="0.25">
      <c r="A565"/>
      <c r="B565"/>
      <c r="C565"/>
      <c r="D565"/>
      <c r="E565"/>
      <c r="F565"/>
      <c r="G565"/>
      <c r="H565"/>
    </row>
    <row r="566" spans="1:8" s="140" customFormat="1" ht="15" customHeight="1" x14ac:dyDescent="0.25">
      <c r="A566"/>
      <c r="B566"/>
      <c r="C566"/>
      <c r="D566"/>
      <c r="E566"/>
      <c r="F566"/>
      <c r="G566"/>
      <c r="H566"/>
    </row>
    <row r="567" spans="1:8" s="140" customFormat="1" ht="15" customHeight="1" x14ac:dyDescent="0.25">
      <c r="A567"/>
      <c r="B567"/>
      <c r="C567"/>
      <c r="D567"/>
      <c r="E567"/>
      <c r="F567"/>
      <c r="G567"/>
      <c r="H567"/>
    </row>
    <row r="568" spans="1:8" s="140" customFormat="1" ht="15" customHeight="1" x14ac:dyDescent="0.25">
      <c r="A568"/>
      <c r="B568"/>
      <c r="C568"/>
      <c r="D568"/>
      <c r="E568"/>
      <c r="F568"/>
      <c r="G568"/>
      <c r="H568"/>
    </row>
    <row r="569" spans="1:8" s="140" customFormat="1" ht="15" customHeight="1" x14ac:dyDescent="0.25">
      <c r="A569"/>
      <c r="B569"/>
      <c r="C569"/>
      <c r="D569"/>
      <c r="E569"/>
      <c r="F569"/>
      <c r="G569"/>
      <c r="H569"/>
    </row>
    <row r="570" spans="1:8" s="140" customFormat="1" ht="15" customHeight="1" x14ac:dyDescent="0.25">
      <c r="A570"/>
      <c r="B570"/>
      <c r="C570"/>
      <c r="D570"/>
      <c r="E570"/>
      <c r="F570"/>
      <c r="G570"/>
      <c r="H570"/>
    </row>
    <row r="571" spans="1:8" s="140" customFormat="1" ht="15" customHeight="1" x14ac:dyDescent="0.25">
      <c r="A571"/>
      <c r="B571"/>
      <c r="C571"/>
      <c r="D571"/>
      <c r="E571"/>
      <c r="F571"/>
      <c r="G571"/>
      <c r="H571"/>
    </row>
    <row r="572" spans="1:8" s="140" customFormat="1" ht="15" customHeight="1" x14ac:dyDescent="0.25">
      <c r="A572"/>
      <c r="B572"/>
      <c r="C572"/>
      <c r="D572"/>
      <c r="E572"/>
      <c r="F572"/>
      <c r="G572"/>
      <c r="H572"/>
    </row>
    <row r="573" spans="1:8" s="140" customFormat="1" ht="15" customHeight="1" x14ac:dyDescent="0.25">
      <c r="A573"/>
      <c r="B573"/>
      <c r="C573"/>
      <c r="D573"/>
      <c r="E573"/>
      <c r="F573"/>
      <c r="G573"/>
      <c r="H573"/>
    </row>
    <row r="574" spans="1:8" s="140" customFormat="1" ht="15" customHeight="1" x14ac:dyDescent="0.25">
      <c r="A574"/>
      <c r="B574"/>
      <c r="C574"/>
      <c r="D574"/>
      <c r="E574"/>
      <c r="F574"/>
      <c r="G574"/>
      <c r="H574"/>
    </row>
    <row r="575" spans="1:8" s="140" customFormat="1" ht="15" customHeight="1" x14ac:dyDescent="0.25">
      <c r="A575"/>
      <c r="B575"/>
      <c r="C575"/>
      <c r="D575"/>
      <c r="E575"/>
      <c r="F575"/>
      <c r="G575"/>
      <c r="H575"/>
    </row>
    <row r="576" spans="1:8" s="140" customFormat="1" ht="15" customHeight="1" x14ac:dyDescent="0.25">
      <c r="A576"/>
      <c r="B576"/>
      <c r="C576"/>
      <c r="D576"/>
      <c r="E576"/>
      <c r="F576"/>
      <c r="G576"/>
      <c r="H576"/>
    </row>
    <row r="577" spans="1:17" s="140" customFormat="1" ht="15" customHeight="1" x14ac:dyDescent="0.25">
      <c r="A577"/>
      <c r="B577"/>
      <c r="C577"/>
      <c r="D577"/>
      <c r="E577"/>
      <c r="F577"/>
      <c r="G577"/>
      <c r="H577"/>
    </row>
    <row r="578" spans="1:17" s="140" customFormat="1" ht="15" customHeight="1" x14ac:dyDescent="0.25">
      <c r="A578"/>
      <c r="B578"/>
      <c r="C578"/>
      <c r="D578"/>
      <c r="E578"/>
      <c r="F578"/>
      <c r="G578"/>
      <c r="H578"/>
    </row>
    <row r="579" spans="1:17" s="140" customFormat="1" ht="15" customHeight="1" x14ac:dyDescent="0.25">
      <c r="A579"/>
      <c r="B579"/>
      <c r="C579"/>
      <c r="D579"/>
      <c r="E579"/>
      <c r="F579"/>
      <c r="G579"/>
      <c r="H579"/>
    </row>
    <row r="580" spans="1:17" s="140" customFormat="1" ht="15" customHeight="1" x14ac:dyDescent="0.25">
      <c r="A580"/>
      <c r="B580"/>
      <c r="C580"/>
      <c r="D580"/>
      <c r="E580"/>
      <c r="F580"/>
      <c r="G580"/>
      <c r="H580"/>
    </row>
    <row r="581" spans="1:17" s="140" customFormat="1" ht="15" customHeight="1" x14ac:dyDescent="0.25">
      <c r="A581"/>
      <c r="B581"/>
      <c r="C581"/>
      <c r="D581"/>
      <c r="E581"/>
      <c r="F581"/>
      <c r="G581"/>
      <c r="H581"/>
    </row>
    <row r="582" spans="1:17" s="140" customFormat="1" ht="15" customHeight="1" x14ac:dyDescent="0.25">
      <c r="A582"/>
      <c r="B582"/>
      <c r="C582"/>
      <c r="D582"/>
      <c r="E582"/>
      <c r="F582"/>
      <c r="G582"/>
      <c r="H582"/>
    </row>
    <row r="583" spans="1:17" s="140" customFormat="1" ht="15" customHeight="1" x14ac:dyDescent="0.25">
      <c r="A583"/>
      <c r="B583"/>
      <c r="C583"/>
      <c r="D583"/>
      <c r="E583"/>
      <c r="F583"/>
      <c r="G583"/>
      <c r="H583"/>
    </row>
    <row r="584" spans="1:17" s="140" customFormat="1" ht="15" customHeight="1" x14ac:dyDescent="0.25">
      <c r="A584"/>
      <c r="B584"/>
      <c r="C584"/>
      <c r="D584"/>
      <c r="E584"/>
      <c r="F584"/>
      <c r="G584"/>
      <c r="H584"/>
    </row>
    <row r="585" spans="1:17" s="140" customFormat="1" ht="15" customHeight="1" x14ac:dyDescent="0.25">
      <c r="A585"/>
      <c r="B585"/>
      <c r="C585"/>
      <c r="D585"/>
      <c r="E585"/>
      <c r="F585"/>
      <c r="G585"/>
      <c r="H585"/>
    </row>
    <row r="586" spans="1:17" s="140" customFormat="1" ht="15" customHeight="1" x14ac:dyDescent="0.25">
      <c r="A586"/>
      <c r="B586"/>
      <c r="C586"/>
      <c r="D586"/>
      <c r="E586"/>
      <c r="F586"/>
      <c r="G586"/>
      <c r="H586"/>
    </row>
    <row r="587" spans="1:17" s="140" customFormat="1" ht="15" customHeight="1" x14ac:dyDescent="0.25">
      <c r="A587"/>
      <c r="B587"/>
      <c r="C587"/>
      <c r="D587"/>
      <c r="E587"/>
      <c r="F587"/>
      <c r="G587"/>
      <c r="H587"/>
    </row>
    <row r="588" spans="1:17" s="140" customFormat="1" ht="15" customHeight="1" x14ac:dyDescent="0.25">
      <c r="A588"/>
      <c r="B588"/>
      <c r="C588"/>
      <c r="D588"/>
      <c r="E588"/>
      <c r="F588"/>
      <c r="G588"/>
      <c r="H588"/>
      <c r="J588" s="239"/>
      <c r="K588" s="239"/>
      <c r="L588" s="239"/>
      <c r="M588" s="239"/>
      <c r="N588" s="239"/>
      <c r="O588" s="239"/>
      <c r="P588" s="239"/>
      <c r="Q588" s="239"/>
    </row>
    <row r="589" spans="1:17" s="140" customFormat="1" ht="15" customHeight="1" x14ac:dyDescent="0.25">
      <c r="A589"/>
      <c r="B589"/>
      <c r="C589"/>
      <c r="D589"/>
      <c r="E589"/>
      <c r="F589"/>
      <c r="G589"/>
      <c r="H589"/>
      <c r="J589" s="239"/>
      <c r="K589" s="239"/>
      <c r="L589" s="239"/>
      <c r="M589" s="239"/>
      <c r="N589" s="239"/>
      <c r="O589" s="239"/>
      <c r="P589" s="239"/>
      <c r="Q589" s="239"/>
    </row>
    <row r="590" spans="1:17" s="140" customFormat="1" ht="15" customHeight="1" x14ac:dyDescent="0.25">
      <c r="A590"/>
      <c r="B590"/>
      <c r="C590"/>
      <c r="D590"/>
      <c r="E590"/>
      <c r="F590"/>
      <c r="G590"/>
      <c r="H590"/>
      <c r="J590" s="239"/>
      <c r="K590" s="239"/>
      <c r="L590" s="239"/>
      <c r="M590" s="239"/>
      <c r="N590" s="239"/>
      <c r="O590" s="239"/>
      <c r="P590" s="239"/>
      <c r="Q590" s="239"/>
    </row>
    <row r="591" spans="1:17" s="140" customFormat="1" ht="15" customHeight="1" x14ac:dyDescent="0.25">
      <c r="A591"/>
      <c r="B591"/>
      <c r="C591"/>
      <c r="D591"/>
      <c r="E591"/>
      <c r="F591"/>
      <c r="G591"/>
      <c r="H591"/>
      <c r="J591" s="239"/>
      <c r="K591" s="239"/>
      <c r="L591" s="239"/>
      <c r="M591" s="239"/>
      <c r="N591" s="239"/>
      <c r="O591" s="239"/>
      <c r="P591" s="239"/>
      <c r="Q591" s="239"/>
    </row>
    <row r="592" spans="1:17" s="140" customFormat="1" ht="15" customHeight="1" x14ac:dyDescent="0.25">
      <c r="A592"/>
      <c r="B592"/>
      <c r="C592"/>
      <c r="D592"/>
      <c r="E592"/>
      <c r="F592"/>
      <c r="G592"/>
      <c r="H592"/>
      <c r="J592" s="239"/>
      <c r="K592" s="239"/>
      <c r="L592" s="239"/>
      <c r="M592" s="239"/>
      <c r="N592" s="239"/>
      <c r="O592" s="239"/>
      <c r="P592" s="239"/>
      <c r="Q592" s="239"/>
    </row>
    <row r="593" spans="1:17" s="140" customFormat="1" ht="15" customHeight="1" x14ac:dyDescent="0.25">
      <c r="A593"/>
      <c r="B593"/>
      <c r="C593"/>
      <c r="D593"/>
      <c r="E593"/>
      <c r="F593"/>
      <c r="G593"/>
      <c r="H593"/>
      <c r="J593" s="239"/>
      <c r="K593" s="239"/>
      <c r="L593" s="239"/>
      <c r="M593" s="239"/>
      <c r="N593" s="239"/>
      <c r="O593" s="239"/>
      <c r="P593" s="239"/>
      <c r="Q593" s="239"/>
    </row>
    <row r="594" spans="1:17" s="140" customFormat="1" ht="15" customHeight="1" x14ac:dyDescent="0.25">
      <c r="A594"/>
      <c r="B594"/>
      <c r="C594"/>
      <c r="D594"/>
      <c r="E594"/>
      <c r="F594"/>
      <c r="G594"/>
      <c r="H594"/>
      <c r="J594" s="239"/>
      <c r="K594" s="239"/>
      <c r="L594" s="239"/>
      <c r="M594" s="239"/>
      <c r="N594" s="239"/>
      <c r="O594" s="239"/>
      <c r="P594" s="239"/>
      <c r="Q594" s="239"/>
    </row>
    <row r="595" spans="1:17" s="140" customFormat="1" ht="15" customHeight="1" x14ac:dyDescent="0.25">
      <c r="A595"/>
      <c r="B595"/>
      <c r="C595"/>
      <c r="D595"/>
      <c r="E595"/>
      <c r="F595"/>
      <c r="G595"/>
      <c r="H595"/>
      <c r="J595" s="239"/>
      <c r="K595" s="239"/>
      <c r="L595" s="239"/>
      <c r="M595" s="239"/>
      <c r="N595" s="239"/>
      <c r="O595" s="239"/>
      <c r="P595" s="239"/>
      <c r="Q595" s="239"/>
    </row>
    <row r="596" spans="1:17" s="140" customFormat="1" ht="15" customHeight="1" x14ac:dyDescent="0.25">
      <c r="A596"/>
      <c r="B596"/>
      <c r="C596"/>
      <c r="D596"/>
      <c r="E596"/>
      <c r="F596"/>
      <c r="G596"/>
      <c r="H596"/>
      <c r="J596" s="239"/>
      <c r="K596" s="239"/>
      <c r="L596" s="239"/>
      <c r="M596" s="239"/>
      <c r="N596" s="239"/>
      <c r="O596" s="239"/>
      <c r="P596" s="239"/>
      <c r="Q596" s="239"/>
    </row>
    <row r="597" spans="1:17" s="140" customFormat="1" ht="15" customHeight="1" x14ac:dyDescent="0.25">
      <c r="A597"/>
      <c r="B597"/>
      <c r="C597"/>
      <c r="D597"/>
      <c r="E597"/>
      <c r="F597"/>
      <c r="G597"/>
      <c r="H597"/>
    </row>
    <row r="598" spans="1:17" s="140" customFormat="1" ht="15" customHeight="1" x14ac:dyDescent="0.25">
      <c r="A598"/>
      <c r="B598"/>
      <c r="C598"/>
      <c r="D598"/>
      <c r="E598"/>
      <c r="F598"/>
      <c r="G598"/>
      <c r="H598"/>
    </row>
    <row r="599" spans="1:17" s="140" customFormat="1" ht="15" customHeight="1" x14ac:dyDescent="0.25">
      <c r="A599"/>
      <c r="B599"/>
      <c r="C599"/>
      <c r="D599"/>
      <c r="E599"/>
      <c r="F599"/>
      <c r="G599"/>
      <c r="H599"/>
    </row>
    <row r="600" spans="1:17" s="140" customFormat="1" ht="15" customHeight="1" x14ac:dyDescent="0.25">
      <c r="A600"/>
      <c r="B600"/>
      <c r="C600"/>
      <c r="D600"/>
      <c r="E600"/>
      <c r="F600"/>
      <c r="G600"/>
      <c r="H600"/>
    </row>
    <row r="601" spans="1:17" s="140" customFormat="1" ht="15" customHeight="1" x14ac:dyDescent="0.25">
      <c r="A601"/>
      <c r="B601"/>
      <c r="C601"/>
      <c r="D601"/>
      <c r="E601"/>
      <c r="F601"/>
      <c r="G601"/>
      <c r="H601"/>
    </row>
    <row r="602" spans="1:17" s="140" customFormat="1" ht="15" customHeight="1" x14ac:dyDescent="0.25">
      <c r="A602"/>
      <c r="B602"/>
      <c r="C602"/>
      <c r="D602"/>
      <c r="E602"/>
      <c r="F602"/>
      <c r="G602"/>
      <c r="H602"/>
    </row>
    <row r="603" spans="1:17" s="140" customFormat="1" ht="15" customHeight="1" x14ac:dyDescent="0.25">
      <c r="A603"/>
      <c r="B603"/>
      <c r="C603"/>
      <c r="D603"/>
      <c r="E603"/>
      <c r="F603"/>
      <c r="G603"/>
      <c r="H603"/>
    </row>
    <row r="604" spans="1:17" s="140" customFormat="1" ht="15" customHeight="1" x14ac:dyDescent="0.25">
      <c r="A604"/>
      <c r="B604"/>
      <c r="C604"/>
      <c r="D604"/>
      <c r="E604"/>
      <c r="F604"/>
      <c r="G604"/>
      <c r="H604"/>
    </row>
    <row r="605" spans="1:17" s="140" customFormat="1" ht="15" customHeight="1" x14ac:dyDescent="0.25">
      <c r="A605"/>
      <c r="B605"/>
      <c r="C605"/>
      <c r="D605"/>
      <c r="E605"/>
      <c r="F605"/>
      <c r="G605"/>
      <c r="H605"/>
    </row>
    <row r="606" spans="1:17" s="140" customFormat="1" ht="15" customHeight="1" x14ac:dyDescent="0.25">
      <c r="A606"/>
      <c r="B606"/>
      <c r="C606"/>
      <c r="D606"/>
      <c r="E606"/>
      <c r="F606"/>
      <c r="G606"/>
      <c r="H606"/>
    </row>
    <row r="607" spans="1:17" s="140" customFormat="1" ht="15" customHeight="1" x14ac:dyDescent="0.25">
      <c r="A607"/>
      <c r="B607"/>
      <c r="C607"/>
      <c r="D607"/>
      <c r="E607"/>
      <c r="F607"/>
      <c r="G607"/>
      <c r="H607"/>
    </row>
    <row r="608" spans="1:17" s="140" customFormat="1" ht="15" customHeight="1" x14ac:dyDescent="0.25">
      <c r="A608"/>
      <c r="B608"/>
      <c r="C608"/>
      <c r="D608"/>
      <c r="E608"/>
      <c r="F608"/>
      <c r="G608"/>
      <c r="H608"/>
    </row>
    <row r="609" spans="1:8" s="140" customFormat="1" ht="15" customHeight="1" x14ac:dyDescent="0.25">
      <c r="A609"/>
      <c r="B609"/>
      <c r="C609"/>
      <c r="D609"/>
      <c r="E609"/>
      <c r="F609"/>
      <c r="G609"/>
      <c r="H609"/>
    </row>
    <row r="610" spans="1:8" s="140" customFormat="1" ht="15" customHeight="1" x14ac:dyDescent="0.25">
      <c r="A610"/>
      <c r="B610"/>
      <c r="C610"/>
      <c r="D610"/>
      <c r="E610"/>
      <c r="F610"/>
      <c r="G610"/>
      <c r="H610"/>
    </row>
    <row r="611" spans="1:8" s="140" customFormat="1" ht="15" customHeight="1" x14ac:dyDescent="0.25">
      <c r="A611"/>
      <c r="B611"/>
      <c r="C611"/>
      <c r="D611"/>
      <c r="E611"/>
      <c r="F611"/>
      <c r="G611"/>
      <c r="H611"/>
    </row>
    <row r="612" spans="1:8" s="140" customFormat="1" ht="15" customHeight="1" x14ac:dyDescent="0.25">
      <c r="A612"/>
      <c r="B612"/>
      <c r="C612"/>
      <c r="D612"/>
      <c r="E612"/>
      <c r="F612"/>
      <c r="G612"/>
      <c r="H612"/>
    </row>
    <row r="613" spans="1:8" s="140" customFormat="1" ht="15" customHeight="1" x14ac:dyDescent="0.25">
      <c r="A613"/>
      <c r="B613"/>
      <c r="C613"/>
      <c r="D613"/>
      <c r="E613"/>
      <c r="F613"/>
      <c r="G613"/>
      <c r="H613"/>
    </row>
    <row r="614" spans="1:8" s="140" customFormat="1" ht="15" customHeight="1" x14ac:dyDescent="0.25">
      <c r="A614"/>
      <c r="B614"/>
      <c r="C614"/>
      <c r="D614"/>
      <c r="E614"/>
      <c r="F614"/>
      <c r="G614"/>
      <c r="H614"/>
    </row>
    <row r="615" spans="1:8" s="140" customFormat="1" ht="15" customHeight="1" x14ac:dyDescent="0.25">
      <c r="A615"/>
      <c r="B615"/>
      <c r="C615"/>
      <c r="D615"/>
      <c r="E615"/>
      <c r="F615"/>
      <c r="G615"/>
      <c r="H615"/>
    </row>
    <row r="616" spans="1:8" s="140" customFormat="1" ht="15" customHeight="1" x14ac:dyDescent="0.25">
      <c r="A616"/>
      <c r="B616"/>
      <c r="C616"/>
      <c r="D616"/>
      <c r="E616"/>
      <c r="F616"/>
      <c r="G616"/>
      <c r="H616"/>
    </row>
    <row r="617" spans="1:8" s="140" customFormat="1" ht="15" customHeight="1" x14ac:dyDescent="0.25">
      <c r="A617"/>
      <c r="B617"/>
      <c r="C617"/>
      <c r="D617"/>
      <c r="E617"/>
      <c r="F617"/>
      <c r="G617"/>
      <c r="H617"/>
    </row>
    <row r="618" spans="1:8" s="140" customFormat="1" ht="15" customHeight="1" x14ac:dyDescent="0.25">
      <c r="A618"/>
      <c r="B618"/>
      <c r="C618"/>
      <c r="D618"/>
      <c r="E618"/>
      <c r="F618"/>
      <c r="G618"/>
      <c r="H618"/>
    </row>
    <row r="619" spans="1:8" s="140" customFormat="1" ht="15" customHeight="1" x14ac:dyDescent="0.25">
      <c r="A619"/>
      <c r="B619"/>
      <c r="C619"/>
      <c r="D619"/>
      <c r="E619"/>
      <c r="F619"/>
      <c r="G619"/>
      <c r="H619"/>
    </row>
    <row r="620" spans="1:8" s="140" customFormat="1" ht="15" customHeight="1" x14ac:dyDescent="0.25">
      <c r="A620"/>
      <c r="B620"/>
      <c r="C620"/>
      <c r="D620"/>
      <c r="E620"/>
      <c r="F620"/>
      <c r="G620"/>
      <c r="H620"/>
    </row>
    <row r="621" spans="1:8" s="140" customFormat="1" ht="15" customHeight="1" x14ac:dyDescent="0.25">
      <c r="A621"/>
      <c r="B621"/>
      <c r="C621"/>
      <c r="D621"/>
      <c r="E621"/>
      <c r="F621"/>
      <c r="G621"/>
      <c r="H621"/>
    </row>
    <row r="622" spans="1:8" s="140" customFormat="1" ht="15" customHeight="1" x14ac:dyDescent="0.25">
      <c r="A622"/>
      <c r="B622"/>
      <c r="C622"/>
      <c r="D622"/>
      <c r="E622"/>
      <c r="F622"/>
      <c r="G622"/>
      <c r="H622"/>
    </row>
    <row r="623" spans="1:8" s="140" customFormat="1" ht="15" customHeight="1" x14ac:dyDescent="0.25">
      <c r="A623"/>
      <c r="B623"/>
      <c r="C623"/>
      <c r="D623"/>
      <c r="E623"/>
      <c r="F623"/>
      <c r="G623"/>
      <c r="H623"/>
    </row>
    <row r="624" spans="1:8" s="140" customFormat="1" ht="15" customHeight="1" x14ac:dyDescent="0.25">
      <c r="A624"/>
      <c r="B624"/>
      <c r="C624"/>
      <c r="D624"/>
      <c r="E624"/>
      <c r="F624"/>
      <c r="G624"/>
      <c r="H624"/>
    </row>
    <row r="625" spans="1:8" s="140" customFormat="1" ht="15" customHeight="1" x14ac:dyDescent="0.25">
      <c r="A625"/>
      <c r="B625"/>
      <c r="C625"/>
      <c r="D625"/>
      <c r="E625"/>
      <c r="F625"/>
      <c r="G625"/>
      <c r="H625"/>
    </row>
    <row r="626" spans="1:8" s="140" customFormat="1" ht="15" customHeight="1" x14ac:dyDescent="0.25">
      <c r="A626"/>
      <c r="B626"/>
      <c r="C626"/>
      <c r="D626"/>
      <c r="E626"/>
      <c r="F626"/>
      <c r="G626"/>
      <c r="H626"/>
    </row>
    <row r="627" spans="1:8" s="140" customFormat="1" ht="15" customHeight="1" x14ac:dyDescent="0.25">
      <c r="A627"/>
      <c r="B627"/>
      <c r="C627"/>
      <c r="D627"/>
      <c r="E627"/>
      <c r="F627"/>
      <c r="G627"/>
      <c r="H627"/>
    </row>
    <row r="628" spans="1:8" s="140" customFormat="1" ht="15" customHeight="1" x14ac:dyDescent="0.25">
      <c r="A628"/>
      <c r="B628"/>
      <c r="C628"/>
      <c r="D628"/>
      <c r="E628"/>
      <c r="F628"/>
      <c r="G628"/>
      <c r="H628"/>
    </row>
    <row r="629" spans="1:8" s="140" customFormat="1" ht="15" customHeight="1" x14ac:dyDescent="0.25">
      <c r="A629"/>
      <c r="B629"/>
      <c r="C629"/>
      <c r="D629"/>
      <c r="E629"/>
      <c r="F629"/>
      <c r="G629"/>
      <c r="H629"/>
    </row>
    <row r="630" spans="1:8" s="140" customFormat="1" ht="15" customHeight="1" x14ac:dyDescent="0.25">
      <c r="A630"/>
      <c r="B630"/>
      <c r="C630"/>
      <c r="D630"/>
      <c r="E630"/>
      <c r="F630"/>
      <c r="G630"/>
      <c r="H630"/>
    </row>
    <row r="631" spans="1:8" s="140" customFormat="1" ht="15" customHeight="1" x14ac:dyDescent="0.25">
      <c r="A631"/>
      <c r="B631"/>
      <c r="C631"/>
      <c r="D631"/>
      <c r="E631"/>
      <c r="F631"/>
      <c r="G631"/>
      <c r="H631"/>
    </row>
    <row r="632" spans="1:8" s="140" customFormat="1" ht="15" customHeight="1" x14ac:dyDescent="0.25">
      <c r="A632"/>
      <c r="B632"/>
      <c r="C632"/>
      <c r="D632"/>
      <c r="E632"/>
      <c r="F632"/>
      <c r="G632"/>
      <c r="H632"/>
    </row>
    <row r="633" spans="1:8" s="140" customFormat="1" ht="15" customHeight="1" x14ac:dyDescent="0.25">
      <c r="A633"/>
      <c r="B633"/>
      <c r="C633"/>
      <c r="D633"/>
      <c r="E633"/>
      <c r="F633"/>
      <c r="G633"/>
      <c r="H633"/>
    </row>
    <row r="634" spans="1:8" s="140" customFormat="1" ht="15" customHeight="1" x14ac:dyDescent="0.25">
      <c r="A634"/>
      <c r="B634"/>
      <c r="C634"/>
      <c r="D634"/>
      <c r="E634"/>
      <c r="F634"/>
      <c r="G634"/>
      <c r="H634"/>
    </row>
    <row r="635" spans="1:8" ht="15" customHeight="1" x14ac:dyDescent="0.25"/>
    <row r="636" spans="1:8" ht="15" customHeight="1" x14ac:dyDescent="0.25"/>
    <row r="637" spans="1:8" ht="15" customHeight="1" x14ac:dyDescent="0.25"/>
    <row r="638" spans="1:8" ht="15" customHeight="1" x14ac:dyDescent="0.25"/>
    <row r="639" spans="1:8" ht="15" customHeight="1" x14ac:dyDescent="0.25"/>
    <row r="640" spans="1:8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spans="1:8" ht="15" customHeight="1" x14ac:dyDescent="0.25"/>
    <row r="674" spans="1:8" ht="15" customHeight="1" x14ac:dyDescent="0.25"/>
    <row r="675" spans="1:8" ht="15" customHeight="1" x14ac:dyDescent="0.25"/>
    <row r="676" spans="1:8" ht="15" customHeight="1" x14ac:dyDescent="0.25"/>
    <row r="677" spans="1:8" ht="15" customHeight="1" x14ac:dyDescent="0.25"/>
    <row r="678" spans="1:8" ht="15" customHeight="1" x14ac:dyDescent="0.25"/>
    <row r="679" spans="1:8" s="140" customFormat="1" ht="15" customHeight="1" x14ac:dyDescent="0.25">
      <c r="A679"/>
      <c r="B679"/>
      <c r="C679"/>
      <c r="D679"/>
      <c r="E679"/>
      <c r="F679"/>
      <c r="G679"/>
      <c r="H679"/>
    </row>
    <row r="680" spans="1:8" s="140" customFormat="1" ht="15" customHeight="1" x14ac:dyDescent="0.25">
      <c r="A680"/>
      <c r="B680"/>
      <c r="C680"/>
      <c r="D680"/>
      <c r="E680"/>
      <c r="F680"/>
      <c r="G680"/>
      <c r="H680"/>
    </row>
    <row r="681" spans="1:8" s="140" customFormat="1" ht="15" customHeight="1" x14ac:dyDescent="0.25">
      <c r="A681"/>
      <c r="B681"/>
      <c r="C681"/>
      <c r="D681"/>
      <c r="E681"/>
      <c r="F681"/>
      <c r="G681"/>
      <c r="H681"/>
    </row>
    <row r="682" spans="1:8" s="140" customFormat="1" ht="15" customHeight="1" x14ac:dyDescent="0.25">
      <c r="A682"/>
      <c r="B682"/>
      <c r="C682"/>
      <c r="D682"/>
      <c r="E682"/>
      <c r="F682"/>
      <c r="G682"/>
      <c r="H682"/>
    </row>
    <row r="683" spans="1:8" s="140" customFormat="1" ht="15" customHeight="1" x14ac:dyDescent="0.25">
      <c r="A683"/>
      <c r="B683"/>
      <c r="C683"/>
      <c r="D683"/>
      <c r="E683"/>
      <c r="F683"/>
      <c r="G683"/>
      <c r="H683"/>
    </row>
    <row r="684" spans="1:8" s="140" customFormat="1" ht="15" customHeight="1" x14ac:dyDescent="0.25">
      <c r="A684"/>
      <c r="B684"/>
      <c r="C684"/>
      <c r="D684"/>
      <c r="E684"/>
      <c r="F684"/>
      <c r="G684"/>
      <c r="H684"/>
    </row>
    <row r="685" spans="1:8" s="140" customFormat="1" ht="15" customHeight="1" x14ac:dyDescent="0.25">
      <c r="A685"/>
      <c r="B685"/>
      <c r="C685"/>
      <c r="D685"/>
      <c r="E685"/>
      <c r="F685"/>
      <c r="G685"/>
      <c r="H685"/>
    </row>
    <row r="686" spans="1:8" s="140" customFormat="1" ht="15" customHeight="1" x14ac:dyDescent="0.25">
      <c r="A686"/>
      <c r="B686"/>
      <c r="C686"/>
      <c r="D686"/>
      <c r="E686"/>
      <c r="F686"/>
      <c r="G686"/>
      <c r="H686"/>
    </row>
    <row r="687" spans="1:8" s="140" customFormat="1" ht="15" customHeight="1" x14ac:dyDescent="0.25">
      <c r="A687"/>
      <c r="B687"/>
      <c r="C687"/>
      <c r="D687"/>
      <c r="E687"/>
      <c r="F687"/>
      <c r="G687"/>
      <c r="H687"/>
    </row>
    <row r="688" spans="1:8" s="140" customFormat="1" ht="15" customHeight="1" x14ac:dyDescent="0.25">
      <c r="A688"/>
      <c r="B688"/>
      <c r="C688"/>
      <c r="D688"/>
      <c r="E688"/>
      <c r="F688"/>
      <c r="G688"/>
      <c r="H688"/>
    </row>
    <row r="689" spans="1:8" s="140" customFormat="1" ht="15" customHeight="1" x14ac:dyDescent="0.25">
      <c r="A689"/>
      <c r="B689"/>
      <c r="C689"/>
      <c r="D689"/>
      <c r="E689"/>
      <c r="F689"/>
      <c r="G689"/>
      <c r="H689"/>
    </row>
    <row r="690" spans="1:8" s="140" customFormat="1" ht="15" customHeight="1" x14ac:dyDescent="0.25">
      <c r="A690"/>
      <c r="B690"/>
      <c r="C690"/>
      <c r="D690"/>
      <c r="E690"/>
      <c r="F690"/>
      <c r="G690"/>
      <c r="H690"/>
    </row>
    <row r="691" spans="1:8" s="140" customFormat="1" ht="15" customHeight="1" x14ac:dyDescent="0.25">
      <c r="A691"/>
      <c r="B691"/>
      <c r="C691"/>
      <c r="D691"/>
      <c r="E691"/>
      <c r="F691"/>
      <c r="G691"/>
      <c r="H691"/>
    </row>
    <row r="692" spans="1:8" s="140" customFormat="1" ht="15" customHeight="1" x14ac:dyDescent="0.25">
      <c r="A692"/>
      <c r="B692"/>
      <c r="C692"/>
      <c r="D692"/>
      <c r="E692"/>
      <c r="F692"/>
      <c r="G692"/>
      <c r="H692"/>
    </row>
    <row r="693" spans="1:8" s="140" customFormat="1" ht="15" customHeight="1" x14ac:dyDescent="0.25">
      <c r="A693"/>
      <c r="B693"/>
      <c r="C693"/>
      <c r="D693"/>
      <c r="E693"/>
      <c r="F693"/>
      <c r="G693"/>
      <c r="H693"/>
    </row>
    <row r="694" spans="1:8" s="140" customFormat="1" ht="15" customHeight="1" x14ac:dyDescent="0.25">
      <c r="A694"/>
      <c r="B694"/>
      <c r="C694"/>
      <c r="D694"/>
      <c r="E694"/>
      <c r="F694"/>
      <c r="G694"/>
      <c r="H694"/>
    </row>
    <row r="695" spans="1:8" s="140" customFormat="1" ht="15" customHeight="1" x14ac:dyDescent="0.25">
      <c r="A695"/>
      <c r="B695"/>
      <c r="C695"/>
      <c r="D695"/>
      <c r="E695"/>
      <c r="F695"/>
      <c r="G695"/>
      <c r="H695"/>
    </row>
    <row r="696" spans="1:8" s="140" customFormat="1" ht="15" customHeight="1" x14ac:dyDescent="0.25">
      <c r="A696"/>
      <c r="B696"/>
      <c r="C696"/>
      <c r="D696"/>
      <c r="E696"/>
      <c r="F696"/>
      <c r="G696"/>
      <c r="H696"/>
    </row>
    <row r="697" spans="1:8" s="140" customFormat="1" ht="15" customHeight="1" x14ac:dyDescent="0.25">
      <c r="A697"/>
      <c r="B697"/>
      <c r="C697"/>
      <c r="D697"/>
      <c r="E697"/>
      <c r="F697"/>
      <c r="G697"/>
      <c r="H697"/>
    </row>
    <row r="698" spans="1:8" s="140" customFormat="1" ht="15" customHeight="1" x14ac:dyDescent="0.25">
      <c r="A698"/>
      <c r="B698"/>
      <c r="C698"/>
      <c r="D698"/>
      <c r="E698"/>
      <c r="F698"/>
      <c r="G698"/>
      <c r="H698"/>
    </row>
    <row r="699" spans="1:8" s="140" customFormat="1" ht="15" customHeight="1" x14ac:dyDescent="0.25">
      <c r="A699"/>
      <c r="B699"/>
      <c r="C699"/>
      <c r="D699"/>
      <c r="E699"/>
      <c r="F699"/>
      <c r="G699"/>
      <c r="H699"/>
    </row>
    <row r="700" spans="1:8" s="140" customFormat="1" ht="15" customHeight="1" x14ac:dyDescent="0.25">
      <c r="A700"/>
      <c r="B700"/>
      <c r="C700"/>
      <c r="D700"/>
      <c r="E700"/>
      <c r="F700"/>
      <c r="G700"/>
      <c r="H700"/>
    </row>
    <row r="701" spans="1:8" s="140" customFormat="1" ht="15" customHeight="1" x14ac:dyDescent="0.25">
      <c r="A701"/>
      <c r="B701"/>
      <c r="C701"/>
      <c r="D701"/>
      <c r="E701"/>
      <c r="F701"/>
      <c r="G701"/>
      <c r="H701"/>
    </row>
    <row r="702" spans="1:8" s="140" customFormat="1" ht="15" customHeight="1" x14ac:dyDescent="0.25">
      <c r="A702"/>
      <c r="B702"/>
      <c r="C702"/>
      <c r="D702"/>
      <c r="E702"/>
      <c r="F702"/>
      <c r="G702"/>
      <c r="H702"/>
    </row>
    <row r="703" spans="1:8" s="140" customFormat="1" ht="15" customHeight="1" x14ac:dyDescent="0.25">
      <c r="A703"/>
      <c r="B703"/>
      <c r="C703"/>
      <c r="D703"/>
      <c r="E703"/>
      <c r="F703"/>
      <c r="G703"/>
      <c r="H703"/>
    </row>
    <row r="704" spans="1:8" s="140" customFormat="1" ht="15" customHeight="1" x14ac:dyDescent="0.25">
      <c r="A704"/>
      <c r="B704"/>
      <c r="C704"/>
      <c r="D704"/>
      <c r="E704"/>
      <c r="F704"/>
      <c r="G704"/>
      <c r="H704"/>
    </row>
    <row r="705" spans="1:8" s="140" customFormat="1" ht="15" customHeight="1" x14ac:dyDescent="0.25">
      <c r="A705"/>
      <c r="B705"/>
      <c r="C705"/>
      <c r="D705"/>
      <c r="E705"/>
      <c r="F705"/>
      <c r="G705"/>
      <c r="H705"/>
    </row>
    <row r="706" spans="1:8" s="140" customFormat="1" ht="15" customHeight="1" x14ac:dyDescent="0.25">
      <c r="A706"/>
      <c r="B706"/>
      <c r="C706"/>
      <c r="D706"/>
      <c r="E706"/>
      <c r="F706"/>
      <c r="G706"/>
      <c r="H706"/>
    </row>
    <row r="707" spans="1:8" s="140" customFormat="1" ht="15" customHeight="1" x14ac:dyDescent="0.25">
      <c r="A707"/>
      <c r="B707"/>
      <c r="C707"/>
      <c r="D707"/>
      <c r="E707"/>
      <c r="F707"/>
      <c r="G707"/>
      <c r="H707"/>
    </row>
    <row r="708" spans="1:8" s="140" customFormat="1" ht="15" customHeight="1" x14ac:dyDescent="0.25">
      <c r="A708"/>
      <c r="B708"/>
      <c r="C708"/>
      <c r="D708"/>
      <c r="E708"/>
      <c r="F708"/>
      <c r="G708"/>
      <c r="H708"/>
    </row>
    <row r="709" spans="1:8" s="140" customFormat="1" ht="15" customHeight="1" x14ac:dyDescent="0.25">
      <c r="A709"/>
      <c r="B709"/>
      <c r="C709"/>
      <c r="D709"/>
      <c r="E709"/>
      <c r="F709"/>
      <c r="G709"/>
      <c r="H709"/>
    </row>
    <row r="710" spans="1:8" s="140" customFormat="1" ht="15" customHeight="1" x14ac:dyDescent="0.25">
      <c r="A710"/>
      <c r="B710"/>
      <c r="C710"/>
      <c r="D710"/>
      <c r="E710"/>
      <c r="F710"/>
      <c r="G710"/>
      <c r="H710"/>
    </row>
    <row r="711" spans="1:8" s="140" customFormat="1" ht="15" customHeight="1" x14ac:dyDescent="0.25">
      <c r="A711"/>
      <c r="B711"/>
      <c r="C711"/>
      <c r="D711"/>
      <c r="E711"/>
      <c r="F711"/>
      <c r="G711"/>
      <c r="H711"/>
    </row>
    <row r="712" spans="1:8" s="140" customFormat="1" ht="15" customHeight="1" x14ac:dyDescent="0.25">
      <c r="A712"/>
      <c r="B712"/>
      <c r="C712"/>
      <c r="D712"/>
      <c r="E712"/>
      <c r="F712"/>
      <c r="G712"/>
      <c r="H712"/>
    </row>
    <row r="713" spans="1:8" s="140" customFormat="1" ht="15" customHeight="1" x14ac:dyDescent="0.25">
      <c r="A713"/>
      <c r="B713"/>
      <c r="C713"/>
      <c r="D713"/>
      <c r="E713"/>
      <c r="F713"/>
      <c r="G713"/>
      <c r="H713"/>
    </row>
    <row r="714" spans="1:8" s="140" customFormat="1" ht="15" customHeight="1" x14ac:dyDescent="0.25">
      <c r="A714"/>
      <c r="B714"/>
      <c r="C714"/>
      <c r="D714"/>
      <c r="E714"/>
      <c r="F714"/>
      <c r="G714"/>
      <c r="H714"/>
    </row>
    <row r="715" spans="1:8" s="140" customFormat="1" ht="15" customHeight="1" x14ac:dyDescent="0.25">
      <c r="A715"/>
      <c r="B715"/>
      <c r="C715"/>
      <c r="D715"/>
      <c r="E715"/>
      <c r="F715"/>
      <c r="G715"/>
      <c r="H715"/>
    </row>
    <row r="716" spans="1:8" s="140" customFormat="1" ht="15" customHeight="1" x14ac:dyDescent="0.25">
      <c r="A716"/>
      <c r="B716"/>
      <c r="C716"/>
      <c r="D716"/>
      <c r="E716"/>
      <c r="F716"/>
      <c r="G716"/>
      <c r="H716"/>
    </row>
    <row r="717" spans="1:8" s="140" customFormat="1" ht="15" customHeight="1" x14ac:dyDescent="0.25">
      <c r="A717"/>
      <c r="B717"/>
      <c r="C717"/>
      <c r="D717"/>
      <c r="E717"/>
      <c r="F717"/>
      <c r="G717"/>
      <c r="H717"/>
    </row>
    <row r="718" spans="1:8" s="140" customFormat="1" ht="15" customHeight="1" x14ac:dyDescent="0.25">
      <c r="A718"/>
      <c r="B718"/>
      <c r="C718"/>
      <c r="D718"/>
      <c r="E718"/>
      <c r="F718"/>
      <c r="G718"/>
      <c r="H718"/>
    </row>
    <row r="719" spans="1:8" s="140" customFormat="1" ht="15" customHeight="1" x14ac:dyDescent="0.25">
      <c r="A719"/>
      <c r="B719"/>
      <c r="C719"/>
      <c r="D719"/>
      <c r="E719"/>
      <c r="F719"/>
      <c r="G719"/>
      <c r="H719"/>
    </row>
    <row r="720" spans="1:8" s="140" customFormat="1" ht="15" customHeight="1" x14ac:dyDescent="0.25">
      <c r="A720"/>
      <c r="B720"/>
      <c r="C720"/>
      <c r="D720"/>
      <c r="E720"/>
      <c r="F720"/>
      <c r="G720"/>
      <c r="H720"/>
    </row>
    <row r="721" spans="1:8" s="140" customFormat="1" ht="15" customHeight="1" x14ac:dyDescent="0.25">
      <c r="A721"/>
      <c r="B721"/>
      <c r="C721"/>
      <c r="D721"/>
      <c r="E721"/>
      <c r="F721"/>
      <c r="G721"/>
      <c r="H721"/>
    </row>
    <row r="722" spans="1:8" s="140" customFormat="1" ht="15" customHeight="1" x14ac:dyDescent="0.25">
      <c r="A722"/>
      <c r="B722"/>
      <c r="C722"/>
      <c r="D722"/>
      <c r="E722"/>
      <c r="F722"/>
      <c r="G722"/>
      <c r="H722"/>
    </row>
    <row r="723" spans="1:8" s="140" customFormat="1" ht="15" customHeight="1" x14ac:dyDescent="0.25">
      <c r="A723"/>
      <c r="B723"/>
      <c r="C723"/>
      <c r="D723"/>
      <c r="E723"/>
      <c r="F723"/>
      <c r="G723"/>
      <c r="H723"/>
    </row>
    <row r="724" spans="1:8" s="140" customFormat="1" ht="15" customHeight="1" x14ac:dyDescent="0.25">
      <c r="A724"/>
      <c r="B724"/>
      <c r="C724"/>
      <c r="D724"/>
      <c r="E724"/>
      <c r="F724"/>
      <c r="G724"/>
      <c r="H724"/>
    </row>
    <row r="725" spans="1:8" s="140" customFormat="1" ht="15" customHeight="1" x14ac:dyDescent="0.25">
      <c r="A725"/>
      <c r="B725"/>
      <c r="C725"/>
      <c r="D725"/>
      <c r="E725"/>
      <c r="F725"/>
      <c r="G725"/>
      <c r="H725"/>
    </row>
    <row r="726" spans="1:8" s="140" customFormat="1" ht="15" customHeight="1" x14ac:dyDescent="0.25">
      <c r="A726"/>
      <c r="B726"/>
      <c r="C726"/>
      <c r="D726"/>
      <c r="E726"/>
      <c r="F726"/>
      <c r="G726"/>
      <c r="H726"/>
    </row>
    <row r="727" spans="1:8" s="140" customFormat="1" ht="15" customHeight="1" x14ac:dyDescent="0.25">
      <c r="A727"/>
      <c r="B727"/>
      <c r="C727"/>
      <c r="D727"/>
      <c r="E727"/>
      <c r="F727"/>
      <c r="G727"/>
      <c r="H727"/>
    </row>
    <row r="728" spans="1:8" s="140" customFormat="1" ht="15" customHeight="1" x14ac:dyDescent="0.25">
      <c r="A728"/>
      <c r="B728"/>
      <c r="C728"/>
      <c r="D728"/>
      <c r="E728"/>
      <c r="F728"/>
      <c r="G728"/>
      <c r="H728"/>
    </row>
    <row r="729" spans="1:8" s="140" customFormat="1" ht="15" customHeight="1" x14ac:dyDescent="0.25">
      <c r="A729"/>
      <c r="B729"/>
      <c r="C729"/>
      <c r="D729"/>
      <c r="E729"/>
      <c r="F729"/>
      <c r="G729"/>
      <c r="H729"/>
    </row>
    <row r="730" spans="1:8" s="140" customFormat="1" ht="15" customHeight="1" x14ac:dyDescent="0.25">
      <c r="A730"/>
      <c r="B730"/>
      <c r="C730"/>
      <c r="D730"/>
      <c r="E730"/>
      <c r="F730"/>
      <c r="G730"/>
      <c r="H730"/>
    </row>
    <row r="731" spans="1:8" s="140" customFormat="1" ht="15" customHeight="1" x14ac:dyDescent="0.25">
      <c r="A731"/>
      <c r="B731"/>
      <c r="C731"/>
      <c r="D731"/>
      <c r="E731"/>
      <c r="F731"/>
      <c r="G731"/>
      <c r="H731"/>
    </row>
    <row r="732" spans="1:8" s="140" customFormat="1" ht="15" customHeight="1" x14ac:dyDescent="0.25">
      <c r="A732"/>
      <c r="B732"/>
      <c r="C732"/>
      <c r="D732"/>
      <c r="E732"/>
      <c r="F732"/>
      <c r="G732"/>
      <c r="H732"/>
    </row>
    <row r="733" spans="1:8" s="140" customFormat="1" ht="15" customHeight="1" x14ac:dyDescent="0.25">
      <c r="A733"/>
      <c r="B733"/>
      <c r="C733"/>
      <c r="D733"/>
      <c r="E733"/>
      <c r="F733"/>
      <c r="G733"/>
      <c r="H733"/>
    </row>
    <row r="734" spans="1:8" s="140" customFormat="1" ht="15" customHeight="1" x14ac:dyDescent="0.25">
      <c r="A734"/>
      <c r="B734"/>
      <c r="C734"/>
      <c r="D734"/>
      <c r="E734"/>
      <c r="F734"/>
      <c r="G734"/>
      <c r="H734"/>
    </row>
    <row r="735" spans="1:8" s="140" customFormat="1" ht="15" customHeight="1" x14ac:dyDescent="0.25">
      <c r="A735"/>
      <c r="B735"/>
      <c r="C735"/>
      <c r="D735"/>
      <c r="E735"/>
      <c r="F735"/>
      <c r="G735"/>
      <c r="H735"/>
    </row>
    <row r="736" spans="1:8" s="140" customFormat="1" ht="15" customHeight="1" x14ac:dyDescent="0.25">
      <c r="A736"/>
      <c r="B736"/>
      <c r="C736"/>
      <c r="D736"/>
      <c r="E736"/>
      <c r="F736"/>
      <c r="G736"/>
      <c r="H736"/>
    </row>
    <row r="737" spans="1:8" s="140" customFormat="1" ht="15" customHeight="1" x14ac:dyDescent="0.25">
      <c r="A737"/>
      <c r="B737"/>
      <c r="C737"/>
      <c r="D737"/>
      <c r="E737"/>
      <c r="F737"/>
      <c r="G737"/>
      <c r="H737"/>
    </row>
    <row r="738" spans="1:8" s="140" customFormat="1" ht="15" customHeight="1" x14ac:dyDescent="0.25">
      <c r="A738"/>
      <c r="B738"/>
      <c r="C738"/>
      <c r="D738"/>
      <c r="E738"/>
      <c r="F738"/>
      <c r="G738"/>
      <c r="H738"/>
    </row>
    <row r="739" spans="1:8" s="140" customFormat="1" ht="15" customHeight="1" x14ac:dyDescent="0.25">
      <c r="A739"/>
      <c r="B739"/>
      <c r="C739"/>
      <c r="D739"/>
      <c r="E739"/>
      <c r="F739"/>
      <c r="G739"/>
      <c r="H739"/>
    </row>
    <row r="740" spans="1:8" s="140" customFormat="1" ht="15" customHeight="1" x14ac:dyDescent="0.25">
      <c r="A740"/>
      <c r="B740"/>
      <c r="C740"/>
      <c r="D740"/>
      <c r="E740"/>
      <c r="F740"/>
      <c r="G740"/>
      <c r="H740"/>
    </row>
    <row r="741" spans="1:8" s="140" customFormat="1" ht="15" customHeight="1" x14ac:dyDescent="0.25">
      <c r="A741"/>
      <c r="B741"/>
      <c r="C741"/>
      <c r="D741"/>
      <c r="E741"/>
      <c r="F741"/>
      <c r="G741"/>
      <c r="H741"/>
    </row>
    <row r="742" spans="1:8" s="140" customFormat="1" ht="15" customHeight="1" x14ac:dyDescent="0.25">
      <c r="A742"/>
      <c r="B742"/>
      <c r="C742"/>
      <c r="D742"/>
      <c r="E742"/>
      <c r="F742"/>
      <c r="G742"/>
      <c r="H742"/>
    </row>
    <row r="743" spans="1:8" s="140" customFormat="1" ht="15" customHeight="1" x14ac:dyDescent="0.25">
      <c r="A743"/>
      <c r="B743"/>
      <c r="C743"/>
      <c r="D743"/>
      <c r="E743"/>
      <c r="F743"/>
      <c r="G743"/>
      <c r="H743"/>
    </row>
    <row r="744" spans="1:8" s="140" customFormat="1" ht="15" customHeight="1" x14ac:dyDescent="0.25">
      <c r="A744"/>
      <c r="B744"/>
      <c r="C744"/>
      <c r="D744"/>
      <c r="E744"/>
      <c r="F744"/>
      <c r="G744"/>
      <c r="H744"/>
    </row>
    <row r="745" spans="1:8" s="140" customFormat="1" ht="15" customHeight="1" x14ac:dyDescent="0.25">
      <c r="A745"/>
      <c r="B745"/>
      <c r="C745"/>
      <c r="D745"/>
      <c r="E745"/>
      <c r="F745"/>
      <c r="G745"/>
      <c r="H745"/>
    </row>
    <row r="746" spans="1:8" s="140" customFormat="1" ht="15" customHeight="1" x14ac:dyDescent="0.25">
      <c r="A746"/>
      <c r="B746"/>
      <c r="C746"/>
      <c r="D746"/>
      <c r="E746"/>
      <c r="F746"/>
      <c r="G746"/>
      <c r="H746"/>
    </row>
    <row r="747" spans="1:8" s="140" customFormat="1" ht="15" customHeight="1" x14ac:dyDescent="0.25">
      <c r="A747"/>
      <c r="B747"/>
      <c r="C747"/>
      <c r="D747"/>
      <c r="E747"/>
      <c r="F747"/>
      <c r="G747"/>
      <c r="H747"/>
    </row>
    <row r="748" spans="1:8" s="140" customFormat="1" ht="15" customHeight="1" x14ac:dyDescent="0.25">
      <c r="A748"/>
      <c r="B748"/>
      <c r="C748"/>
      <c r="D748"/>
      <c r="E748"/>
      <c r="F748"/>
      <c r="G748"/>
      <c r="H748"/>
    </row>
    <row r="749" spans="1:8" s="140" customFormat="1" ht="15" customHeight="1" x14ac:dyDescent="0.25">
      <c r="A749"/>
      <c r="B749"/>
      <c r="C749"/>
      <c r="D749"/>
      <c r="E749"/>
      <c r="F749"/>
      <c r="G749"/>
      <c r="H749"/>
    </row>
    <row r="750" spans="1:8" s="140" customFormat="1" ht="15" customHeight="1" x14ac:dyDescent="0.25">
      <c r="A750"/>
      <c r="B750"/>
      <c r="C750"/>
      <c r="D750"/>
      <c r="E750"/>
      <c r="F750"/>
      <c r="G750"/>
      <c r="H750"/>
    </row>
    <row r="751" spans="1:8" s="140" customFormat="1" ht="15" customHeight="1" x14ac:dyDescent="0.25">
      <c r="A751"/>
      <c r="B751"/>
      <c r="C751"/>
      <c r="D751"/>
      <c r="E751"/>
      <c r="F751"/>
      <c r="G751"/>
      <c r="H751"/>
    </row>
    <row r="752" spans="1:8" s="140" customFormat="1" ht="15" customHeight="1" x14ac:dyDescent="0.25">
      <c r="A752"/>
      <c r="B752"/>
      <c r="C752"/>
      <c r="D752"/>
      <c r="E752"/>
      <c r="F752"/>
      <c r="G752"/>
      <c r="H752"/>
    </row>
    <row r="753" spans="1:8" s="140" customFormat="1" ht="15" customHeight="1" x14ac:dyDescent="0.25">
      <c r="A753"/>
      <c r="B753"/>
      <c r="C753"/>
      <c r="D753"/>
      <c r="E753"/>
      <c r="F753"/>
      <c r="G753"/>
      <c r="H753"/>
    </row>
    <row r="754" spans="1:8" s="140" customFormat="1" ht="15" customHeight="1" x14ac:dyDescent="0.25">
      <c r="A754"/>
      <c r="B754"/>
      <c r="C754"/>
      <c r="D754"/>
      <c r="E754"/>
      <c r="F754"/>
      <c r="G754"/>
      <c r="H754"/>
    </row>
    <row r="755" spans="1:8" s="140" customFormat="1" ht="15" customHeight="1" x14ac:dyDescent="0.25">
      <c r="A755"/>
      <c r="B755"/>
      <c r="C755"/>
      <c r="D755"/>
      <c r="E755"/>
      <c r="F755"/>
      <c r="G755"/>
      <c r="H755"/>
    </row>
    <row r="756" spans="1:8" s="140" customFormat="1" ht="15" customHeight="1" x14ac:dyDescent="0.25">
      <c r="A756"/>
      <c r="B756"/>
      <c r="C756"/>
      <c r="D756"/>
      <c r="E756"/>
      <c r="F756"/>
      <c r="G756"/>
      <c r="H756"/>
    </row>
    <row r="757" spans="1:8" s="140" customFormat="1" ht="15" customHeight="1" x14ac:dyDescent="0.25">
      <c r="A757"/>
      <c r="B757"/>
      <c r="C757"/>
      <c r="D757"/>
      <c r="E757"/>
      <c r="F757"/>
      <c r="G757"/>
      <c r="H757"/>
    </row>
    <row r="758" spans="1:8" s="140" customFormat="1" ht="15" customHeight="1" x14ac:dyDescent="0.25">
      <c r="A758"/>
      <c r="B758"/>
      <c r="C758"/>
      <c r="D758"/>
      <c r="E758"/>
      <c r="F758"/>
      <c r="G758"/>
      <c r="H758"/>
    </row>
    <row r="759" spans="1:8" s="140" customFormat="1" ht="15" customHeight="1" x14ac:dyDescent="0.25">
      <c r="A759"/>
      <c r="B759"/>
      <c r="C759"/>
      <c r="D759"/>
      <c r="E759"/>
      <c r="F759"/>
      <c r="G759"/>
      <c r="H759"/>
    </row>
    <row r="760" spans="1:8" s="140" customFormat="1" ht="15" customHeight="1" x14ac:dyDescent="0.25">
      <c r="A760"/>
      <c r="B760"/>
      <c r="C760"/>
      <c r="D760"/>
      <c r="E760"/>
      <c r="F760"/>
      <c r="G760"/>
      <c r="H760"/>
    </row>
    <row r="761" spans="1:8" s="140" customFormat="1" ht="15" customHeight="1" x14ac:dyDescent="0.25">
      <c r="A761"/>
      <c r="B761"/>
      <c r="C761"/>
      <c r="D761"/>
      <c r="E761"/>
      <c r="F761"/>
      <c r="G761"/>
      <c r="H761"/>
    </row>
    <row r="762" spans="1:8" s="140" customFormat="1" ht="15" customHeight="1" x14ac:dyDescent="0.25">
      <c r="A762"/>
      <c r="B762"/>
      <c r="C762"/>
      <c r="D762"/>
      <c r="E762"/>
      <c r="F762"/>
      <c r="G762"/>
      <c r="H762"/>
    </row>
    <row r="763" spans="1:8" s="140" customFormat="1" ht="15" customHeight="1" x14ac:dyDescent="0.25">
      <c r="A763"/>
      <c r="B763"/>
      <c r="C763"/>
      <c r="D763"/>
      <c r="E763"/>
      <c r="F763"/>
      <c r="G763"/>
      <c r="H763"/>
    </row>
    <row r="764" spans="1:8" s="140" customFormat="1" ht="15" customHeight="1" x14ac:dyDescent="0.25">
      <c r="A764"/>
      <c r="B764"/>
      <c r="C764"/>
      <c r="D764"/>
      <c r="E764"/>
      <c r="F764"/>
      <c r="G764"/>
      <c r="H764"/>
    </row>
    <row r="765" spans="1:8" s="140" customFormat="1" ht="15" customHeight="1" x14ac:dyDescent="0.25">
      <c r="A765"/>
      <c r="B765"/>
      <c r="C765"/>
      <c r="D765"/>
      <c r="E765"/>
      <c r="F765"/>
      <c r="G765"/>
      <c r="H765"/>
    </row>
    <row r="766" spans="1:8" s="140" customFormat="1" ht="15" customHeight="1" x14ac:dyDescent="0.25">
      <c r="A766"/>
      <c r="B766"/>
      <c r="C766"/>
      <c r="D766"/>
      <c r="E766"/>
      <c r="F766"/>
      <c r="G766"/>
      <c r="H766"/>
    </row>
    <row r="767" spans="1:8" s="140" customFormat="1" ht="15" customHeight="1" x14ac:dyDescent="0.25">
      <c r="A767"/>
      <c r="B767"/>
      <c r="C767"/>
      <c r="D767"/>
      <c r="E767"/>
      <c r="F767"/>
      <c r="G767"/>
      <c r="H767"/>
    </row>
    <row r="768" spans="1:8" ht="15" customHeight="1" x14ac:dyDescent="0.25"/>
    <row r="769" spans="1:8" ht="15" customHeight="1" x14ac:dyDescent="0.25"/>
    <row r="770" spans="1:8" ht="15" customHeight="1" x14ac:dyDescent="0.25"/>
    <row r="771" spans="1:8" ht="15" customHeight="1" x14ac:dyDescent="0.25"/>
    <row r="772" spans="1:8" ht="15" customHeight="1" x14ac:dyDescent="0.25"/>
    <row r="773" spans="1:8" ht="15" customHeight="1" x14ac:dyDescent="0.25"/>
    <row r="774" spans="1:8" ht="15" customHeight="1" x14ac:dyDescent="0.25"/>
    <row r="775" spans="1:8" ht="15" customHeight="1" x14ac:dyDescent="0.25"/>
    <row r="776" spans="1:8" ht="15" customHeight="1" x14ac:dyDescent="0.25"/>
    <row r="777" spans="1:8" ht="15" customHeight="1" x14ac:dyDescent="0.25"/>
    <row r="778" spans="1:8" s="140" customFormat="1" ht="40.5" customHeight="1" x14ac:dyDescent="0.25">
      <c r="A778"/>
      <c r="B778"/>
      <c r="C778"/>
      <c r="D778"/>
      <c r="E778"/>
      <c r="F778"/>
      <c r="G778"/>
      <c r="H778"/>
    </row>
    <row r="779" spans="1:8" s="140" customFormat="1" ht="34.5" customHeight="1" x14ac:dyDescent="0.25">
      <c r="A779"/>
      <c r="B779"/>
      <c r="C779"/>
      <c r="D779"/>
      <c r="E779"/>
      <c r="F779"/>
      <c r="G779"/>
      <c r="H779"/>
    </row>
    <row r="780" spans="1:8" s="140" customFormat="1" x14ac:dyDescent="0.25">
      <c r="A780"/>
      <c r="B780"/>
      <c r="C780"/>
      <c r="D780"/>
      <c r="E780"/>
      <c r="F780"/>
      <c r="G780"/>
      <c r="H780"/>
    </row>
    <row r="781" spans="1:8" s="140" customFormat="1" x14ac:dyDescent="0.25">
      <c r="A781"/>
      <c r="B781"/>
      <c r="C781"/>
      <c r="D781"/>
      <c r="E781"/>
      <c r="F781"/>
      <c r="G781"/>
      <c r="H781"/>
    </row>
    <row r="782" spans="1:8" s="140" customFormat="1" ht="15" customHeight="1" x14ac:dyDescent="0.25">
      <c r="A782"/>
      <c r="B782"/>
      <c r="C782"/>
      <c r="D782"/>
      <c r="E782"/>
      <c r="F782"/>
      <c r="G782"/>
      <c r="H782"/>
    </row>
    <row r="783" spans="1:8" s="140" customFormat="1" x14ac:dyDescent="0.25">
      <c r="A783"/>
      <c r="B783"/>
      <c r="C783"/>
      <c r="D783"/>
      <c r="E783"/>
      <c r="F783"/>
      <c r="G783"/>
      <c r="H783"/>
    </row>
    <row r="784" spans="1:8" s="140" customFormat="1" ht="15" customHeight="1" x14ac:dyDescent="0.25">
      <c r="A784"/>
      <c r="B784"/>
      <c r="C784"/>
      <c r="D784"/>
      <c r="E784"/>
      <c r="F784"/>
      <c r="G784"/>
      <c r="H784"/>
    </row>
    <row r="785" spans="1:8" s="140" customFormat="1" x14ac:dyDescent="0.25">
      <c r="A785"/>
      <c r="B785"/>
      <c r="C785"/>
      <c r="D785"/>
      <c r="E785"/>
      <c r="F785"/>
      <c r="G785"/>
      <c r="H785"/>
    </row>
    <row r="786" spans="1:8" s="140" customFormat="1" ht="15" customHeight="1" x14ac:dyDescent="0.25">
      <c r="A786"/>
      <c r="B786"/>
      <c r="C786"/>
      <c r="D786"/>
      <c r="E786"/>
      <c r="F786"/>
      <c r="G786"/>
      <c r="H786"/>
    </row>
    <row r="787" spans="1:8" s="140" customFormat="1" ht="15" customHeight="1" x14ac:dyDescent="0.25">
      <c r="A787"/>
      <c r="B787"/>
      <c r="C787"/>
      <c r="D787"/>
      <c r="E787"/>
      <c r="F787"/>
      <c r="G787"/>
      <c r="H787"/>
    </row>
    <row r="788" spans="1:8" s="140" customFormat="1" x14ac:dyDescent="0.25">
      <c r="A788"/>
      <c r="B788"/>
      <c r="C788"/>
      <c r="D788"/>
      <c r="E788"/>
      <c r="F788"/>
      <c r="G788"/>
      <c r="H788"/>
    </row>
    <row r="789" spans="1:8" s="140" customFormat="1" ht="15" customHeight="1" x14ac:dyDescent="0.25">
      <c r="A789"/>
      <c r="B789"/>
      <c r="C789"/>
      <c r="D789"/>
      <c r="E789"/>
      <c r="F789"/>
      <c r="G789"/>
      <c r="H789"/>
    </row>
    <row r="790" spans="1:8" s="140" customFormat="1" ht="15" customHeight="1" x14ac:dyDescent="0.25">
      <c r="A790"/>
      <c r="B790"/>
      <c r="C790"/>
      <c r="D790"/>
      <c r="E790"/>
      <c r="F790"/>
      <c r="G790"/>
      <c r="H790"/>
    </row>
    <row r="791" spans="1:8" s="140" customFormat="1" ht="15" customHeight="1" x14ac:dyDescent="0.25">
      <c r="A791"/>
      <c r="B791"/>
      <c r="C791"/>
      <c r="D791"/>
      <c r="E791"/>
      <c r="F791"/>
      <c r="G791"/>
      <c r="H791"/>
    </row>
    <row r="792" spans="1:8" s="140" customFormat="1" ht="15" customHeight="1" x14ac:dyDescent="0.25">
      <c r="A792"/>
      <c r="B792"/>
      <c r="C792"/>
      <c r="D792"/>
      <c r="E792"/>
      <c r="F792"/>
      <c r="G792"/>
      <c r="H792"/>
    </row>
    <row r="793" spans="1:8" s="140" customFormat="1" ht="15" customHeight="1" x14ac:dyDescent="0.25">
      <c r="A793"/>
      <c r="B793"/>
      <c r="C793"/>
      <c r="D793"/>
      <c r="E793"/>
      <c r="F793"/>
      <c r="G793"/>
      <c r="H793"/>
    </row>
    <row r="794" spans="1:8" s="140" customFormat="1" ht="15" customHeight="1" x14ac:dyDescent="0.25">
      <c r="A794"/>
      <c r="B794"/>
      <c r="C794"/>
      <c r="D794"/>
      <c r="E794"/>
      <c r="F794"/>
      <c r="G794"/>
      <c r="H794"/>
    </row>
    <row r="795" spans="1:8" s="140" customFormat="1" ht="15" customHeight="1" x14ac:dyDescent="0.25">
      <c r="A795"/>
      <c r="B795"/>
      <c r="C795"/>
      <c r="D795"/>
      <c r="E795"/>
      <c r="F795"/>
      <c r="G795"/>
      <c r="H795"/>
    </row>
    <row r="796" spans="1:8" s="140" customFormat="1" ht="15" customHeight="1" x14ac:dyDescent="0.25">
      <c r="A796"/>
      <c r="B796"/>
      <c r="C796"/>
      <c r="D796"/>
      <c r="E796"/>
      <c r="F796"/>
      <c r="G796"/>
      <c r="H796"/>
    </row>
    <row r="797" spans="1:8" s="140" customFormat="1" ht="15" customHeight="1" x14ac:dyDescent="0.25">
      <c r="A797"/>
      <c r="B797"/>
      <c r="C797"/>
      <c r="D797"/>
      <c r="E797"/>
      <c r="F797"/>
      <c r="G797"/>
      <c r="H797"/>
    </row>
    <row r="798" spans="1:8" s="140" customFormat="1" ht="15" customHeight="1" x14ac:dyDescent="0.25">
      <c r="A798"/>
      <c r="B798"/>
      <c r="C798"/>
      <c r="D798"/>
      <c r="E798"/>
      <c r="F798"/>
      <c r="G798"/>
      <c r="H798"/>
    </row>
    <row r="799" spans="1:8" s="140" customFormat="1" ht="15" customHeight="1" x14ac:dyDescent="0.25">
      <c r="A799"/>
      <c r="B799"/>
      <c r="C799"/>
      <c r="D799"/>
      <c r="E799"/>
      <c r="F799"/>
      <c r="G799"/>
      <c r="H799"/>
    </row>
    <row r="800" spans="1:8" s="140" customFormat="1" ht="15" customHeight="1" x14ac:dyDescent="0.25">
      <c r="A800"/>
      <c r="B800"/>
      <c r="C800"/>
      <c r="D800"/>
      <c r="E800"/>
      <c r="F800"/>
      <c r="G800"/>
      <c r="H800"/>
    </row>
    <row r="801" spans="1:8" s="140" customFormat="1" ht="15" customHeight="1" x14ac:dyDescent="0.25">
      <c r="A801"/>
      <c r="B801"/>
      <c r="C801"/>
      <c r="D801"/>
      <c r="E801"/>
      <c r="F801"/>
      <c r="G801"/>
      <c r="H801"/>
    </row>
    <row r="802" spans="1:8" s="140" customFormat="1" ht="15" customHeight="1" x14ac:dyDescent="0.25">
      <c r="A802"/>
      <c r="B802"/>
      <c r="C802"/>
      <c r="D802"/>
      <c r="E802"/>
      <c r="F802"/>
      <c r="G802"/>
      <c r="H802"/>
    </row>
    <row r="803" spans="1:8" s="140" customFormat="1" ht="15" customHeight="1" x14ac:dyDescent="0.25">
      <c r="A803"/>
      <c r="B803"/>
      <c r="C803"/>
      <c r="D803"/>
      <c r="E803"/>
      <c r="F803"/>
      <c r="G803"/>
      <c r="H803"/>
    </row>
    <row r="804" spans="1:8" s="140" customFormat="1" ht="15" customHeight="1" x14ac:dyDescent="0.25">
      <c r="A804"/>
      <c r="B804"/>
      <c r="C804"/>
      <c r="D804"/>
      <c r="E804"/>
      <c r="F804"/>
      <c r="G804"/>
      <c r="H804"/>
    </row>
    <row r="805" spans="1:8" s="140" customFormat="1" ht="15" customHeight="1" x14ac:dyDescent="0.25">
      <c r="A805"/>
      <c r="B805"/>
      <c r="C805"/>
      <c r="D805"/>
      <c r="E805"/>
      <c r="F805"/>
      <c r="G805"/>
      <c r="H805"/>
    </row>
    <row r="806" spans="1:8" s="140" customFormat="1" ht="15" customHeight="1" x14ac:dyDescent="0.25">
      <c r="A806"/>
      <c r="B806"/>
      <c r="C806"/>
      <c r="D806"/>
      <c r="E806"/>
      <c r="F806"/>
      <c r="G806"/>
      <c r="H806"/>
    </row>
    <row r="807" spans="1:8" s="140" customFormat="1" ht="15" customHeight="1" x14ac:dyDescent="0.25">
      <c r="A807"/>
      <c r="B807"/>
      <c r="C807"/>
      <c r="D807"/>
      <c r="E807"/>
      <c r="F807"/>
      <c r="G807"/>
      <c r="H807"/>
    </row>
    <row r="808" spans="1:8" s="140" customFormat="1" ht="15" customHeight="1" x14ac:dyDescent="0.25">
      <c r="A808"/>
      <c r="B808"/>
      <c r="C808"/>
      <c r="D808"/>
      <c r="E808"/>
      <c r="F808"/>
      <c r="G808"/>
      <c r="H808"/>
    </row>
    <row r="809" spans="1:8" s="140" customFormat="1" ht="15" customHeight="1" x14ac:dyDescent="0.25">
      <c r="A809"/>
      <c r="B809"/>
      <c r="C809"/>
      <c r="D809"/>
      <c r="E809"/>
      <c r="F809"/>
      <c r="G809"/>
      <c r="H809"/>
    </row>
    <row r="810" spans="1:8" s="140" customFormat="1" ht="15" customHeight="1" x14ac:dyDescent="0.25">
      <c r="A810"/>
      <c r="B810"/>
      <c r="C810"/>
      <c r="D810"/>
      <c r="E810"/>
      <c r="F810"/>
      <c r="G810"/>
      <c r="H810"/>
    </row>
    <row r="811" spans="1:8" s="140" customFormat="1" ht="15" customHeight="1" x14ac:dyDescent="0.25">
      <c r="A811"/>
      <c r="B811"/>
      <c r="C811"/>
      <c r="D811"/>
      <c r="E811"/>
      <c r="F811"/>
      <c r="G811"/>
      <c r="H811"/>
    </row>
    <row r="812" spans="1:8" s="140" customFormat="1" ht="15" customHeight="1" x14ac:dyDescent="0.25">
      <c r="A812"/>
      <c r="B812"/>
      <c r="C812"/>
      <c r="D812"/>
      <c r="E812"/>
      <c r="F812"/>
      <c r="G812"/>
      <c r="H812"/>
    </row>
    <row r="813" spans="1:8" s="140" customFormat="1" ht="15" customHeight="1" x14ac:dyDescent="0.25">
      <c r="A813"/>
      <c r="B813"/>
      <c r="C813"/>
      <c r="D813"/>
      <c r="E813"/>
      <c r="F813"/>
      <c r="G813"/>
      <c r="H813"/>
    </row>
    <row r="814" spans="1:8" s="140" customFormat="1" ht="15" customHeight="1" x14ac:dyDescent="0.25">
      <c r="A814"/>
      <c r="B814"/>
      <c r="C814"/>
      <c r="D814"/>
      <c r="E814"/>
      <c r="F814"/>
      <c r="G814"/>
      <c r="H814"/>
    </row>
    <row r="815" spans="1:8" s="140" customFormat="1" ht="15" customHeight="1" x14ac:dyDescent="0.25">
      <c r="A815"/>
      <c r="B815"/>
      <c r="C815"/>
      <c r="D815"/>
      <c r="E815"/>
      <c r="F815"/>
      <c r="G815"/>
      <c r="H815"/>
    </row>
    <row r="816" spans="1:8" s="140" customFormat="1" ht="15" customHeight="1" x14ac:dyDescent="0.25">
      <c r="A816"/>
      <c r="B816"/>
      <c r="C816"/>
      <c r="D816"/>
      <c r="E816"/>
      <c r="F816"/>
      <c r="G816"/>
      <c r="H816"/>
    </row>
    <row r="817" spans="1:8" s="140" customFormat="1" ht="15" customHeight="1" x14ac:dyDescent="0.25">
      <c r="A817"/>
      <c r="B817"/>
      <c r="C817"/>
      <c r="D817"/>
      <c r="E817"/>
      <c r="F817"/>
      <c r="G817"/>
      <c r="H817"/>
    </row>
    <row r="818" spans="1:8" s="140" customFormat="1" ht="15" customHeight="1" x14ac:dyDescent="0.25">
      <c r="A818"/>
      <c r="B818"/>
      <c r="C818"/>
      <c r="D818"/>
      <c r="E818"/>
      <c r="F818"/>
      <c r="G818"/>
      <c r="H818"/>
    </row>
    <row r="819" spans="1:8" s="140" customFormat="1" ht="15" customHeight="1" x14ac:dyDescent="0.25">
      <c r="A819"/>
      <c r="B819"/>
      <c r="C819"/>
      <c r="D819"/>
      <c r="E819"/>
      <c r="F819"/>
      <c r="G819"/>
      <c r="H819"/>
    </row>
    <row r="820" spans="1:8" s="140" customFormat="1" ht="15" customHeight="1" x14ac:dyDescent="0.25">
      <c r="A820"/>
      <c r="B820"/>
      <c r="C820"/>
      <c r="D820"/>
      <c r="E820"/>
      <c r="F820"/>
      <c r="G820"/>
      <c r="H820"/>
    </row>
    <row r="821" spans="1:8" s="140" customFormat="1" ht="15" customHeight="1" x14ac:dyDescent="0.25">
      <c r="A821"/>
      <c r="B821"/>
      <c r="C821"/>
      <c r="D821"/>
      <c r="E821"/>
      <c r="F821"/>
      <c r="G821"/>
      <c r="H821"/>
    </row>
    <row r="822" spans="1:8" s="140" customFormat="1" ht="15" customHeight="1" x14ac:dyDescent="0.25">
      <c r="A822"/>
      <c r="B822"/>
      <c r="C822"/>
      <c r="D822"/>
      <c r="E822"/>
      <c r="F822"/>
      <c r="G822"/>
      <c r="H822"/>
    </row>
    <row r="823" spans="1:8" s="140" customFormat="1" ht="15" customHeight="1" x14ac:dyDescent="0.25">
      <c r="A823"/>
      <c r="B823"/>
      <c r="C823"/>
      <c r="D823"/>
      <c r="E823"/>
      <c r="F823"/>
      <c r="G823"/>
      <c r="H823"/>
    </row>
    <row r="824" spans="1:8" s="140" customFormat="1" ht="15" customHeight="1" x14ac:dyDescent="0.25">
      <c r="A824"/>
      <c r="B824"/>
      <c r="C824"/>
      <c r="D824"/>
      <c r="E824"/>
      <c r="F824"/>
      <c r="G824"/>
      <c r="H824"/>
    </row>
    <row r="825" spans="1:8" s="140" customFormat="1" ht="15" customHeight="1" x14ac:dyDescent="0.25">
      <c r="A825"/>
      <c r="B825"/>
      <c r="C825"/>
      <c r="D825"/>
      <c r="E825"/>
      <c r="F825"/>
      <c r="G825"/>
      <c r="H825"/>
    </row>
    <row r="826" spans="1:8" s="140" customFormat="1" ht="15" customHeight="1" x14ac:dyDescent="0.25">
      <c r="A826"/>
      <c r="B826"/>
      <c r="C826"/>
      <c r="D826"/>
      <c r="E826"/>
      <c r="F826"/>
      <c r="G826"/>
      <c r="H826"/>
    </row>
    <row r="827" spans="1:8" s="140" customFormat="1" ht="15" customHeight="1" x14ac:dyDescent="0.25">
      <c r="A827"/>
      <c r="B827"/>
      <c r="C827"/>
      <c r="D827"/>
      <c r="E827"/>
      <c r="F827"/>
      <c r="G827"/>
      <c r="H827"/>
    </row>
    <row r="828" spans="1:8" s="140" customFormat="1" ht="15" customHeight="1" x14ac:dyDescent="0.25">
      <c r="A828"/>
      <c r="B828"/>
      <c r="C828"/>
      <c r="D828"/>
      <c r="E828"/>
      <c r="F828"/>
      <c r="G828"/>
      <c r="H828"/>
    </row>
    <row r="829" spans="1:8" s="140" customFormat="1" ht="15" customHeight="1" x14ac:dyDescent="0.25">
      <c r="A829"/>
      <c r="B829"/>
      <c r="C829"/>
      <c r="D829"/>
      <c r="E829"/>
      <c r="F829"/>
      <c r="G829"/>
      <c r="H829"/>
    </row>
    <row r="830" spans="1:8" s="140" customFormat="1" ht="15" customHeight="1" x14ac:dyDescent="0.25">
      <c r="A830"/>
      <c r="B830"/>
      <c r="C830"/>
      <c r="D830"/>
      <c r="E830"/>
      <c r="F830"/>
      <c r="G830"/>
      <c r="H830"/>
    </row>
    <row r="831" spans="1:8" s="140" customFormat="1" ht="15" customHeight="1" x14ac:dyDescent="0.25">
      <c r="A831"/>
      <c r="B831"/>
      <c r="C831"/>
      <c r="D831"/>
      <c r="E831"/>
      <c r="F831"/>
      <c r="G831"/>
      <c r="H831"/>
    </row>
    <row r="832" spans="1:8" s="140" customFormat="1" ht="15" customHeight="1" x14ac:dyDescent="0.25">
      <c r="A832"/>
      <c r="B832"/>
      <c r="C832"/>
      <c r="D832"/>
      <c r="E832"/>
      <c r="F832"/>
      <c r="G832"/>
      <c r="H832"/>
    </row>
    <row r="833" spans="1:8" s="140" customFormat="1" ht="15" customHeight="1" x14ac:dyDescent="0.25">
      <c r="A833"/>
      <c r="B833"/>
      <c r="C833"/>
      <c r="D833"/>
      <c r="E833"/>
      <c r="F833"/>
      <c r="G833"/>
      <c r="H833"/>
    </row>
    <row r="834" spans="1:8" s="140" customFormat="1" ht="15" customHeight="1" x14ac:dyDescent="0.25">
      <c r="A834"/>
      <c r="B834"/>
      <c r="C834"/>
      <c r="D834"/>
      <c r="E834"/>
      <c r="F834"/>
      <c r="G834"/>
      <c r="H834"/>
    </row>
    <row r="835" spans="1:8" s="140" customFormat="1" ht="15" customHeight="1" x14ac:dyDescent="0.25">
      <c r="A835"/>
      <c r="B835"/>
      <c r="C835"/>
      <c r="D835"/>
      <c r="E835"/>
      <c r="F835"/>
      <c r="G835"/>
      <c r="H835"/>
    </row>
    <row r="836" spans="1:8" s="140" customFormat="1" ht="15" customHeight="1" x14ac:dyDescent="0.25">
      <c r="A836"/>
      <c r="B836"/>
      <c r="C836"/>
      <c r="D836"/>
      <c r="E836"/>
      <c r="F836"/>
      <c r="G836"/>
      <c r="H836"/>
    </row>
    <row r="837" spans="1:8" s="140" customFormat="1" ht="15" customHeight="1" x14ac:dyDescent="0.25">
      <c r="A837"/>
      <c r="B837"/>
      <c r="C837"/>
      <c r="D837"/>
      <c r="E837"/>
      <c r="F837"/>
      <c r="G837"/>
      <c r="H837"/>
    </row>
    <row r="838" spans="1:8" s="140" customFormat="1" ht="15" customHeight="1" x14ac:dyDescent="0.25">
      <c r="A838"/>
      <c r="B838"/>
      <c r="C838"/>
      <c r="D838"/>
      <c r="E838"/>
      <c r="F838"/>
      <c r="G838"/>
      <c r="H838"/>
    </row>
    <row r="839" spans="1:8" s="140" customFormat="1" ht="15" customHeight="1" x14ac:dyDescent="0.25">
      <c r="A839"/>
      <c r="B839"/>
      <c r="C839"/>
      <c r="D839"/>
      <c r="E839"/>
      <c r="F839"/>
      <c r="G839"/>
      <c r="H839"/>
    </row>
    <row r="840" spans="1:8" ht="15" customHeight="1" x14ac:dyDescent="0.25"/>
    <row r="841" spans="1:8" ht="15" customHeight="1" x14ac:dyDescent="0.25"/>
    <row r="842" spans="1:8" ht="15" customHeight="1" x14ac:dyDescent="0.25"/>
    <row r="843" spans="1:8" ht="15" customHeight="1" x14ac:dyDescent="0.25"/>
    <row r="844" spans="1:8" ht="15" customHeight="1" x14ac:dyDescent="0.25"/>
    <row r="845" spans="1:8" ht="15" customHeight="1" x14ac:dyDescent="0.25"/>
    <row r="846" spans="1:8" ht="15" customHeight="1" x14ac:dyDescent="0.25"/>
    <row r="847" spans="1:8" ht="15" customHeight="1" x14ac:dyDescent="0.25"/>
    <row r="848" spans="1:8" ht="15" customHeight="1" x14ac:dyDescent="0.25"/>
    <row r="849" spans="1:8" ht="15" customHeight="1" x14ac:dyDescent="0.25"/>
    <row r="850" spans="1:8" ht="15" customHeight="1" x14ac:dyDescent="0.25"/>
    <row r="851" spans="1:8" ht="15" customHeight="1" x14ac:dyDescent="0.25"/>
    <row r="852" spans="1:8" ht="15" customHeight="1" x14ac:dyDescent="0.25"/>
    <row r="853" spans="1:8" ht="15" customHeight="1" x14ac:dyDescent="0.25"/>
    <row r="854" spans="1:8" ht="15" customHeight="1" x14ac:dyDescent="0.25"/>
    <row r="855" spans="1:8" ht="15" customHeight="1" x14ac:dyDescent="0.25"/>
    <row r="856" spans="1:8" ht="15" customHeight="1" x14ac:dyDescent="0.25"/>
    <row r="857" spans="1:8" ht="15" customHeight="1" x14ac:dyDescent="0.25"/>
    <row r="858" spans="1:8" s="140" customFormat="1" ht="15" customHeight="1" x14ac:dyDescent="0.25">
      <c r="A858"/>
      <c r="B858"/>
      <c r="C858"/>
      <c r="D858"/>
      <c r="E858"/>
      <c r="F858"/>
      <c r="G858"/>
      <c r="H858"/>
    </row>
    <row r="859" spans="1:8" s="140" customFormat="1" ht="15" customHeight="1" x14ac:dyDescent="0.25">
      <c r="A859"/>
      <c r="B859"/>
      <c r="C859"/>
      <c r="D859"/>
      <c r="E859"/>
      <c r="F859"/>
      <c r="G859"/>
      <c r="H859"/>
    </row>
    <row r="860" spans="1:8" s="140" customFormat="1" ht="15" customHeight="1" x14ac:dyDescent="0.25">
      <c r="A860"/>
      <c r="B860"/>
      <c r="C860"/>
      <c r="D860"/>
      <c r="E860"/>
      <c r="F860"/>
      <c r="G860"/>
      <c r="H860"/>
    </row>
    <row r="861" spans="1:8" s="140" customFormat="1" ht="15" customHeight="1" x14ac:dyDescent="0.25">
      <c r="A861"/>
      <c r="B861"/>
      <c r="C861"/>
      <c r="D861"/>
      <c r="E861"/>
      <c r="F861"/>
      <c r="G861"/>
      <c r="H861"/>
    </row>
    <row r="862" spans="1:8" s="140" customFormat="1" ht="15" customHeight="1" x14ac:dyDescent="0.25">
      <c r="A862"/>
      <c r="B862"/>
      <c r="C862"/>
      <c r="D862"/>
      <c r="E862"/>
      <c r="F862"/>
      <c r="G862"/>
      <c r="H862"/>
    </row>
    <row r="863" spans="1:8" s="140" customFormat="1" ht="15" customHeight="1" x14ac:dyDescent="0.25">
      <c r="A863"/>
      <c r="B863"/>
      <c r="C863"/>
      <c r="D863"/>
      <c r="E863"/>
      <c r="F863"/>
      <c r="G863"/>
      <c r="H863"/>
    </row>
    <row r="864" spans="1:8" s="140" customFormat="1" ht="15" customHeight="1" x14ac:dyDescent="0.25">
      <c r="A864"/>
      <c r="B864"/>
      <c r="C864"/>
      <c r="D864"/>
      <c r="E864"/>
      <c r="F864"/>
      <c r="G864"/>
      <c r="H864"/>
    </row>
    <row r="865" spans="1:8" s="140" customFormat="1" ht="15" customHeight="1" x14ac:dyDescent="0.25">
      <c r="A865"/>
      <c r="B865"/>
      <c r="C865"/>
      <c r="D865"/>
      <c r="E865"/>
      <c r="F865"/>
      <c r="G865"/>
      <c r="H865"/>
    </row>
    <row r="866" spans="1:8" s="140" customFormat="1" ht="15" customHeight="1" x14ac:dyDescent="0.25">
      <c r="A866"/>
      <c r="B866"/>
      <c r="C866"/>
      <c r="D866"/>
      <c r="E866"/>
      <c r="F866"/>
      <c r="G866"/>
      <c r="H866"/>
    </row>
    <row r="867" spans="1:8" s="140" customFormat="1" ht="15" customHeight="1" x14ac:dyDescent="0.25">
      <c r="A867"/>
      <c r="B867"/>
      <c r="C867"/>
      <c r="D867"/>
      <c r="E867"/>
      <c r="F867"/>
      <c r="G867"/>
      <c r="H867"/>
    </row>
    <row r="868" spans="1:8" s="140" customFormat="1" ht="15" customHeight="1" x14ac:dyDescent="0.25">
      <c r="A868"/>
      <c r="B868"/>
      <c r="C868"/>
      <c r="D868"/>
      <c r="E868"/>
      <c r="F868"/>
      <c r="G868"/>
      <c r="H868"/>
    </row>
    <row r="869" spans="1:8" s="140" customFormat="1" ht="15" customHeight="1" x14ac:dyDescent="0.25">
      <c r="A869"/>
      <c r="B869"/>
      <c r="C869"/>
      <c r="D869"/>
      <c r="E869"/>
      <c r="F869"/>
      <c r="G869"/>
      <c r="H869"/>
    </row>
    <row r="870" spans="1:8" s="140" customFormat="1" ht="15" customHeight="1" x14ac:dyDescent="0.25">
      <c r="A870"/>
      <c r="B870"/>
      <c r="C870"/>
      <c r="D870"/>
      <c r="E870"/>
      <c r="F870"/>
      <c r="G870"/>
      <c r="H870"/>
    </row>
    <row r="871" spans="1:8" s="140" customFormat="1" ht="15" customHeight="1" x14ac:dyDescent="0.25">
      <c r="A871"/>
      <c r="B871"/>
      <c r="C871"/>
      <c r="D871"/>
      <c r="E871"/>
      <c r="F871"/>
      <c r="G871"/>
      <c r="H871"/>
    </row>
    <row r="872" spans="1:8" s="140" customFormat="1" ht="15" customHeight="1" x14ac:dyDescent="0.25">
      <c r="A872"/>
      <c r="B872"/>
      <c r="C872"/>
      <c r="D872"/>
      <c r="E872"/>
      <c r="F872"/>
      <c r="G872"/>
      <c r="H872"/>
    </row>
    <row r="873" spans="1:8" s="140" customFormat="1" ht="15" customHeight="1" x14ac:dyDescent="0.25">
      <c r="A873"/>
      <c r="B873"/>
      <c r="C873"/>
      <c r="D873"/>
      <c r="E873"/>
      <c r="F873"/>
      <c r="G873"/>
      <c r="H873"/>
    </row>
    <row r="874" spans="1:8" s="140" customFormat="1" ht="15" customHeight="1" x14ac:dyDescent="0.25">
      <c r="A874"/>
      <c r="B874"/>
      <c r="C874"/>
      <c r="D874"/>
      <c r="E874"/>
      <c r="F874"/>
      <c r="G874"/>
      <c r="H874"/>
    </row>
    <row r="875" spans="1:8" s="140" customFormat="1" ht="15" customHeight="1" x14ac:dyDescent="0.25">
      <c r="A875"/>
      <c r="B875"/>
      <c r="C875"/>
      <c r="D875"/>
      <c r="E875"/>
      <c r="F875"/>
      <c r="G875"/>
      <c r="H875"/>
    </row>
    <row r="876" spans="1:8" s="140" customFormat="1" ht="15" customHeight="1" x14ac:dyDescent="0.25">
      <c r="A876"/>
      <c r="B876"/>
      <c r="C876"/>
      <c r="D876"/>
      <c r="E876"/>
      <c r="F876"/>
      <c r="G876"/>
      <c r="H876"/>
    </row>
    <row r="877" spans="1:8" s="140" customFormat="1" ht="15" customHeight="1" x14ac:dyDescent="0.25">
      <c r="A877"/>
      <c r="B877"/>
      <c r="C877"/>
      <c r="D877"/>
      <c r="E877"/>
      <c r="F877"/>
      <c r="G877"/>
      <c r="H877"/>
    </row>
    <row r="878" spans="1:8" s="140" customFormat="1" ht="15" customHeight="1" x14ac:dyDescent="0.25">
      <c r="A878"/>
      <c r="B878"/>
      <c r="C878"/>
      <c r="D878"/>
      <c r="E878"/>
      <c r="F878"/>
      <c r="G878"/>
      <c r="H878"/>
    </row>
    <row r="879" spans="1:8" s="140" customFormat="1" ht="15" customHeight="1" x14ac:dyDescent="0.25">
      <c r="A879"/>
      <c r="B879"/>
      <c r="C879"/>
      <c r="D879"/>
      <c r="E879"/>
      <c r="F879"/>
      <c r="G879"/>
      <c r="H879"/>
    </row>
    <row r="880" spans="1:8" ht="15" customHeight="1" x14ac:dyDescent="0.25"/>
    <row r="881" spans="1:8" ht="15" customHeight="1" x14ac:dyDescent="0.25"/>
    <row r="882" spans="1:8" s="140" customFormat="1" ht="40.5" customHeight="1" x14ac:dyDescent="0.25">
      <c r="A882"/>
      <c r="B882"/>
      <c r="C882"/>
      <c r="D882"/>
      <c r="E882"/>
      <c r="F882"/>
      <c r="G882"/>
      <c r="H882"/>
    </row>
    <row r="883" spans="1:8" s="140" customFormat="1" ht="34.5" customHeight="1" x14ac:dyDescent="0.25">
      <c r="A883"/>
      <c r="B883"/>
      <c r="C883"/>
      <c r="D883"/>
      <c r="E883"/>
      <c r="F883"/>
      <c r="G883"/>
      <c r="H883"/>
    </row>
    <row r="884" spans="1:8" s="140" customFormat="1" x14ac:dyDescent="0.25">
      <c r="A884"/>
      <c r="B884"/>
      <c r="C884"/>
      <c r="D884"/>
      <c r="E884"/>
      <c r="F884"/>
      <c r="G884"/>
      <c r="H884"/>
    </row>
    <row r="885" spans="1:8" s="140" customFormat="1" x14ac:dyDescent="0.25">
      <c r="A885"/>
      <c r="B885"/>
      <c r="C885"/>
      <c r="D885"/>
      <c r="E885"/>
      <c r="F885"/>
      <c r="G885"/>
      <c r="H885"/>
    </row>
    <row r="886" spans="1:8" s="140" customFormat="1" ht="15" customHeight="1" x14ac:dyDescent="0.25">
      <c r="A886"/>
      <c r="B886"/>
      <c r="C886"/>
      <c r="D886"/>
      <c r="E886"/>
      <c r="F886"/>
      <c r="G886"/>
      <c r="H886"/>
    </row>
    <row r="887" spans="1:8" s="140" customFormat="1" x14ac:dyDescent="0.25">
      <c r="A887"/>
      <c r="B887"/>
      <c r="C887"/>
      <c r="D887"/>
      <c r="E887"/>
      <c r="F887"/>
      <c r="G887"/>
      <c r="H887"/>
    </row>
    <row r="888" spans="1:8" s="140" customFormat="1" ht="15" customHeight="1" x14ac:dyDescent="0.25">
      <c r="A888"/>
      <c r="B888"/>
      <c r="C888"/>
      <c r="D888"/>
      <c r="E888"/>
      <c r="F888"/>
      <c r="G888"/>
      <c r="H888"/>
    </row>
    <row r="889" spans="1:8" s="140" customFormat="1" x14ac:dyDescent="0.25">
      <c r="A889"/>
      <c r="B889"/>
      <c r="C889"/>
      <c r="D889"/>
      <c r="E889"/>
      <c r="F889"/>
      <c r="G889"/>
      <c r="H889"/>
    </row>
    <row r="890" spans="1:8" s="140" customFormat="1" ht="15" customHeight="1" x14ac:dyDescent="0.25">
      <c r="A890"/>
      <c r="B890"/>
      <c r="C890"/>
      <c r="D890"/>
      <c r="E890"/>
      <c r="F890"/>
      <c r="G890"/>
      <c r="H890"/>
    </row>
    <row r="891" spans="1:8" s="140" customFormat="1" ht="15" customHeight="1" x14ac:dyDescent="0.25">
      <c r="A891"/>
      <c r="B891"/>
      <c r="C891"/>
      <c r="D891"/>
      <c r="E891"/>
      <c r="F891"/>
      <c r="G891"/>
      <c r="H891"/>
    </row>
    <row r="892" spans="1:8" s="140" customFormat="1" x14ac:dyDescent="0.25">
      <c r="A892"/>
      <c r="B892"/>
      <c r="C892"/>
      <c r="D892"/>
      <c r="E892"/>
      <c r="F892"/>
      <c r="G892"/>
      <c r="H892"/>
    </row>
    <row r="893" spans="1:8" s="140" customFormat="1" x14ac:dyDescent="0.25">
      <c r="A893"/>
      <c r="B893"/>
      <c r="C893"/>
      <c r="D893"/>
      <c r="E893"/>
      <c r="F893"/>
      <c r="G893"/>
      <c r="H893"/>
    </row>
    <row r="894" spans="1:8" s="140" customFormat="1" ht="15" customHeight="1" x14ac:dyDescent="0.25">
      <c r="A894"/>
      <c r="B894"/>
      <c r="C894"/>
      <c r="D894"/>
      <c r="E894"/>
      <c r="F894"/>
      <c r="G894"/>
      <c r="H894"/>
    </row>
    <row r="895" spans="1:8" s="140" customFormat="1" x14ac:dyDescent="0.25">
      <c r="A895"/>
      <c r="B895"/>
      <c r="C895"/>
      <c r="D895"/>
      <c r="E895"/>
      <c r="F895"/>
      <c r="G895"/>
      <c r="H895"/>
    </row>
    <row r="896" spans="1:8" s="140" customFormat="1" ht="15" customHeight="1" x14ac:dyDescent="0.25">
      <c r="A896"/>
      <c r="B896"/>
      <c r="C896"/>
      <c r="D896"/>
      <c r="E896"/>
      <c r="F896"/>
      <c r="G896"/>
      <c r="H896"/>
    </row>
    <row r="897" spans="1:8" s="140" customFormat="1" ht="15" customHeight="1" x14ac:dyDescent="0.25">
      <c r="A897"/>
      <c r="B897"/>
      <c r="C897"/>
      <c r="D897"/>
      <c r="E897"/>
      <c r="F897"/>
      <c r="G897"/>
      <c r="H897"/>
    </row>
    <row r="898" spans="1:8" s="140" customFormat="1" x14ac:dyDescent="0.25">
      <c r="A898"/>
      <c r="B898"/>
      <c r="C898"/>
      <c r="D898"/>
      <c r="E898"/>
      <c r="F898"/>
      <c r="G898"/>
      <c r="H898"/>
    </row>
    <row r="899" spans="1:8" s="140" customFormat="1" x14ac:dyDescent="0.25">
      <c r="A899"/>
      <c r="B899"/>
      <c r="C899"/>
      <c r="D899"/>
      <c r="E899"/>
      <c r="F899"/>
      <c r="G899"/>
      <c r="H899"/>
    </row>
    <row r="900" spans="1:8" s="140" customFormat="1" ht="15" customHeight="1" x14ac:dyDescent="0.25">
      <c r="A900"/>
      <c r="B900"/>
      <c r="C900"/>
      <c r="D900"/>
      <c r="E900"/>
      <c r="F900"/>
      <c r="G900"/>
      <c r="H900"/>
    </row>
    <row r="901" spans="1:8" s="140" customFormat="1" ht="15" customHeight="1" x14ac:dyDescent="0.25">
      <c r="A901"/>
      <c r="B901"/>
      <c r="C901"/>
      <c r="D901"/>
      <c r="E901"/>
      <c r="F901"/>
      <c r="G901"/>
      <c r="H901"/>
    </row>
    <row r="902" spans="1:8" s="140" customFormat="1" x14ac:dyDescent="0.25">
      <c r="A902"/>
      <c r="B902"/>
      <c r="C902"/>
      <c r="D902"/>
      <c r="E902"/>
      <c r="F902"/>
      <c r="G902"/>
      <c r="H902"/>
    </row>
    <row r="903" spans="1:8" s="140" customFormat="1" ht="15" customHeight="1" x14ac:dyDescent="0.25">
      <c r="A903"/>
      <c r="B903"/>
      <c r="C903"/>
      <c r="D903"/>
      <c r="E903"/>
      <c r="F903"/>
      <c r="G903"/>
      <c r="H903"/>
    </row>
    <row r="904" spans="1:8" s="140" customFormat="1" x14ac:dyDescent="0.25">
      <c r="A904"/>
      <c r="B904"/>
      <c r="C904"/>
      <c r="D904"/>
      <c r="E904"/>
      <c r="F904"/>
      <c r="G904"/>
      <c r="H904"/>
    </row>
    <row r="905" spans="1:8" s="140" customFormat="1" ht="15" customHeight="1" x14ac:dyDescent="0.25">
      <c r="A905"/>
      <c r="B905"/>
      <c r="C905"/>
      <c r="D905"/>
      <c r="E905"/>
      <c r="F905"/>
      <c r="G905"/>
      <c r="H905"/>
    </row>
    <row r="906" spans="1:8" s="140" customFormat="1" x14ac:dyDescent="0.25">
      <c r="A906"/>
      <c r="B906"/>
      <c r="C906"/>
      <c r="D906"/>
      <c r="E906"/>
      <c r="F906"/>
      <c r="G906"/>
      <c r="H906"/>
    </row>
    <row r="907" spans="1:8" s="140" customFormat="1" ht="15" customHeight="1" x14ac:dyDescent="0.25">
      <c r="A907"/>
      <c r="B907"/>
      <c r="C907"/>
      <c r="D907"/>
      <c r="E907"/>
      <c r="F907"/>
      <c r="G907"/>
      <c r="H907"/>
    </row>
    <row r="908" spans="1:8" s="140" customFormat="1" x14ac:dyDescent="0.25">
      <c r="A908"/>
      <c r="B908"/>
      <c r="C908"/>
      <c r="D908"/>
      <c r="E908"/>
      <c r="F908"/>
      <c r="G908"/>
      <c r="H908"/>
    </row>
    <row r="909" spans="1:8" ht="15" customHeight="1" x14ac:dyDescent="0.25"/>
    <row r="910" spans="1:8" ht="15" customHeight="1" x14ac:dyDescent="0.25"/>
    <row r="911" spans="1:8" ht="15" customHeight="1" x14ac:dyDescent="0.25"/>
    <row r="912" spans="1:8" ht="15" customHeight="1" x14ac:dyDescent="0.25"/>
    <row r="913" spans="1:8" s="140" customFormat="1" ht="40.5" customHeight="1" x14ac:dyDescent="0.25">
      <c r="A913"/>
      <c r="B913"/>
      <c r="C913"/>
      <c r="D913"/>
      <c r="E913"/>
      <c r="F913"/>
      <c r="G913"/>
      <c r="H913"/>
    </row>
    <row r="914" spans="1:8" s="140" customFormat="1" ht="34.5" customHeight="1" x14ac:dyDescent="0.25">
      <c r="A914"/>
      <c r="B914"/>
      <c r="C914"/>
      <c r="D914"/>
      <c r="E914"/>
      <c r="F914"/>
      <c r="G914"/>
      <c r="H914"/>
    </row>
    <row r="915" spans="1:8" s="140" customFormat="1" x14ac:dyDescent="0.25">
      <c r="A915"/>
      <c r="B915"/>
      <c r="C915"/>
      <c r="D915"/>
      <c r="E915"/>
      <c r="F915"/>
      <c r="G915"/>
      <c r="H915"/>
    </row>
    <row r="916" spans="1:8" s="140" customFormat="1" x14ac:dyDescent="0.25">
      <c r="A916"/>
      <c r="B916"/>
      <c r="C916"/>
      <c r="D916"/>
      <c r="E916"/>
      <c r="F916"/>
      <c r="G916"/>
      <c r="H916"/>
    </row>
    <row r="917" spans="1:8" s="140" customFormat="1" ht="15" customHeight="1" x14ac:dyDescent="0.25">
      <c r="A917"/>
      <c r="B917"/>
      <c r="C917"/>
      <c r="D917"/>
      <c r="E917"/>
      <c r="F917"/>
      <c r="G917"/>
      <c r="H917"/>
    </row>
    <row r="918" spans="1:8" s="140" customFormat="1" x14ac:dyDescent="0.25">
      <c r="A918"/>
      <c r="B918"/>
      <c r="C918"/>
      <c r="D918"/>
      <c r="E918"/>
      <c r="F918"/>
      <c r="G918"/>
      <c r="H918"/>
    </row>
    <row r="919" spans="1:8" s="140" customFormat="1" ht="15" customHeight="1" x14ac:dyDescent="0.25">
      <c r="A919"/>
      <c r="B919"/>
      <c r="C919"/>
      <c r="D919"/>
      <c r="E919"/>
      <c r="F919"/>
      <c r="G919"/>
      <c r="H919"/>
    </row>
    <row r="920" spans="1:8" s="140" customFormat="1" x14ac:dyDescent="0.25">
      <c r="A920"/>
      <c r="B920"/>
      <c r="C920"/>
      <c r="D920"/>
      <c r="E920"/>
      <c r="F920"/>
      <c r="G920"/>
      <c r="H920"/>
    </row>
    <row r="921" spans="1:8" s="140" customFormat="1" ht="15" customHeight="1" x14ac:dyDescent="0.25">
      <c r="A921"/>
      <c r="B921"/>
      <c r="C921"/>
      <c r="D921"/>
      <c r="E921"/>
      <c r="F921"/>
      <c r="G921"/>
      <c r="H921"/>
    </row>
    <row r="922" spans="1:8" s="140" customFormat="1" ht="15" customHeight="1" x14ac:dyDescent="0.25">
      <c r="A922"/>
      <c r="B922"/>
      <c r="C922"/>
      <c r="D922"/>
      <c r="E922"/>
      <c r="F922"/>
      <c r="G922"/>
      <c r="H922"/>
    </row>
    <row r="923" spans="1:8" s="140" customFormat="1" x14ac:dyDescent="0.25">
      <c r="A923"/>
      <c r="B923"/>
      <c r="C923"/>
      <c r="D923"/>
      <c r="E923"/>
      <c r="F923"/>
      <c r="G923"/>
      <c r="H923"/>
    </row>
    <row r="924" spans="1:8" s="140" customFormat="1" ht="15" customHeight="1" x14ac:dyDescent="0.25">
      <c r="A924"/>
      <c r="B924"/>
      <c r="C924"/>
      <c r="D924"/>
      <c r="E924"/>
      <c r="F924"/>
      <c r="G924"/>
      <c r="H924"/>
    </row>
    <row r="925" spans="1:8" s="140" customFormat="1" x14ac:dyDescent="0.25">
      <c r="A925"/>
      <c r="B925"/>
      <c r="C925"/>
      <c r="D925"/>
      <c r="E925"/>
      <c r="F925"/>
      <c r="G925"/>
      <c r="H925"/>
    </row>
    <row r="926" spans="1:8" s="140" customFormat="1" x14ac:dyDescent="0.25">
      <c r="A926"/>
      <c r="B926"/>
      <c r="C926"/>
      <c r="D926"/>
      <c r="E926"/>
      <c r="F926"/>
      <c r="G926"/>
      <c r="H926"/>
    </row>
    <row r="927" spans="1:8" s="140" customFormat="1" ht="15" customHeight="1" x14ac:dyDescent="0.25">
      <c r="A927"/>
      <c r="B927"/>
      <c r="C927"/>
      <c r="D927"/>
      <c r="E927"/>
      <c r="F927"/>
      <c r="G927"/>
      <c r="H927"/>
    </row>
    <row r="928" spans="1:8" s="140" customFormat="1" ht="15" customHeight="1" x14ac:dyDescent="0.25">
      <c r="A928"/>
      <c r="B928"/>
      <c r="C928"/>
      <c r="D928"/>
      <c r="E928"/>
      <c r="F928"/>
      <c r="G928"/>
      <c r="H928"/>
    </row>
    <row r="929" spans="1:17" s="140" customFormat="1" x14ac:dyDescent="0.25">
      <c r="A929"/>
      <c r="B929"/>
      <c r="C929"/>
      <c r="D929"/>
      <c r="E929"/>
      <c r="F929"/>
      <c r="G929"/>
      <c r="H929"/>
    </row>
    <row r="930" spans="1:17" s="140" customFormat="1" ht="15" customHeight="1" x14ac:dyDescent="0.25">
      <c r="A930"/>
      <c r="B930"/>
      <c r="C930"/>
      <c r="D930"/>
      <c r="E930"/>
      <c r="F930"/>
      <c r="G930"/>
      <c r="H930"/>
    </row>
    <row r="931" spans="1:17" s="140" customFormat="1" x14ac:dyDescent="0.25">
      <c r="A931"/>
      <c r="B931"/>
      <c r="C931"/>
      <c r="D931"/>
      <c r="E931"/>
      <c r="F931"/>
      <c r="G931"/>
      <c r="H931"/>
    </row>
    <row r="932" spans="1:17" s="140" customFormat="1" ht="15" customHeight="1" x14ac:dyDescent="0.25">
      <c r="A932"/>
      <c r="B932"/>
      <c r="C932"/>
      <c r="D932"/>
      <c r="E932"/>
      <c r="F932"/>
      <c r="G932"/>
      <c r="H932"/>
    </row>
    <row r="933" spans="1:17" s="140" customFormat="1" x14ac:dyDescent="0.25">
      <c r="A933"/>
      <c r="B933"/>
      <c r="C933"/>
      <c r="D933"/>
      <c r="E933"/>
      <c r="F933"/>
      <c r="G933"/>
      <c r="H933"/>
    </row>
    <row r="934" spans="1:17" ht="15" customHeight="1" x14ac:dyDescent="0.25"/>
    <row r="935" spans="1:17" ht="15" customHeight="1" x14ac:dyDescent="0.25"/>
    <row r="936" spans="1:17" ht="15" customHeight="1" x14ac:dyDescent="0.25"/>
    <row r="937" spans="1:17" ht="15" customHeight="1" x14ac:dyDescent="0.25"/>
    <row r="938" spans="1:17" s="140" customFormat="1" ht="15" customHeight="1" x14ac:dyDescent="0.25">
      <c r="A938"/>
      <c r="B938"/>
      <c r="C938"/>
      <c r="D938"/>
      <c r="E938"/>
      <c r="F938"/>
      <c r="G938"/>
      <c r="H938"/>
      <c r="J938" s="239"/>
      <c r="K938" s="239"/>
      <c r="L938" s="239"/>
      <c r="M938" s="239"/>
      <c r="N938" s="239"/>
      <c r="O938" s="239"/>
      <c r="P938" s="239"/>
      <c r="Q938" s="239"/>
    </row>
    <row r="939" spans="1:17" s="140" customFormat="1" ht="15" customHeight="1" x14ac:dyDescent="0.25">
      <c r="A939"/>
      <c r="B939"/>
      <c r="C939"/>
      <c r="D939"/>
      <c r="E939"/>
      <c r="F939"/>
      <c r="G939"/>
      <c r="H939"/>
      <c r="J939" s="239"/>
      <c r="K939" s="239"/>
      <c r="L939" s="239"/>
      <c r="M939" s="239"/>
      <c r="N939" s="239"/>
      <c r="O939" s="239"/>
      <c r="P939" s="239"/>
      <c r="Q939" s="239"/>
    </row>
    <row r="940" spans="1:17" s="140" customFormat="1" ht="15" customHeight="1" x14ac:dyDescent="0.25">
      <c r="A940"/>
      <c r="B940"/>
      <c r="C940"/>
      <c r="D940"/>
      <c r="E940"/>
      <c r="F940"/>
      <c r="G940"/>
      <c r="H940"/>
      <c r="J940" s="239"/>
      <c r="K940" s="239"/>
      <c r="L940" s="239"/>
      <c r="M940" s="239"/>
      <c r="N940" s="239"/>
      <c r="O940" s="239"/>
      <c r="P940" s="239"/>
      <c r="Q940" s="239"/>
    </row>
    <row r="941" spans="1:17" s="140" customFormat="1" ht="15" customHeight="1" x14ac:dyDescent="0.25">
      <c r="A941"/>
      <c r="B941"/>
      <c r="C941"/>
      <c r="D941"/>
      <c r="E941"/>
      <c r="F941"/>
      <c r="G941"/>
      <c r="H941"/>
      <c r="J941" s="239"/>
      <c r="K941" s="239"/>
      <c r="L941" s="239"/>
      <c r="M941" s="239"/>
      <c r="N941" s="239"/>
      <c r="O941" s="239"/>
      <c r="P941" s="239"/>
      <c r="Q941" s="239"/>
    </row>
    <row r="942" spans="1:17" s="140" customFormat="1" ht="15" customHeight="1" x14ac:dyDescent="0.25">
      <c r="A942"/>
      <c r="B942"/>
      <c r="C942"/>
      <c r="D942"/>
      <c r="E942"/>
      <c r="F942"/>
      <c r="G942"/>
      <c r="H942"/>
      <c r="J942" s="239"/>
      <c r="K942" s="239"/>
      <c r="L942" s="239"/>
      <c r="M942" s="239"/>
      <c r="N942" s="239"/>
      <c r="O942" s="239"/>
      <c r="P942" s="239"/>
      <c r="Q942" s="239"/>
    </row>
    <row r="943" spans="1:17" s="140" customFormat="1" ht="15" customHeight="1" x14ac:dyDescent="0.25">
      <c r="A943"/>
      <c r="B943"/>
      <c r="C943"/>
      <c r="D943"/>
      <c r="E943"/>
      <c r="F943"/>
      <c r="G943"/>
      <c r="H943"/>
      <c r="J943" s="239"/>
      <c r="K943" s="239"/>
      <c r="L943" s="239"/>
      <c r="M943" s="239"/>
      <c r="N943" s="239"/>
      <c r="O943" s="239"/>
      <c r="P943" s="239"/>
      <c r="Q943" s="239"/>
    </row>
    <row r="944" spans="1:17" s="140" customFormat="1" ht="15" customHeight="1" x14ac:dyDescent="0.25">
      <c r="A944"/>
      <c r="B944"/>
      <c r="C944"/>
      <c r="D944"/>
      <c r="E944"/>
      <c r="F944"/>
      <c r="G944"/>
      <c r="H944"/>
      <c r="J944" s="239"/>
      <c r="K944" s="239"/>
      <c r="L944" s="239"/>
      <c r="M944" s="239"/>
      <c r="N944" s="239"/>
      <c r="O944" s="239"/>
      <c r="P944" s="239"/>
      <c r="Q944" s="239"/>
    </row>
    <row r="945" spans="1:17" s="140" customFormat="1" ht="15" customHeight="1" x14ac:dyDescent="0.25">
      <c r="A945"/>
      <c r="B945"/>
      <c r="C945"/>
      <c r="D945"/>
      <c r="E945"/>
      <c r="F945"/>
      <c r="G945"/>
      <c r="H945"/>
      <c r="J945" s="239"/>
      <c r="K945" s="239"/>
      <c r="L945" s="239"/>
      <c r="M945" s="239"/>
      <c r="N945" s="239"/>
      <c r="O945" s="239"/>
      <c r="P945" s="239"/>
      <c r="Q945" s="239"/>
    </row>
    <row r="946" spans="1:17" s="140" customFormat="1" ht="15" customHeight="1" x14ac:dyDescent="0.25">
      <c r="A946"/>
      <c r="B946"/>
      <c r="C946"/>
      <c r="D946"/>
      <c r="E946"/>
      <c r="F946"/>
      <c r="G946"/>
      <c r="H946"/>
      <c r="J946" s="239"/>
      <c r="K946" s="239"/>
      <c r="L946" s="239"/>
      <c r="M946" s="239"/>
      <c r="N946" s="239"/>
      <c r="O946" s="239"/>
      <c r="P946" s="239"/>
      <c r="Q946" s="239"/>
    </row>
    <row r="947" spans="1:17" s="140" customFormat="1" ht="15" customHeight="1" x14ac:dyDescent="0.25">
      <c r="A947"/>
      <c r="B947"/>
      <c r="C947"/>
      <c r="D947"/>
      <c r="E947"/>
      <c r="F947"/>
      <c r="G947"/>
      <c r="H947"/>
      <c r="J947" s="239"/>
      <c r="K947" s="239"/>
      <c r="L947" s="239"/>
      <c r="M947" s="239"/>
      <c r="N947" s="239"/>
      <c r="O947" s="239"/>
      <c r="P947" s="239"/>
      <c r="Q947" s="239"/>
    </row>
    <row r="948" spans="1:17" s="140" customFormat="1" ht="15" customHeight="1" x14ac:dyDescent="0.25">
      <c r="A948"/>
      <c r="B948"/>
      <c r="C948"/>
      <c r="D948"/>
      <c r="E948"/>
      <c r="F948"/>
      <c r="G948"/>
      <c r="H948"/>
      <c r="J948" s="239"/>
      <c r="K948" s="239"/>
      <c r="L948" s="239"/>
      <c r="M948" s="239"/>
      <c r="N948" s="239"/>
      <c r="O948" s="239"/>
      <c r="P948" s="239"/>
      <c r="Q948" s="239"/>
    </row>
    <row r="949" spans="1:17" ht="15" customHeight="1" x14ac:dyDescent="0.25"/>
    <row r="950" spans="1:17" ht="15" customHeight="1" x14ac:dyDescent="0.25"/>
    <row r="951" spans="1:17" ht="15" customHeight="1" x14ac:dyDescent="0.25"/>
    <row r="952" spans="1:17" ht="15" customHeight="1" x14ac:dyDescent="0.25"/>
    <row r="953" spans="1:17" ht="15" customHeight="1" x14ac:dyDescent="0.25"/>
    <row r="954" spans="1:17" ht="15" customHeight="1" x14ac:dyDescent="0.25"/>
    <row r="955" spans="1:17" ht="15" customHeight="1" x14ac:dyDescent="0.25"/>
    <row r="956" spans="1:17" ht="15" customHeight="1" x14ac:dyDescent="0.25"/>
    <row r="957" spans="1:17" ht="15" customHeight="1" x14ac:dyDescent="0.25"/>
    <row r="958" spans="1:17" ht="15" customHeight="1" x14ac:dyDescent="0.25"/>
    <row r="959" spans="1:17" ht="15" customHeight="1" x14ac:dyDescent="0.25"/>
    <row r="960" spans="1:17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  <row r="1000" ht="15" customHeight="1" x14ac:dyDescent="0.25"/>
    <row r="1001" ht="15" customHeight="1" x14ac:dyDescent="0.25"/>
    <row r="1002" ht="15" customHeight="1" x14ac:dyDescent="0.25"/>
    <row r="1003" ht="15" customHeight="1" x14ac:dyDescent="0.25"/>
    <row r="1004" ht="15" customHeight="1" x14ac:dyDescent="0.25"/>
    <row r="1005" ht="15" customHeight="1" x14ac:dyDescent="0.25"/>
    <row r="1006" ht="15" customHeight="1" x14ac:dyDescent="0.25"/>
    <row r="1007" ht="15" customHeight="1" x14ac:dyDescent="0.25"/>
    <row r="1008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spans="1:8" ht="15" customHeight="1" x14ac:dyDescent="0.25"/>
    <row r="1058" spans="1:8" ht="15" customHeight="1" x14ac:dyDescent="0.25"/>
    <row r="1059" spans="1:8" s="140" customFormat="1" ht="15" customHeight="1" x14ac:dyDescent="0.25">
      <c r="A1059"/>
      <c r="B1059"/>
      <c r="C1059"/>
      <c r="D1059"/>
      <c r="E1059"/>
      <c r="F1059"/>
      <c r="G1059"/>
      <c r="H1059"/>
    </row>
    <row r="1060" spans="1:8" s="140" customFormat="1" ht="15" customHeight="1" x14ac:dyDescent="0.25">
      <c r="A1060"/>
      <c r="B1060"/>
      <c r="C1060"/>
      <c r="D1060"/>
      <c r="E1060"/>
      <c r="F1060"/>
      <c r="G1060"/>
      <c r="H1060"/>
    </row>
    <row r="1061" spans="1:8" s="140" customFormat="1" ht="15" customHeight="1" x14ac:dyDescent="0.25">
      <c r="A1061"/>
      <c r="B1061"/>
      <c r="C1061"/>
      <c r="D1061"/>
      <c r="E1061"/>
      <c r="F1061"/>
      <c r="G1061"/>
      <c r="H1061"/>
    </row>
    <row r="1062" spans="1:8" s="140" customFormat="1" ht="15" customHeight="1" x14ac:dyDescent="0.25">
      <c r="A1062"/>
      <c r="B1062"/>
      <c r="C1062"/>
      <c r="D1062"/>
      <c r="E1062"/>
      <c r="F1062"/>
      <c r="G1062"/>
      <c r="H1062"/>
    </row>
    <row r="1063" spans="1:8" s="140" customFormat="1" ht="15" customHeight="1" x14ac:dyDescent="0.25">
      <c r="A1063"/>
      <c r="B1063"/>
      <c r="C1063"/>
      <c r="D1063"/>
      <c r="E1063"/>
      <c r="F1063"/>
      <c r="G1063"/>
      <c r="H1063"/>
    </row>
    <row r="1064" spans="1:8" s="140" customFormat="1" ht="15" customHeight="1" x14ac:dyDescent="0.25">
      <c r="A1064"/>
      <c r="B1064"/>
      <c r="C1064"/>
      <c r="D1064"/>
      <c r="E1064"/>
      <c r="F1064"/>
      <c r="G1064"/>
      <c r="H1064"/>
    </row>
    <row r="1065" spans="1:8" s="140" customFormat="1" ht="15" customHeight="1" x14ac:dyDescent="0.25">
      <c r="A1065"/>
      <c r="B1065"/>
      <c r="C1065"/>
      <c r="D1065"/>
      <c r="E1065"/>
      <c r="F1065"/>
      <c r="G1065"/>
      <c r="H1065"/>
    </row>
    <row r="1066" spans="1:8" s="140" customFormat="1" ht="15" customHeight="1" x14ac:dyDescent="0.25">
      <c r="A1066"/>
      <c r="B1066"/>
      <c r="C1066"/>
      <c r="D1066"/>
      <c r="E1066"/>
      <c r="F1066"/>
      <c r="G1066"/>
      <c r="H1066"/>
    </row>
    <row r="1067" spans="1:8" s="140" customFormat="1" ht="15" customHeight="1" x14ac:dyDescent="0.25">
      <c r="A1067"/>
      <c r="B1067"/>
      <c r="C1067"/>
      <c r="D1067"/>
      <c r="E1067"/>
      <c r="F1067"/>
      <c r="G1067"/>
      <c r="H1067"/>
    </row>
    <row r="1068" spans="1:8" s="140" customFormat="1" ht="15" customHeight="1" x14ac:dyDescent="0.25">
      <c r="A1068"/>
      <c r="B1068"/>
      <c r="C1068"/>
      <c r="D1068"/>
      <c r="E1068"/>
      <c r="F1068"/>
      <c r="G1068"/>
      <c r="H1068"/>
    </row>
    <row r="1069" spans="1:8" s="140" customFormat="1" ht="15" customHeight="1" x14ac:dyDescent="0.25">
      <c r="A1069"/>
      <c r="B1069"/>
      <c r="C1069"/>
      <c r="D1069"/>
      <c r="E1069"/>
      <c r="F1069"/>
      <c r="G1069"/>
      <c r="H1069"/>
    </row>
    <row r="1070" spans="1:8" ht="15" customHeight="1" x14ac:dyDescent="0.25"/>
    <row r="1071" spans="1:8" ht="15" customHeight="1" x14ac:dyDescent="0.25"/>
    <row r="1072" spans="1:8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spans="1:8" ht="15" customHeight="1" x14ac:dyDescent="0.25"/>
    <row r="1090" spans="1:8" ht="15" customHeight="1" x14ac:dyDescent="0.25"/>
    <row r="1091" spans="1:8" ht="15" customHeight="1" x14ac:dyDescent="0.25"/>
    <row r="1092" spans="1:8" ht="15" customHeight="1" x14ac:dyDescent="0.25"/>
    <row r="1093" spans="1:8" ht="15" customHeight="1" x14ac:dyDescent="0.25"/>
    <row r="1094" spans="1:8" ht="15" customHeight="1" x14ac:dyDescent="0.25"/>
    <row r="1095" spans="1:8" s="140" customFormat="1" ht="40.5" customHeight="1" x14ac:dyDescent="0.25">
      <c r="A1095"/>
      <c r="B1095"/>
      <c r="C1095"/>
      <c r="D1095"/>
      <c r="E1095"/>
      <c r="F1095"/>
      <c r="G1095"/>
      <c r="H1095"/>
    </row>
    <row r="1096" spans="1:8" s="140" customFormat="1" ht="34.5" customHeight="1" x14ac:dyDescent="0.25">
      <c r="A1096"/>
      <c r="B1096"/>
      <c r="C1096"/>
      <c r="D1096"/>
      <c r="E1096"/>
      <c r="F1096"/>
      <c r="G1096"/>
      <c r="H1096"/>
    </row>
    <row r="1097" spans="1:8" s="140" customFormat="1" x14ac:dyDescent="0.25">
      <c r="A1097"/>
      <c r="B1097"/>
      <c r="C1097"/>
      <c r="D1097"/>
      <c r="E1097"/>
      <c r="F1097"/>
      <c r="G1097"/>
      <c r="H1097"/>
    </row>
    <row r="1098" spans="1:8" s="140" customFormat="1" x14ac:dyDescent="0.25">
      <c r="A1098"/>
      <c r="B1098"/>
      <c r="C1098"/>
      <c r="D1098"/>
      <c r="E1098"/>
      <c r="F1098"/>
      <c r="G1098"/>
      <c r="H1098"/>
    </row>
    <row r="1099" spans="1:8" s="140" customFormat="1" ht="15" customHeight="1" x14ac:dyDescent="0.25">
      <c r="A1099"/>
      <c r="B1099"/>
      <c r="C1099"/>
      <c r="D1099"/>
      <c r="E1099"/>
      <c r="F1099"/>
      <c r="G1099"/>
      <c r="H1099"/>
    </row>
    <row r="1100" spans="1:8" s="140" customFormat="1" x14ac:dyDescent="0.25">
      <c r="A1100"/>
      <c r="B1100"/>
      <c r="C1100"/>
      <c r="D1100"/>
      <c r="E1100"/>
      <c r="F1100"/>
      <c r="G1100"/>
      <c r="H1100"/>
    </row>
    <row r="1101" spans="1:8" s="140" customFormat="1" ht="15" customHeight="1" x14ac:dyDescent="0.25">
      <c r="A1101"/>
      <c r="B1101"/>
      <c r="C1101"/>
      <c r="D1101"/>
      <c r="E1101"/>
      <c r="F1101"/>
      <c r="G1101"/>
      <c r="H1101"/>
    </row>
    <row r="1102" spans="1:8" s="140" customFormat="1" x14ac:dyDescent="0.25">
      <c r="A1102"/>
      <c r="B1102"/>
      <c r="C1102"/>
      <c r="D1102"/>
      <c r="E1102"/>
      <c r="F1102"/>
      <c r="G1102"/>
      <c r="H1102"/>
    </row>
    <row r="1103" spans="1:8" s="140" customFormat="1" ht="15" customHeight="1" x14ac:dyDescent="0.25">
      <c r="A1103"/>
      <c r="B1103"/>
      <c r="C1103"/>
      <c r="D1103"/>
      <c r="E1103"/>
      <c r="F1103"/>
      <c r="G1103"/>
      <c r="H1103"/>
    </row>
    <row r="1104" spans="1:8" s="140" customFormat="1" ht="15" customHeight="1" x14ac:dyDescent="0.25">
      <c r="A1104"/>
      <c r="B1104"/>
      <c r="C1104"/>
      <c r="D1104"/>
      <c r="E1104"/>
      <c r="F1104"/>
      <c r="G1104"/>
      <c r="H1104"/>
    </row>
    <row r="1105" spans="1:8" s="140" customFormat="1" x14ac:dyDescent="0.25">
      <c r="A1105"/>
      <c r="B1105"/>
      <c r="C1105"/>
      <c r="D1105"/>
      <c r="E1105"/>
      <c r="F1105"/>
      <c r="G1105"/>
      <c r="H1105"/>
    </row>
    <row r="1106" spans="1:8" s="140" customFormat="1" ht="15" customHeight="1" x14ac:dyDescent="0.25">
      <c r="A1106"/>
      <c r="B1106"/>
      <c r="C1106"/>
      <c r="D1106"/>
      <c r="E1106"/>
      <c r="F1106"/>
      <c r="G1106"/>
      <c r="H1106"/>
    </row>
    <row r="1107" spans="1:8" s="140" customFormat="1" x14ac:dyDescent="0.25">
      <c r="A1107"/>
      <c r="B1107"/>
      <c r="C1107"/>
      <c r="D1107"/>
      <c r="E1107"/>
      <c r="F1107"/>
      <c r="G1107"/>
      <c r="H1107"/>
    </row>
    <row r="1108" spans="1:8" s="140" customFormat="1" ht="15" customHeight="1" x14ac:dyDescent="0.25">
      <c r="A1108"/>
      <c r="B1108"/>
      <c r="C1108"/>
      <c r="D1108"/>
      <c r="E1108"/>
      <c r="F1108"/>
      <c r="G1108"/>
      <c r="H1108"/>
    </row>
    <row r="1109" spans="1:8" s="140" customFormat="1" ht="15" customHeight="1" x14ac:dyDescent="0.25">
      <c r="A1109"/>
      <c r="B1109"/>
      <c r="C1109"/>
      <c r="D1109"/>
      <c r="E1109"/>
      <c r="F1109"/>
      <c r="G1109"/>
      <c r="H1109"/>
    </row>
    <row r="1110" spans="1:8" s="140" customFormat="1" x14ac:dyDescent="0.25">
      <c r="A1110"/>
      <c r="B1110"/>
      <c r="C1110"/>
      <c r="D1110"/>
      <c r="E1110"/>
      <c r="F1110"/>
      <c r="G1110"/>
      <c r="H1110"/>
    </row>
    <row r="1420" spans="1:17" s="140" customFormat="1" ht="40.5" customHeight="1" x14ac:dyDescent="0.25">
      <c r="A1420"/>
      <c r="B1420"/>
      <c r="C1420"/>
      <c r="D1420"/>
      <c r="E1420"/>
      <c r="F1420"/>
      <c r="G1420"/>
      <c r="H1420"/>
      <c r="J1420" s="239"/>
      <c r="K1420" s="239"/>
      <c r="L1420" s="239"/>
      <c r="M1420" s="239"/>
      <c r="N1420" s="239"/>
      <c r="O1420" s="239"/>
      <c r="P1420" s="239"/>
      <c r="Q1420" s="239"/>
    </row>
    <row r="1421" spans="1:17" s="140" customFormat="1" ht="34.5" customHeight="1" x14ac:dyDescent="0.25">
      <c r="A1421"/>
      <c r="B1421"/>
      <c r="C1421"/>
      <c r="D1421"/>
      <c r="E1421"/>
      <c r="F1421"/>
      <c r="G1421"/>
      <c r="H1421"/>
      <c r="J1421" s="239"/>
      <c r="K1421" s="239"/>
      <c r="L1421" s="239"/>
      <c r="M1421" s="239"/>
      <c r="N1421" s="239"/>
      <c r="O1421" s="239"/>
      <c r="P1421" s="239"/>
      <c r="Q1421" s="239"/>
    </row>
    <row r="1422" spans="1:17" s="140" customFormat="1" x14ac:dyDescent="0.25">
      <c r="A1422"/>
      <c r="B1422"/>
      <c r="C1422"/>
      <c r="D1422"/>
      <c r="E1422"/>
      <c r="F1422"/>
      <c r="G1422"/>
      <c r="H1422"/>
      <c r="J1422" s="239"/>
      <c r="K1422" s="239"/>
      <c r="L1422" s="239"/>
      <c r="M1422" s="239"/>
      <c r="N1422" s="239"/>
      <c r="O1422" s="239"/>
      <c r="P1422" s="239"/>
      <c r="Q1422" s="239"/>
    </row>
    <row r="1423" spans="1:17" s="140" customFormat="1" x14ac:dyDescent="0.25">
      <c r="A1423"/>
      <c r="B1423"/>
      <c r="C1423"/>
      <c r="D1423"/>
      <c r="E1423"/>
      <c r="F1423"/>
      <c r="G1423"/>
      <c r="H1423"/>
      <c r="J1423" s="239"/>
      <c r="K1423" s="239"/>
      <c r="L1423" s="239"/>
      <c r="M1423" s="239"/>
      <c r="N1423" s="239"/>
      <c r="O1423" s="239"/>
      <c r="P1423" s="239"/>
      <c r="Q1423" s="239"/>
    </row>
    <row r="1424" spans="1:17" s="140" customFormat="1" ht="15" customHeight="1" x14ac:dyDescent="0.25">
      <c r="A1424"/>
      <c r="B1424"/>
      <c r="C1424"/>
      <c r="D1424"/>
      <c r="E1424"/>
      <c r="F1424"/>
      <c r="G1424"/>
      <c r="H1424"/>
      <c r="J1424" s="239"/>
      <c r="K1424" s="239"/>
      <c r="L1424" s="239"/>
      <c r="M1424" s="239"/>
      <c r="N1424" s="239"/>
      <c r="O1424" s="239"/>
      <c r="P1424" s="239"/>
      <c r="Q1424" s="239"/>
    </row>
    <row r="1425" spans="1:17" s="140" customFormat="1" x14ac:dyDescent="0.25">
      <c r="A1425"/>
      <c r="B1425"/>
      <c r="C1425"/>
      <c r="D1425"/>
      <c r="E1425"/>
      <c r="F1425"/>
      <c r="G1425"/>
      <c r="H1425"/>
      <c r="J1425" s="239"/>
      <c r="K1425" s="239"/>
      <c r="L1425" s="239"/>
      <c r="M1425" s="239"/>
      <c r="N1425" s="239"/>
      <c r="O1425" s="239"/>
      <c r="P1425" s="239"/>
      <c r="Q1425" s="239"/>
    </row>
    <row r="1426" spans="1:17" s="140" customFormat="1" ht="15" customHeight="1" x14ac:dyDescent="0.25">
      <c r="A1426"/>
      <c r="B1426"/>
      <c r="C1426"/>
      <c r="D1426"/>
      <c r="E1426"/>
      <c r="F1426"/>
      <c r="G1426"/>
      <c r="H1426"/>
      <c r="J1426" s="239"/>
      <c r="K1426" s="239"/>
      <c r="L1426" s="239"/>
      <c r="M1426" s="239"/>
      <c r="N1426" s="239"/>
      <c r="O1426" s="239"/>
      <c r="P1426" s="239"/>
      <c r="Q1426" s="239"/>
    </row>
    <row r="1427" spans="1:17" s="140" customFormat="1" x14ac:dyDescent="0.25">
      <c r="A1427"/>
      <c r="B1427"/>
      <c r="C1427"/>
      <c r="D1427"/>
      <c r="E1427"/>
      <c r="F1427"/>
      <c r="G1427"/>
      <c r="H1427"/>
      <c r="J1427" s="239"/>
      <c r="K1427" s="239"/>
      <c r="L1427" s="239"/>
      <c r="M1427" s="239"/>
      <c r="N1427" s="239"/>
      <c r="O1427" s="239"/>
      <c r="P1427" s="239"/>
      <c r="Q1427" s="239"/>
    </row>
    <row r="1428" spans="1:17" s="140" customFormat="1" ht="15" customHeight="1" x14ac:dyDescent="0.25">
      <c r="A1428"/>
      <c r="B1428"/>
      <c r="C1428"/>
      <c r="D1428"/>
      <c r="E1428"/>
      <c r="F1428"/>
      <c r="G1428"/>
      <c r="H1428"/>
      <c r="J1428" s="239"/>
      <c r="K1428" s="239"/>
      <c r="L1428" s="239"/>
      <c r="M1428" s="239"/>
      <c r="N1428" s="239"/>
      <c r="O1428" s="239"/>
      <c r="P1428" s="239"/>
      <c r="Q1428" s="239"/>
    </row>
    <row r="1429" spans="1:17" s="140" customFormat="1" ht="15" customHeight="1" x14ac:dyDescent="0.25">
      <c r="A1429"/>
      <c r="B1429"/>
      <c r="C1429"/>
      <c r="D1429"/>
      <c r="E1429"/>
      <c r="F1429"/>
      <c r="G1429"/>
      <c r="H1429"/>
      <c r="J1429" s="239"/>
      <c r="K1429" s="239"/>
      <c r="L1429" s="239"/>
      <c r="M1429" s="239"/>
      <c r="N1429" s="239"/>
      <c r="O1429" s="239"/>
      <c r="P1429" s="239"/>
      <c r="Q1429" s="239"/>
    </row>
    <row r="1430" spans="1:17" s="140" customFormat="1" x14ac:dyDescent="0.25">
      <c r="A1430"/>
      <c r="B1430"/>
      <c r="C1430"/>
      <c r="D1430"/>
      <c r="E1430"/>
      <c r="F1430"/>
      <c r="G1430"/>
      <c r="H1430"/>
      <c r="J1430" s="239"/>
      <c r="K1430" s="239"/>
      <c r="L1430" s="239"/>
      <c r="M1430" s="239"/>
      <c r="N1430" s="239"/>
      <c r="O1430" s="239"/>
      <c r="P1430" s="239"/>
      <c r="Q1430" s="239"/>
    </row>
  </sheetData>
  <mergeCells count="1">
    <mergeCell ref="B11:C1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>
    <tabColor rgb="FF00B050"/>
  </sheetPr>
  <dimension ref="A1:BP1369"/>
  <sheetViews>
    <sheetView zoomScale="70" zoomScaleNormal="70" workbookViewId="0">
      <selection activeCell="P16" sqref="P16"/>
    </sheetView>
  </sheetViews>
  <sheetFormatPr defaultRowHeight="15" x14ac:dyDescent="0.25"/>
  <cols>
    <col min="1" max="1" width="7" customWidth="1"/>
    <col min="2" max="2" width="6.140625" customWidth="1"/>
    <col min="3" max="3" width="7.140625" bestFit="1" customWidth="1"/>
    <col min="4" max="4" width="6.42578125" customWidth="1"/>
    <col min="5" max="5" width="5.28515625" customWidth="1"/>
    <col min="6" max="6" width="4.5703125" customWidth="1"/>
    <col min="7" max="7" width="4" customWidth="1"/>
    <col min="8" max="8" width="3.7109375" customWidth="1"/>
    <col min="9" max="9" width="8.5703125" style="237" bestFit="1" customWidth="1"/>
    <col min="10" max="10" width="6.42578125" customWidth="1"/>
    <col min="11" max="12" width="5" customWidth="1"/>
    <col min="13" max="13" width="4.42578125" customWidth="1"/>
    <col min="14" max="14" width="11.5703125" customWidth="1"/>
    <col min="15" max="15" width="6.7109375" customWidth="1"/>
    <col min="16" max="16" width="10.140625" customWidth="1"/>
    <col min="17" max="17" width="8" customWidth="1"/>
    <col min="18" max="18" width="6.140625" customWidth="1"/>
    <col min="19" max="19" width="6.5703125" customWidth="1"/>
    <col min="20" max="20" width="5.42578125" customWidth="1"/>
    <col min="21" max="21" width="5.85546875" customWidth="1"/>
    <col min="22" max="22" width="6.42578125" customWidth="1"/>
    <col min="23" max="23" width="5.42578125" customWidth="1"/>
    <col min="24" max="24" width="7.140625" customWidth="1"/>
    <col min="25" max="25" width="5.140625" customWidth="1"/>
    <col min="26" max="26" width="5.42578125" customWidth="1"/>
    <col min="27" max="27" width="8.140625" customWidth="1"/>
    <col min="28" max="28" width="7.28515625" customWidth="1"/>
    <col min="29" max="29" width="11.5703125" style="259" customWidth="1"/>
    <col min="30" max="30" width="7.7109375" bestFit="1" customWidth="1"/>
    <col min="31" max="31" width="8.28515625" customWidth="1"/>
    <col min="32" max="34" width="9.42578125" hidden="1" customWidth="1"/>
    <col min="35" max="35" width="8" customWidth="1"/>
    <col min="36" max="36" width="4" customWidth="1"/>
    <col min="37" max="37" width="8.5703125" hidden="1" customWidth="1"/>
    <col min="38" max="38" width="8" hidden="1" customWidth="1"/>
    <col min="39" max="39" width="9.7109375" hidden="1" customWidth="1"/>
    <col min="40" max="40" width="6.85546875" hidden="1" customWidth="1"/>
    <col min="41" max="41" width="8" customWidth="1"/>
    <col min="42" max="42" width="7" customWidth="1"/>
    <col min="43" max="43" width="8.42578125" customWidth="1"/>
    <col min="44" max="44" width="7.85546875" customWidth="1"/>
    <col min="45" max="45" width="3.42578125" hidden="1" customWidth="1"/>
    <col min="46" max="46" width="7.28515625" customWidth="1"/>
    <col min="47" max="47" width="6.7109375" customWidth="1"/>
    <col min="48" max="48" width="5" customWidth="1"/>
    <col min="49" max="49" width="5.5703125" customWidth="1"/>
    <col min="50" max="50" width="5.42578125" customWidth="1"/>
    <col min="51" max="51" width="4.140625" hidden="1" customWidth="1"/>
    <col min="52" max="52" width="9" customWidth="1"/>
    <col min="53" max="53" width="4.85546875" customWidth="1"/>
    <col min="54" max="54" width="6.140625" customWidth="1"/>
    <col min="55" max="55" width="8.7109375" customWidth="1"/>
    <col min="57" max="57" width="11" customWidth="1"/>
    <col min="60" max="60" width="22.42578125" customWidth="1"/>
    <col min="61" max="61" width="18" customWidth="1"/>
  </cols>
  <sheetData>
    <row r="1" spans="1:68" ht="22.5" customHeight="1" thickBot="1" x14ac:dyDescent="0.3">
      <c r="A1" s="493" t="s">
        <v>160</v>
      </c>
      <c r="B1" s="494"/>
      <c r="C1" s="501" t="s">
        <v>161</v>
      </c>
      <c r="D1" s="494"/>
      <c r="E1" s="501" t="s">
        <v>162</v>
      </c>
      <c r="F1" s="494"/>
      <c r="G1" s="501" t="s">
        <v>163</v>
      </c>
      <c r="H1" s="502"/>
      <c r="I1" s="509" t="s">
        <v>2</v>
      </c>
      <c r="J1" s="507" t="s">
        <v>164</v>
      </c>
      <c r="K1" s="508"/>
      <c r="L1" s="503" t="s">
        <v>165</v>
      </c>
      <c r="M1" s="504"/>
      <c r="N1" s="499" t="s">
        <v>5</v>
      </c>
      <c r="O1" s="500"/>
      <c r="P1" s="505" t="s">
        <v>2072</v>
      </c>
      <c r="Q1" s="506"/>
      <c r="R1" s="497" t="s">
        <v>6</v>
      </c>
      <c r="S1" s="495" t="s">
        <v>7</v>
      </c>
      <c r="T1" s="126" t="s">
        <v>2449</v>
      </c>
      <c r="U1" s="127" t="s">
        <v>2020</v>
      </c>
      <c r="V1" s="475" t="s">
        <v>2023</v>
      </c>
      <c r="W1" s="476"/>
      <c r="X1" s="477"/>
      <c r="Y1" s="478" t="s">
        <v>2026</v>
      </c>
      <c r="Z1" s="479"/>
      <c r="AA1" s="136" t="s">
        <v>2028</v>
      </c>
      <c r="AB1" s="139" t="s">
        <v>2030</v>
      </c>
      <c r="AC1" s="254" t="s">
        <v>2031</v>
      </c>
      <c r="AD1" s="490" t="s">
        <v>2515</v>
      </c>
      <c r="AE1" s="491"/>
      <c r="AF1" s="491"/>
      <c r="AG1" s="491"/>
      <c r="AH1" s="491"/>
      <c r="AI1" s="491"/>
      <c r="AJ1" s="491"/>
      <c r="AK1" s="491"/>
      <c r="AL1" s="491"/>
      <c r="AM1" s="491"/>
      <c r="AN1" s="492"/>
      <c r="AO1" s="483" t="s">
        <v>2073</v>
      </c>
      <c r="AP1" s="484"/>
      <c r="AQ1" s="484"/>
      <c r="AR1" s="484"/>
      <c r="AS1" s="484"/>
      <c r="AT1" s="484"/>
      <c r="AU1" s="485"/>
      <c r="AV1" s="487" t="s">
        <v>2074</v>
      </c>
      <c r="AW1" s="488"/>
      <c r="AX1" s="488"/>
      <c r="AY1" s="489"/>
      <c r="AZ1" s="480" t="s">
        <v>2040</v>
      </c>
      <c r="BA1" s="481"/>
      <c r="BB1" s="481"/>
      <c r="BC1" s="482"/>
      <c r="BD1" s="224" t="s">
        <v>2052</v>
      </c>
      <c r="BE1" s="225" t="s">
        <v>2062</v>
      </c>
      <c r="BH1" s="227" t="s">
        <v>2450</v>
      </c>
      <c r="BI1" s="237" t="s">
        <v>2495</v>
      </c>
      <c r="BO1" s="486" t="s">
        <v>2505</v>
      </c>
      <c r="BP1" s="486"/>
    </row>
    <row r="2" spans="1:68" ht="18.75" customHeight="1" thickBot="1" x14ac:dyDescent="0.3">
      <c r="A2" s="130" t="s">
        <v>1</v>
      </c>
      <c r="B2" s="131" t="s">
        <v>0</v>
      </c>
      <c r="C2" s="131" t="s">
        <v>1</v>
      </c>
      <c r="D2" s="131" t="s">
        <v>0</v>
      </c>
      <c r="E2" s="131" t="s">
        <v>1</v>
      </c>
      <c r="F2" s="131" t="s">
        <v>0</v>
      </c>
      <c r="G2" s="131" t="s">
        <v>1</v>
      </c>
      <c r="H2" s="135" t="s">
        <v>0</v>
      </c>
      <c r="I2" s="510"/>
      <c r="J2" s="130" t="s">
        <v>1</v>
      </c>
      <c r="K2" s="131" t="s">
        <v>0</v>
      </c>
      <c r="L2" s="131" t="s">
        <v>1</v>
      </c>
      <c r="M2" s="135" t="s">
        <v>0</v>
      </c>
      <c r="N2" s="133" t="s">
        <v>3</v>
      </c>
      <c r="O2" s="132" t="s">
        <v>4</v>
      </c>
      <c r="P2" s="132" t="s">
        <v>2021</v>
      </c>
      <c r="Q2" s="134" t="s">
        <v>2022</v>
      </c>
      <c r="R2" s="498"/>
      <c r="S2" s="496"/>
      <c r="T2" s="128" t="s">
        <v>166</v>
      </c>
      <c r="U2" s="129" t="s">
        <v>166</v>
      </c>
      <c r="V2" s="123" t="s">
        <v>2024</v>
      </c>
      <c r="W2" s="124" t="s">
        <v>2025</v>
      </c>
      <c r="X2" s="125" t="s">
        <v>2448</v>
      </c>
      <c r="Y2" s="204" t="s">
        <v>166</v>
      </c>
      <c r="Z2" s="205" t="s">
        <v>2027</v>
      </c>
      <c r="AA2" s="137" t="s">
        <v>2029</v>
      </c>
      <c r="AB2" s="251" t="s">
        <v>2508</v>
      </c>
      <c r="AC2" s="255"/>
      <c r="AD2" s="138" t="s">
        <v>2032</v>
      </c>
      <c r="AE2" s="138" t="s">
        <v>2036</v>
      </c>
      <c r="AF2" s="142" t="s">
        <v>2037</v>
      </c>
      <c r="AG2" s="142" t="s">
        <v>2038</v>
      </c>
      <c r="AH2" s="142" t="s">
        <v>2039</v>
      </c>
      <c r="AI2" s="138" t="s">
        <v>2033</v>
      </c>
      <c r="AJ2" s="138" t="s">
        <v>2034</v>
      </c>
      <c r="AK2" s="203" t="s">
        <v>2440</v>
      </c>
      <c r="AL2" s="203" t="s">
        <v>2439</v>
      </c>
      <c r="AM2" s="203" t="s">
        <v>2438</v>
      </c>
      <c r="AN2" s="138" t="s">
        <v>2035</v>
      </c>
      <c r="AO2" s="212" t="s">
        <v>2053</v>
      </c>
      <c r="AP2" s="213" t="s">
        <v>2054</v>
      </c>
      <c r="AQ2" s="213" t="s">
        <v>2055</v>
      </c>
      <c r="AR2" s="213" t="s">
        <v>2056</v>
      </c>
      <c r="AS2" s="213"/>
      <c r="AT2" s="213" t="s">
        <v>2058</v>
      </c>
      <c r="AU2" s="214" t="s">
        <v>2059</v>
      </c>
      <c r="AV2" s="151" t="s">
        <v>2060</v>
      </c>
      <c r="AW2" s="150" t="s">
        <v>2061</v>
      </c>
      <c r="AX2" s="150" t="s">
        <v>2057</v>
      </c>
      <c r="AY2" s="223"/>
      <c r="AZ2" s="208" t="s">
        <v>2446</v>
      </c>
      <c r="BA2" s="149" t="s">
        <v>2447</v>
      </c>
      <c r="BB2" s="149" t="s">
        <v>2445</v>
      </c>
      <c r="BC2" s="206" t="s">
        <v>2444</v>
      </c>
      <c r="BD2" s="226">
        <v>3</v>
      </c>
      <c r="BE2" s="148" t="s">
        <v>2636</v>
      </c>
      <c r="BH2" s="228" t="s">
        <v>2507</v>
      </c>
      <c r="BI2" s="238" t="s">
        <v>2506</v>
      </c>
      <c r="BO2" s="245">
        <v>50</v>
      </c>
      <c r="BP2" s="246" t="s">
        <v>2504</v>
      </c>
    </row>
    <row r="3" spans="1:68" ht="15" customHeight="1" x14ac:dyDescent="0.25">
      <c r="A3" s="231">
        <v>0.42</v>
      </c>
      <c r="B3" s="232">
        <v>0.54</v>
      </c>
      <c r="C3" s="231"/>
      <c r="D3" s="232"/>
      <c r="E3" s="231"/>
      <c r="F3" s="232"/>
      <c r="G3" s="266"/>
      <c r="H3" s="266"/>
      <c r="I3" s="253" t="s">
        <v>2856</v>
      </c>
      <c r="J3" s="264"/>
      <c r="K3" s="265"/>
      <c r="L3" s="266"/>
      <c r="M3" s="266"/>
      <c r="N3" s="266">
        <v>1.1000000000000001</v>
      </c>
      <c r="O3" s="266">
        <v>0.55000000000000004</v>
      </c>
      <c r="P3" s="267" t="s">
        <v>2072</v>
      </c>
      <c r="Q3" s="266" t="s">
        <v>2857</v>
      </c>
      <c r="R3" s="266">
        <v>740</v>
      </c>
      <c r="S3" s="266">
        <v>740</v>
      </c>
      <c r="T3" s="266">
        <v>2</v>
      </c>
      <c r="U3" s="266">
        <v>3</v>
      </c>
      <c r="V3" s="268"/>
      <c r="W3" s="268"/>
      <c r="X3" s="268"/>
      <c r="Y3" s="266">
        <v>1</v>
      </c>
      <c r="Z3" s="266">
        <v>17.420000000000002</v>
      </c>
      <c r="AA3" s="269" t="s">
        <v>3176</v>
      </c>
      <c r="AB3" s="270"/>
      <c r="AC3" s="256"/>
      <c r="AD3" s="221"/>
      <c r="AE3" s="348"/>
      <c r="AF3" s="146"/>
      <c r="AG3" s="146"/>
      <c r="AH3" s="146"/>
      <c r="AI3" s="146"/>
      <c r="AJ3" s="146"/>
      <c r="AK3" s="146"/>
      <c r="AL3" s="146"/>
      <c r="AM3" s="146"/>
      <c r="AN3" s="222"/>
      <c r="AO3" s="221">
        <v>3</v>
      </c>
      <c r="AP3" s="146">
        <v>1</v>
      </c>
      <c r="AQ3" s="146">
        <v>1</v>
      </c>
      <c r="AR3" s="146">
        <v>1</v>
      </c>
      <c r="AS3" s="146"/>
      <c r="AT3" s="146"/>
      <c r="AU3" s="222"/>
      <c r="AV3" s="221">
        <v>4</v>
      </c>
      <c r="AW3" s="146">
        <v>2</v>
      </c>
      <c r="AX3" s="146">
        <v>1</v>
      </c>
      <c r="AY3" s="222"/>
      <c r="AZ3" s="221">
        <v>2</v>
      </c>
      <c r="BA3" s="146"/>
      <c r="BB3" s="146"/>
      <c r="BC3" s="222"/>
    </row>
    <row r="4" spans="1:68" ht="15" customHeight="1" x14ac:dyDescent="0.25">
      <c r="A4" s="231">
        <v>0.54</v>
      </c>
      <c r="B4" s="232">
        <v>0.85</v>
      </c>
      <c r="C4" s="231"/>
      <c r="D4" s="232"/>
      <c r="E4" s="422"/>
      <c r="F4" s="422"/>
      <c r="G4" s="422"/>
      <c r="H4" s="422"/>
      <c r="I4" s="271" t="s">
        <v>3178</v>
      </c>
      <c r="J4" s="231"/>
      <c r="K4" s="232"/>
      <c r="L4" s="3"/>
      <c r="M4" s="3"/>
      <c r="N4" s="3">
        <v>1.5</v>
      </c>
      <c r="O4" s="3">
        <v>1.1000000000000001</v>
      </c>
      <c r="P4" s="3" t="s">
        <v>2072</v>
      </c>
      <c r="Q4" s="3" t="s">
        <v>2857</v>
      </c>
      <c r="R4" s="3">
        <v>740</v>
      </c>
      <c r="S4" s="266">
        <v>740</v>
      </c>
      <c r="T4" s="3">
        <v>2</v>
      </c>
      <c r="U4" s="3">
        <v>3</v>
      </c>
      <c r="V4" s="413"/>
      <c r="W4" s="413"/>
      <c r="X4" s="413"/>
      <c r="Y4" s="3">
        <v>1</v>
      </c>
      <c r="Z4" s="3">
        <v>22.47</v>
      </c>
      <c r="AA4" s="143" t="s">
        <v>3176</v>
      </c>
      <c r="AB4" s="272"/>
      <c r="AC4" s="256"/>
      <c r="AD4" s="221"/>
      <c r="AE4" s="348"/>
      <c r="AF4" s="146"/>
      <c r="AG4" s="146"/>
      <c r="AH4" s="146"/>
      <c r="AI4" s="146"/>
      <c r="AJ4" s="146"/>
      <c r="AK4" s="146"/>
      <c r="AL4" s="146"/>
      <c r="AM4" s="146"/>
      <c r="AN4" s="222"/>
      <c r="AO4" s="221">
        <v>3</v>
      </c>
      <c r="AP4" s="146">
        <v>1</v>
      </c>
      <c r="AQ4" s="146">
        <v>1</v>
      </c>
      <c r="AR4" s="146">
        <v>1</v>
      </c>
      <c r="AS4" s="146"/>
      <c r="AT4" s="146"/>
      <c r="AU4" s="222"/>
      <c r="AV4" s="221">
        <v>4</v>
      </c>
      <c r="AW4" s="146">
        <v>2</v>
      </c>
      <c r="AX4" s="146">
        <v>1</v>
      </c>
      <c r="AY4" s="222"/>
      <c r="AZ4" s="221">
        <v>2</v>
      </c>
      <c r="BA4" s="146"/>
      <c r="BB4" s="146"/>
      <c r="BC4" s="222"/>
    </row>
    <row r="5" spans="1:68" ht="15" customHeight="1" x14ac:dyDescent="0.25">
      <c r="A5" s="231">
        <v>0.56000000000000005</v>
      </c>
      <c r="B5" s="232">
        <v>0.91</v>
      </c>
      <c r="C5" s="231"/>
      <c r="D5" s="232"/>
      <c r="E5" s="422"/>
      <c r="F5" s="422"/>
      <c r="G5" s="422"/>
      <c r="H5" s="422"/>
      <c r="I5" s="271" t="s">
        <v>3179</v>
      </c>
      <c r="J5" s="231"/>
      <c r="K5" s="232"/>
      <c r="L5" s="3"/>
      <c r="M5" s="3"/>
      <c r="N5" s="247">
        <v>1.5</v>
      </c>
      <c r="O5" s="3">
        <v>1.1000000000000001</v>
      </c>
      <c r="P5" s="3" t="s">
        <v>2072</v>
      </c>
      <c r="Q5" s="3" t="s">
        <v>2857</v>
      </c>
      <c r="R5" s="3">
        <v>740</v>
      </c>
      <c r="S5" s="266">
        <v>740</v>
      </c>
      <c r="T5" s="3">
        <v>2</v>
      </c>
      <c r="U5" s="3">
        <v>3</v>
      </c>
      <c r="V5" s="413"/>
      <c r="W5" s="413"/>
      <c r="X5" s="413"/>
      <c r="Y5" s="3">
        <v>1</v>
      </c>
      <c r="Z5" s="3">
        <v>23.27</v>
      </c>
      <c r="AA5" s="143" t="s">
        <v>3176</v>
      </c>
      <c r="AB5" s="272"/>
      <c r="AC5" s="256"/>
      <c r="AD5" s="221"/>
      <c r="AE5" s="348"/>
      <c r="AF5" s="146"/>
      <c r="AG5" s="146"/>
      <c r="AH5" s="146"/>
      <c r="AI5" s="146"/>
      <c r="AJ5" s="146"/>
      <c r="AK5" s="146"/>
      <c r="AL5" s="146"/>
      <c r="AM5" s="146"/>
      <c r="AN5" s="222"/>
      <c r="AO5" s="221">
        <v>3</v>
      </c>
      <c r="AP5" s="146">
        <v>1</v>
      </c>
      <c r="AQ5" s="146">
        <v>1</v>
      </c>
      <c r="AR5" s="146">
        <v>1</v>
      </c>
      <c r="AS5" s="146"/>
      <c r="AT5" s="146"/>
      <c r="AU5" s="222"/>
      <c r="AV5" s="221">
        <v>4</v>
      </c>
      <c r="AW5" s="146">
        <v>2</v>
      </c>
      <c r="AX5" s="146">
        <v>1</v>
      </c>
      <c r="AY5" s="222"/>
      <c r="AZ5" s="221">
        <v>2</v>
      </c>
      <c r="BA5" s="146"/>
      <c r="BB5" s="146"/>
      <c r="BC5" s="222"/>
    </row>
    <row r="6" spans="1:68" ht="15" customHeight="1" x14ac:dyDescent="0.25">
      <c r="A6" s="231">
        <v>0.39</v>
      </c>
      <c r="B6" s="232">
        <v>0.47</v>
      </c>
      <c r="C6" s="231"/>
      <c r="D6" s="232"/>
      <c r="E6" s="422"/>
      <c r="F6" s="422"/>
      <c r="G6" s="422"/>
      <c r="H6" s="422"/>
      <c r="I6" s="271" t="s">
        <v>3180</v>
      </c>
      <c r="J6" s="231"/>
      <c r="K6" s="232"/>
      <c r="L6" s="3"/>
      <c r="M6" s="3"/>
      <c r="N6" s="414">
        <v>0.75</v>
      </c>
      <c r="O6" s="3">
        <v>0.55000000000000004</v>
      </c>
      <c r="P6" s="3" t="s">
        <v>2072</v>
      </c>
      <c r="Q6" s="3" t="s">
        <v>2857</v>
      </c>
      <c r="R6" s="3">
        <v>740</v>
      </c>
      <c r="S6" s="266">
        <v>740</v>
      </c>
      <c r="T6" s="3">
        <v>2</v>
      </c>
      <c r="U6" s="3">
        <v>3</v>
      </c>
      <c r="V6" s="413"/>
      <c r="W6" s="413"/>
      <c r="X6" s="413"/>
      <c r="Y6" s="3">
        <v>1</v>
      </c>
      <c r="Z6" s="3">
        <v>16.059999999999999</v>
      </c>
      <c r="AA6" s="143" t="s">
        <v>3176</v>
      </c>
      <c r="AB6" s="272"/>
      <c r="AC6" s="256"/>
      <c r="AD6" s="221"/>
      <c r="AE6" s="348"/>
      <c r="AF6" s="146"/>
      <c r="AG6" s="146"/>
      <c r="AH6" s="146"/>
      <c r="AI6" s="146"/>
      <c r="AJ6" s="146"/>
      <c r="AK6" s="146"/>
      <c r="AL6" s="146"/>
      <c r="AM6" s="146"/>
      <c r="AN6" s="222"/>
      <c r="AO6" s="221">
        <v>3</v>
      </c>
      <c r="AP6" s="146">
        <v>1</v>
      </c>
      <c r="AQ6" s="146">
        <v>1</v>
      </c>
      <c r="AR6" s="146">
        <v>1</v>
      </c>
      <c r="AS6" s="146"/>
      <c r="AT6" s="146"/>
      <c r="AU6" s="222"/>
      <c r="AV6" s="221">
        <v>4</v>
      </c>
      <c r="AW6" s="146">
        <v>2</v>
      </c>
      <c r="AX6" s="146">
        <v>1</v>
      </c>
      <c r="AY6" s="222"/>
      <c r="AZ6" s="221">
        <v>2</v>
      </c>
      <c r="BA6" s="146"/>
      <c r="BB6" s="146"/>
      <c r="BC6" s="222"/>
    </row>
    <row r="7" spans="1:68" ht="15" customHeight="1" x14ac:dyDescent="0.25">
      <c r="A7" s="231">
        <v>0.67</v>
      </c>
      <c r="B7" s="232">
        <v>1.25</v>
      </c>
      <c r="C7" s="231"/>
      <c r="D7" s="232"/>
      <c r="E7" s="422"/>
      <c r="F7" s="422"/>
      <c r="G7" s="422"/>
      <c r="H7" s="422"/>
      <c r="I7" s="271" t="s">
        <v>3181</v>
      </c>
      <c r="J7" s="231"/>
      <c r="K7" s="232"/>
      <c r="L7" s="3"/>
      <c r="M7" s="3"/>
      <c r="N7" s="3">
        <v>2.2000000000000002</v>
      </c>
      <c r="O7" s="3">
        <v>2.2000000000000002</v>
      </c>
      <c r="P7" s="3" t="s">
        <v>2072</v>
      </c>
      <c r="Q7" s="3" t="s">
        <v>2857</v>
      </c>
      <c r="R7" s="3">
        <v>740</v>
      </c>
      <c r="S7" s="3">
        <v>740</v>
      </c>
      <c r="T7" s="3">
        <v>2</v>
      </c>
      <c r="U7" s="3">
        <v>3</v>
      </c>
      <c r="V7" s="413"/>
      <c r="W7" s="413"/>
      <c r="X7" s="413"/>
      <c r="Y7" s="3">
        <v>1</v>
      </c>
      <c r="Z7" s="3">
        <v>27.69</v>
      </c>
      <c r="AA7" s="143" t="s">
        <v>3176</v>
      </c>
      <c r="AB7" s="272"/>
      <c r="AC7" s="256"/>
      <c r="AD7" s="221"/>
      <c r="AE7" s="348"/>
      <c r="AF7" s="146"/>
      <c r="AG7" s="146"/>
      <c r="AH7" s="146"/>
      <c r="AI7" s="146"/>
      <c r="AJ7" s="146"/>
      <c r="AK7" s="146"/>
      <c r="AL7" s="146"/>
      <c r="AM7" s="146"/>
      <c r="AN7" s="222"/>
      <c r="AO7" s="221">
        <v>3</v>
      </c>
      <c r="AP7" s="146">
        <v>1</v>
      </c>
      <c r="AQ7" s="146">
        <v>1</v>
      </c>
      <c r="AR7" s="146">
        <v>1</v>
      </c>
      <c r="AS7" s="146"/>
      <c r="AT7" s="146"/>
      <c r="AU7" s="222"/>
      <c r="AV7" s="221">
        <v>4</v>
      </c>
      <c r="AW7" s="146">
        <v>2</v>
      </c>
      <c r="AX7" s="146">
        <v>1</v>
      </c>
      <c r="AY7" s="222"/>
      <c r="AZ7" s="221">
        <v>2</v>
      </c>
      <c r="BA7" s="146"/>
      <c r="BB7" s="146"/>
      <c r="BC7" s="222"/>
    </row>
    <row r="8" spans="1:68" ht="15" customHeight="1" x14ac:dyDescent="0.25">
      <c r="A8" s="231">
        <v>5.89</v>
      </c>
      <c r="B8" s="232">
        <v>1.51</v>
      </c>
      <c r="C8" s="231"/>
      <c r="D8" s="232"/>
      <c r="E8" s="422"/>
      <c r="F8" s="422"/>
      <c r="G8" s="422"/>
      <c r="H8" s="422"/>
      <c r="I8" s="271" t="s">
        <v>3182</v>
      </c>
      <c r="J8" s="231"/>
      <c r="K8" s="232"/>
      <c r="L8" s="3"/>
      <c r="M8" s="3"/>
      <c r="N8" s="3">
        <v>15</v>
      </c>
      <c r="O8" s="3"/>
      <c r="P8" s="3" t="s">
        <v>2072</v>
      </c>
      <c r="Q8" s="3" t="s">
        <v>2857</v>
      </c>
      <c r="R8" s="3">
        <v>1690</v>
      </c>
      <c r="S8" s="3">
        <v>1690</v>
      </c>
      <c r="T8" s="3">
        <v>1</v>
      </c>
      <c r="U8" s="3">
        <v>1</v>
      </c>
      <c r="V8" s="413"/>
      <c r="W8" s="413"/>
      <c r="X8" s="413"/>
      <c r="Y8" s="3"/>
      <c r="Z8" s="3"/>
      <c r="AA8" s="143" t="s">
        <v>2072</v>
      </c>
      <c r="AB8" s="272"/>
      <c r="AC8" s="256"/>
      <c r="AD8" s="221"/>
      <c r="AE8" s="348"/>
      <c r="AF8" s="146"/>
      <c r="AG8" s="146"/>
      <c r="AH8" s="146"/>
      <c r="AI8" s="146"/>
      <c r="AJ8" s="146"/>
      <c r="AK8" s="146"/>
      <c r="AL8" s="146"/>
      <c r="AM8" s="146"/>
      <c r="AN8" s="222"/>
      <c r="AO8" s="221">
        <v>1</v>
      </c>
      <c r="AP8" s="146"/>
      <c r="AQ8" s="146">
        <v>1</v>
      </c>
      <c r="AR8" s="146"/>
      <c r="AS8" s="146"/>
      <c r="AT8" s="146"/>
      <c r="AU8" s="222"/>
      <c r="AV8" s="221">
        <v>1</v>
      </c>
      <c r="AW8" s="146">
        <v>1</v>
      </c>
      <c r="AX8" s="146">
        <v>1</v>
      </c>
      <c r="AY8" s="222"/>
      <c r="AZ8" s="221">
        <v>1</v>
      </c>
      <c r="BA8" s="146"/>
      <c r="BB8" s="146"/>
      <c r="BC8" s="222"/>
    </row>
    <row r="9" spans="1:68" ht="15" customHeight="1" x14ac:dyDescent="0.25">
      <c r="A9" s="231"/>
      <c r="B9" s="232"/>
      <c r="C9" s="231"/>
      <c r="D9" s="232"/>
      <c r="E9" s="422"/>
      <c r="F9" s="422"/>
      <c r="G9" s="422"/>
      <c r="H9" s="422"/>
      <c r="I9" s="271"/>
      <c r="J9" s="231"/>
      <c r="K9" s="232"/>
      <c r="L9" s="3"/>
      <c r="M9" s="3"/>
      <c r="N9" s="3"/>
      <c r="O9" s="3"/>
      <c r="P9" s="3"/>
      <c r="Q9" s="3"/>
      <c r="R9" s="3"/>
      <c r="S9" s="3"/>
      <c r="T9" s="3"/>
      <c r="U9" s="3"/>
      <c r="V9" s="413"/>
      <c r="W9" s="413"/>
      <c r="X9" s="413"/>
      <c r="Y9" s="3"/>
      <c r="Z9" s="3"/>
      <c r="AA9" s="143"/>
      <c r="AB9" s="252"/>
      <c r="AC9" s="256"/>
      <c r="AD9" s="221"/>
      <c r="AE9" s="348"/>
      <c r="AF9" s="146"/>
      <c r="AG9" s="146"/>
      <c r="AH9" s="146"/>
      <c r="AI9" s="146"/>
      <c r="AJ9" s="146"/>
      <c r="AK9" s="146"/>
      <c r="AL9" s="146"/>
      <c r="AM9" s="146"/>
      <c r="AN9" s="222"/>
      <c r="AO9" s="221"/>
      <c r="AP9" s="146"/>
      <c r="AQ9" s="146"/>
      <c r="AR9" s="146"/>
      <c r="AS9" s="146"/>
      <c r="AT9" s="146"/>
      <c r="AU9" s="222"/>
      <c r="AV9" s="221"/>
      <c r="AW9" s="146"/>
      <c r="AX9" s="146"/>
      <c r="AY9" s="222"/>
      <c r="AZ9" s="221"/>
      <c r="BA9" s="146"/>
      <c r="BB9" s="146"/>
      <c r="BC9" s="222"/>
    </row>
    <row r="10" spans="1:68" ht="15" customHeight="1" x14ac:dyDescent="0.25">
      <c r="A10" s="231"/>
      <c r="B10" s="232"/>
      <c r="C10" s="231"/>
      <c r="D10" s="232"/>
      <c r="E10" s="422"/>
      <c r="F10" s="422"/>
      <c r="G10" s="422"/>
      <c r="H10" s="422"/>
      <c r="I10" s="271"/>
      <c r="J10" s="231"/>
      <c r="K10" s="232"/>
      <c r="L10" s="3"/>
      <c r="M10" s="3"/>
      <c r="N10" s="3"/>
      <c r="O10" s="3"/>
      <c r="P10" s="3"/>
      <c r="Q10" s="3"/>
      <c r="R10" s="3"/>
      <c r="S10" s="3"/>
      <c r="T10" s="3"/>
      <c r="U10" s="3"/>
      <c r="V10" s="413"/>
      <c r="W10" s="413"/>
      <c r="X10" s="413"/>
      <c r="Y10" s="3"/>
      <c r="Z10" s="3"/>
      <c r="AA10" s="143"/>
      <c r="AB10" s="252"/>
      <c r="AC10" s="256"/>
      <c r="AD10" s="221"/>
      <c r="AE10" s="348"/>
      <c r="AF10" s="146"/>
      <c r="AG10" s="146"/>
      <c r="AH10" s="146"/>
      <c r="AI10" s="146"/>
      <c r="AJ10" s="146"/>
      <c r="AK10" s="146"/>
      <c r="AL10" s="146"/>
      <c r="AM10" s="146"/>
      <c r="AN10" s="222"/>
      <c r="AO10" s="221"/>
      <c r="AP10" s="146"/>
      <c r="AQ10" s="146"/>
      <c r="AR10" s="146"/>
      <c r="AS10" s="146"/>
      <c r="AT10" s="146"/>
      <c r="AU10" s="222"/>
      <c r="AV10" s="221"/>
      <c r="AW10" s="146"/>
      <c r="AX10" s="146"/>
      <c r="AY10" s="222"/>
      <c r="AZ10" s="221"/>
      <c r="BA10" s="146"/>
      <c r="BB10" s="146"/>
      <c r="BC10" s="222"/>
    </row>
    <row r="11" spans="1:68" ht="15" customHeight="1" x14ac:dyDescent="0.25">
      <c r="A11" s="231"/>
      <c r="B11" s="232"/>
      <c r="C11" s="231"/>
      <c r="D11" s="232"/>
      <c r="E11" s="422"/>
      <c r="F11" s="422"/>
      <c r="G11" s="422"/>
      <c r="H11" s="422"/>
      <c r="I11" s="271"/>
      <c r="J11" s="231"/>
      <c r="K11" s="232"/>
      <c r="L11" s="3"/>
      <c r="M11" s="3"/>
      <c r="N11" s="3"/>
      <c r="O11" s="3"/>
      <c r="P11" s="3"/>
      <c r="Q11" s="3"/>
      <c r="R11" s="3"/>
      <c r="S11" s="3"/>
      <c r="T11" s="3"/>
      <c r="U11" s="3"/>
      <c r="V11" s="413"/>
      <c r="W11" s="413"/>
      <c r="X11" s="413"/>
      <c r="Y11" s="149"/>
      <c r="Z11" s="149"/>
      <c r="AA11" s="143"/>
      <c r="AB11" s="272"/>
      <c r="AC11" s="256"/>
      <c r="AD11" s="221"/>
      <c r="AE11" s="348"/>
      <c r="AF11" s="146"/>
      <c r="AG11" s="146"/>
      <c r="AH11" s="146"/>
      <c r="AI11" s="146"/>
      <c r="AJ11" s="146"/>
      <c r="AK11" s="146"/>
      <c r="AL11" s="146"/>
      <c r="AM11" s="146"/>
      <c r="AN11" s="222"/>
      <c r="AO11" s="221"/>
      <c r="AP11" s="146"/>
      <c r="AQ11" s="146"/>
      <c r="AR11" s="146"/>
      <c r="AS11" s="146"/>
      <c r="AT11" s="146"/>
      <c r="AU11" s="222"/>
      <c r="AV11" s="221"/>
      <c r="AW11" s="146"/>
      <c r="AX11" s="146"/>
      <c r="AY11" s="222"/>
      <c r="AZ11" s="221"/>
      <c r="BA11" s="146"/>
      <c r="BB11" s="146"/>
      <c r="BC11" s="222"/>
    </row>
    <row r="12" spans="1:68" ht="15" customHeight="1" x14ac:dyDescent="0.25">
      <c r="A12" s="231"/>
      <c r="B12" s="232"/>
      <c r="C12" s="231"/>
      <c r="D12" s="232"/>
      <c r="E12" s="422"/>
      <c r="F12" s="422"/>
      <c r="G12" s="422"/>
      <c r="H12" s="422"/>
      <c r="I12" s="271"/>
      <c r="J12" s="231"/>
      <c r="K12" s="232"/>
      <c r="L12" s="3"/>
      <c r="M12" s="3"/>
      <c r="N12" s="3"/>
      <c r="O12" s="3"/>
      <c r="P12" s="3"/>
      <c r="Q12" s="3"/>
      <c r="R12" s="3"/>
      <c r="S12" s="3"/>
      <c r="T12" s="3"/>
      <c r="U12" s="3"/>
      <c r="V12" s="413"/>
      <c r="W12" s="413"/>
      <c r="X12" s="413"/>
      <c r="Y12" s="149"/>
      <c r="Z12" s="149"/>
      <c r="AA12" s="143"/>
      <c r="AB12" s="272"/>
      <c r="AC12" s="256"/>
      <c r="AD12" s="221"/>
      <c r="AE12" s="348"/>
      <c r="AF12" s="146"/>
      <c r="AG12" s="146"/>
      <c r="AH12" s="146"/>
      <c r="AI12" s="146"/>
      <c r="AJ12" s="146"/>
      <c r="AK12" s="146"/>
      <c r="AL12" s="146"/>
      <c r="AM12" s="146"/>
      <c r="AN12" s="222"/>
      <c r="AO12" s="221"/>
      <c r="AP12" s="146"/>
      <c r="AQ12" s="146"/>
      <c r="AR12" s="146"/>
      <c r="AS12" s="146"/>
      <c r="AT12" s="146"/>
      <c r="AU12" s="222"/>
      <c r="AV12" s="221"/>
      <c r="AW12" s="146"/>
      <c r="AX12" s="146"/>
      <c r="AY12" s="222"/>
      <c r="AZ12" s="221"/>
      <c r="BA12" s="146"/>
      <c r="BB12" s="146"/>
      <c r="BC12" s="222"/>
    </row>
    <row r="13" spans="1:68" ht="15" customHeight="1" x14ac:dyDescent="0.25">
      <c r="A13" s="231"/>
      <c r="B13" s="232"/>
      <c r="C13" s="422"/>
      <c r="D13" s="422"/>
      <c r="E13" s="422"/>
      <c r="F13" s="422"/>
      <c r="G13" s="422"/>
      <c r="H13" s="422"/>
      <c r="I13" s="247"/>
      <c r="J13" s="3"/>
      <c r="K13" s="3"/>
      <c r="L13" s="3"/>
      <c r="M13" s="3"/>
      <c r="N13" s="3"/>
      <c r="O13" s="3"/>
      <c r="P13" s="3"/>
      <c r="Q13" s="3"/>
      <c r="R13" s="3"/>
      <c r="S13" s="3"/>
      <c r="T13" s="143"/>
      <c r="U13" s="143"/>
      <c r="V13" s="413"/>
      <c r="W13" s="413"/>
      <c r="X13" s="413"/>
      <c r="Y13" s="143"/>
      <c r="Z13" s="143"/>
      <c r="AA13" s="143"/>
      <c r="AB13" s="252"/>
      <c r="AC13" s="257"/>
      <c r="AD13" s="152"/>
      <c r="AE13" s="217"/>
      <c r="AF13" s="144"/>
      <c r="AG13" s="144"/>
      <c r="AH13" s="144"/>
      <c r="AI13" s="143"/>
      <c r="AJ13" s="143"/>
      <c r="AK13" s="147"/>
      <c r="AL13" s="147"/>
      <c r="AM13" s="147"/>
      <c r="AN13" s="153"/>
      <c r="AO13" s="152"/>
      <c r="AP13" s="143"/>
      <c r="AQ13" s="143"/>
      <c r="AR13" s="143"/>
      <c r="AS13" s="143"/>
      <c r="AT13" s="143"/>
      <c r="AU13" s="153"/>
      <c r="AV13" s="152"/>
      <c r="AW13" s="143"/>
      <c r="AX13" s="143"/>
      <c r="AY13" s="153"/>
      <c r="AZ13" s="152"/>
      <c r="BA13" s="143"/>
      <c r="BB13" s="143"/>
      <c r="BC13" s="153"/>
    </row>
    <row r="14" spans="1:68" x14ac:dyDescent="0.25">
      <c r="A14" s="231"/>
      <c r="B14" s="232"/>
      <c r="C14" s="3"/>
      <c r="D14" s="3"/>
      <c r="E14" s="3"/>
      <c r="F14" s="3"/>
      <c r="G14" s="3"/>
      <c r="H14" s="3"/>
      <c r="I14" s="247"/>
      <c r="J14" s="3"/>
      <c r="K14" s="3"/>
      <c r="L14" s="3"/>
      <c r="M14" s="3"/>
      <c r="N14" s="3"/>
      <c r="O14" s="3"/>
      <c r="P14" s="3"/>
      <c r="Q14" s="3"/>
      <c r="R14" s="3"/>
      <c r="S14" s="3"/>
      <c r="T14" s="143"/>
      <c r="U14" s="143"/>
      <c r="V14" s="413"/>
      <c r="W14" s="413"/>
      <c r="X14" s="413"/>
      <c r="Y14" s="143"/>
      <c r="Z14" s="143"/>
      <c r="AA14" s="143"/>
      <c r="AB14" s="252"/>
      <c r="AC14" s="257"/>
      <c r="AD14" s="152"/>
      <c r="AE14" s="217"/>
      <c r="AF14" s="144"/>
      <c r="AG14" s="144"/>
      <c r="AH14" s="144"/>
      <c r="AI14" s="143"/>
      <c r="AJ14" s="143"/>
      <c r="AK14" s="147"/>
      <c r="AL14" s="147"/>
      <c r="AM14" s="147"/>
      <c r="AN14" s="153"/>
      <c r="AO14" s="152"/>
      <c r="AP14" s="143"/>
      <c r="AQ14" s="143"/>
      <c r="AR14" s="143"/>
      <c r="AS14" s="143"/>
      <c r="AT14" s="143"/>
      <c r="AU14" s="153"/>
      <c r="AV14" s="152"/>
      <c r="AW14" s="143"/>
      <c r="AX14" s="143"/>
      <c r="AY14" s="153"/>
      <c r="AZ14" s="152"/>
      <c r="BA14" s="143"/>
      <c r="BB14" s="143"/>
      <c r="BC14" s="153"/>
    </row>
    <row r="15" spans="1:68" x14ac:dyDescent="0.25">
      <c r="A15" s="231"/>
      <c r="B15" s="232"/>
      <c r="C15" s="3"/>
      <c r="D15" s="3"/>
      <c r="E15" s="3"/>
      <c r="F15" s="3"/>
      <c r="G15" s="3"/>
      <c r="H15" s="3"/>
      <c r="I15" s="247"/>
      <c r="J15" s="3"/>
      <c r="K15" s="3"/>
      <c r="L15" s="3"/>
      <c r="M15" s="3"/>
      <c r="N15" s="3"/>
      <c r="O15" s="3"/>
      <c r="P15" s="3"/>
      <c r="Q15" s="3"/>
      <c r="R15" s="3"/>
      <c r="S15" s="3"/>
      <c r="T15" s="143"/>
      <c r="U15" s="143"/>
      <c r="V15" s="413"/>
      <c r="W15" s="413"/>
      <c r="X15" s="413"/>
      <c r="Y15" s="143"/>
      <c r="Z15" s="143"/>
      <c r="AA15" s="143"/>
      <c r="AB15" s="252"/>
      <c r="AC15" s="257"/>
      <c r="AD15" s="152"/>
      <c r="AE15" s="217"/>
      <c r="AF15" s="144"/>
      <c r="AG15" s="144"/>
      <c r="AH15" s="144"/>
      <c r="AI15" s="143"/>
      <c r="AJ15" s="143"/>
      <c r="AK15" s="147"/>
      <c r="AL15" s="147"/>
      <c r="AM15" s="147"/>
      <c r="AN15" s="153"/>
      <c r="AO15" s="152"/>
      <c r="AP15" s="143"/>
      <c r="AQ15" s="143"/>
      <c r="AR15" s="143"/>
      <c r="AS15" s="143"/>
      <c r="AT15" s="143"/>
      <c r="AU15" s="153"/>
      <c r="AV15" s="152"/>
      <c r="AW15" s="143"/>
      <c r="AX15" s="143"/>
      <c r="AY15" s="153"/>
      <c r="AZ15" s="152"/>
      <c r="BA15" s="143"/>
      <c r="BB15" s="143"/>
      <c r="BC15" s="153"/>
      <c r="BI15" s="218"/>
    </row>
    <row r="16" spans="1:68" s="33" customForma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143"/>
      <c r="U16" s="143"/>
      <c r="V16" s="413"/>
      <c r="W16" s="413"/>
      <c r="X16" s="413"/>
      <c r="Y16" s="143"/>
      <c r="Z16" s="143"/>
      <c r="AA16" s="143"/>
      <c r="AB16" s="252"/>
      <c r="AC16" s="257"/>
      <c r="AD16" s="152"/>
      <c r="AE16" s="217"/>
      <c r="AF16" s="144"/>
      <c r="AG16" s="144"/>
      <c r="AH16" s="144"/>
      <c r="AI16" s="143"/>
      <c r="AJ16" s="143"/>
      <c r="AK16" s="147"/>
      <c r="AL16" s="147"/>
      <c r="AM16" s="147"/>
      <c r="AN16" s="153"/>
      <c r="AO16" s="207"/>
      <c r="AP16" s="145"/>
      <c r="AQ16" s="145"/>
      <c r="AR16" s="145"/>
      <c r="AS16" s="145"/>
      <c r="AT16" s="145"/>
      <c r="AU16" s="209"/>
      <c r="AV16" s="207"/>
      <c r="AW16" s="145"/>
      <c r="AX16" s="145"/>
      <c r="AY16" s="209"/>
      <c r="AZ16" s="207"/>
      <c r="BA16" s="145"/>
      <c r="BB16" s="145"/>
      <c r="BC16" s="209"/>
    </row>
    <row r="17" spans="1:55" s="33" customForma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143"/>
      <c r="U17" s="143"/>
      <c r="V17" s="413"/>
      <c r="W17" s="413"/>
      <c r="X17" s="413"/>
      <c r="Y17" s="143"/>
      <c r="Z17" s="143"/>
      <c r="AA17" s="143"/>
      <c r="AB17" s="252"/>
      <c r="AC17" s="257"/>
      <c r="AD17" s="152"/>
      <c r="AE17" s="217"/>
      <c r="AF17" s="144"/>
      <c r="AG17" s="144"/>
      <c r="AH17" s="144"/>
      <c r="AI17" s="143"/>
      <c r="AJ17" s="143"/>
      <c r="AK17" s="147"/>
      <c r="AL17" s="147"/>
      <c r="AM17" s="147"/>
      <c r="AN17" s="153"/>
      <c r="AO17" s="207"/>
      <c r="AP17" s="145"/>
      <c r="AQ17" s="145"/>
      <c r="AR17" s="145"/>
      <c r="AS17" s="145"/>
      <c r="AT17" s="145"/>
      <c r="AU17" s="209"/>
      <c r="AV17" s="207"/>
      <c r="AW17" s="145"/>
      <c r="AX17" s="145"/>
      <c r="AY17" s="209"/>
      <c r="AZ17" s="207"/>
      <c r="BA17" s="145"/>
      <c r="BB17" s="145"/>
      <c r="BC17" s="209"/>
    </row>
    <row r="18" spans="1:55" s="33" customForma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143"/>
      <c r="U18" s="143"/>
      <c r="V18" s="413"/>
      <c r="W18" s="413"/>
      <c r="X18" s="413"/>
      <c r="Y18" s="143"/>
      <c r="Z18" s="143"/>
      <c r="AA18" s="143"/>
      <c r="AB18" s="252"/>
      <c r="AC18" s="257"/>
      <c r="AD18" s="152"/>
      <c r="AE18" s="217"/>
      <c r="AF18" s="144"/>
      <c r="AG18" s="144"/>
      <c r="AH18" s="144"/>
      <c r="AI18" s="143"/>
      <c r="AJ18" s="143"/>
      <c r="AK18" s="147"/>
      <c r="AL18" s="147"/>
      <c r="AM18" s="147"/>
      <c r="AN18" s="153"/>
      <c r="AO18" s="207"/>
      <c r="AP18" s="145"/>
      <c r="AQ18" s="145"/>
      <c r="AR18" s="145"/>
      <c r="AS18" s="145"/>
      <c r="AT18" s="145"/>
      <c r="AU18" s="209"/>
      <c r="AV18" s="207"/>
      <c r="AW18" s="145"/>
      <c r="AX18" s="145"/>
      <c r="AY18" s="209"/>
      <c r="AZ18" s="207"/>
      <c r="BA18" s="145"/>
      <c r="BB18" s="145"/>
      <c r="BC18" s="209"/>
    </row>
    <row r="19" spans="1:55" s="33" customForma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143"/>
      <c r="U19" s="143"/>
      <c r="V19" s="413"/>
      <c r="W19" s="413"/>
      <c r="X19" s="413"/>
      <c r="Y19" s="143"/>
      <c r="Z19" s="143"/>
      <c r="AA19" s="143"/>
      <c r="AB19" s="252"/>
      <c r="AC19" s="257"/>
      <c r="AD19" s="152"/>
      <c r="AE19" s="217"/>
      <c r="AF19" s="144"/>
      <c r="AG19" s="144"/>
      <c r="AH19" s="144"/>
      <c r="AI19" s="143"/>
      <c r="AJ19" s="143"/>
      <c r="AK19" s="147"/>
      <c r="AL19" s="147"/>
      <c r="AM19" s="147"/>
      <c r="AN19" s="153"/>
      <c r="AO19" s="207"/>
      <c r="AP19" s="145"/>
      <c r="AQ19" s="145"/>
      <c r="AR19" s="145"/>
      <c r="AS19" s="145"/>
      <c r="AT19" s="145"/>
      <c r="AU19" s="209"/>
      <c r="AV19" s="207"/>
      <c r="AW19" s="145"/>
      <c r="AX19" s="145"/>
      <c r="AY19" s="209"/>
      <c r="AZ19" s="207"/>
      <c r="BA19" s="145"/>
      <c r="BB19" s="145"/>
      <c r="BC19" s="209"/>
    </row>
    <row r="20" spans="1:55" s="33" customForma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143"/>
      <c r="U20" s="143"/>
      <c r="V20" s="143"/>
      <c r="W20" s="143"/>
      <c r="X20" s="143"/>
      <c r="Y20" s="143"/>
      <c r="Z20" s="143"/>
      <c r="AA20" s="143"/>
      <c r="AB20" s="252"/>
      <c r="AC20" s="257"/>
      <c r="AD20" s="152"/>
      <c r="AE20" s="217"/>
      <c r="AF20" s="144"/>
      <c r="AG20" s="144"/>
      <c r="AH20" s="144"/>
      <c r="AI20" s="143"/>
      <c r="AJ20" s="143"/>
      <c r="AK20" s="147"/>
      <c r="AL20" s="147"/>
      <c r="AM20" s="147"/>
      <c r="AN20" s="153"/>
      <c r="AO20" s="207"/>
      <c r="AP20" s="145"/>
      <c r="AQ20" s="145"/>
      <c r="AR20" s="145"/>
      <c r="AS20" s="145"/>
      <c r="AT20" s="145"/>
      <c r="AU20" s="209"/>
      <c r="AV20" s="207"/>
      <c r="AW20" s="145"/>
      <c r="AX20" s="145"/>
      <c r="AY20" s="209"/>
      <c r="AZ20" s="207"/>
      <c r="BA20" s="145"/>
      <c r="BB20" s="145"/>
      <c r="BC20" s="209"/>
    </row>
    <row r="21" spans="1:55" s="33" customForma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143"/>
      <c r="U21" s="143"/>
      <c r="V21" s="143"/>
      <c r="W21" s="143"/>
      <c r="X21" s="143"/>
      <c r="Y21" s="143"/>
      <c r="Z21" s="143"/>
      <c r="AA21" s="143"/>
      <c r="AB21" s="252"/>
      <c r="AC21" s="257"/>
      <c r="AD21" s="152"/>
      <c r="AE21" s="217"/>
      <c r="AF21" s="144"/>
      <c r="AG21" s="144"/>
      <c r="AH21" s="144"/>
      <c r="AI21" s="143"/>
      <c r="AJ21" s="143"/>
      <c r="AK21" s="147"/>
      <c r="AL21" s="147"/>
      <c r="AM21" s="147"/>
      <c r="AN21" s="153"/>
      <c r="AO21" s="207"/>
      <c r="AP21" s="145"/>
      <c r="AQ21" s="145"/>
      <c r="AR21" s="145"/>
      <c r="AS21" s="145"/>
      <c r="AT21" s="145"/>
      <c r="AU21" s="209"/>
      <c r="AV21" s="207"/>
      <c r="AW21" s="145"/>
      <c r="AX21" s="145"/>
      <c r="AY21" s="209"/>
      <c r="AZ21" s="207"/>
      <c r="BA21" s="145"/>
      <c r="BB21" s="145"/>
      <c r="BC21" s="209"/>
    </row>
    <row r="22" spans="1:55" s="33" customForma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143"/>
      <c r="U22" s="143"/>
      <c r="V22" s="143"/>
      <c r="W22" s="143"/>
      <c r="X22" s="143"/>
      <c r="Y22" s="143"/>
      <c r="Z22" s="143"/>
      <c r="AA22" s="143"/>
      <c r="AB22" s="252"/>
      <c r="AC22" s="257"/>
      <c r="AD22" s="152"/>
      <c r="AE22" s="217"/>
      <c r="AF22" s="144"/>
      <c r="AG22" s="144"/>
      <c r="AH22" s="144"/>
      <c r="AI22" s="143"/>
      <c r="AJ22" s="143"/>
      <c r="AK22" s="147"/>
      <c r="AL22" s="147"/>
      <c r="AM22" s="147"/>
      <c r="AN22" s="153"/>
      <c r="AO22" s="207"/>
      <c r="AP22" s="145"/>
      <c r="AQ22" s="145"/>
      <c r="AR22" s="145"/>
      <c r="AS22" s="145"/>
      <c r="AT22" s="145"/>
      <c r="AU22" s="209"/>
      <c r="AV22" s="207"/>
      <c r="AW22" s="145"/>
      <c r="AX22" s="145"/>
      <c r="AY22" s="209"/>
      <c r="AZ22" s="207"/>
      <c r="BA22" s="145"/>
      <c r="BB22" s="145"/>
      <c r="BC22" s="209"/>
    </row>
    <row r="23" spans="1:55" s="33" customForma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143"/>
      <c r="U23" s="143"/>
      <c r="V23" s="143"/>
      <c r="W23" s="143"/>
      <c r="X23" s="143"/>
      <c r="Y23" s="143"/>
      <c r="Z23" s="143"/>
      <c r="AA23" s="143"/>
      <c r="AB23" s="252"/>
      <c r="AC23" s="257"/>
      <c r="AD23" s="152"/>
      <c r="AE23" s="217"/>
      <c r="AF23" s="144"/>
      <c r="AG23" s="144"/>
      <c r="AH23" s="144"/>
      <c r="AI23" s="143"/>
      <c r="AJ23" s="143"/>
      <c r="AK23" s="147"/>
      <c r="AL23" s="147"/>
      <c r="AM23" s="147"/>
      <c r="AN23" s="153"/>
      <c r="AO23" s="207"/>
      <c r="AP23" s="145"/>
      <c r="AQ23" s="145"/>
      <c r="AR23" s="145"/>
      <c r="AS23" s="145"/>
      <c r="AT23" s="145"/>
      <c r="AU23" s="209"/>
      <c r="AV23" s="207"/>
      <c r="AW23" s="145"/>
      <c r="AX23" s="145"/>
      <c r="AY23" s="209"/>
      <c r="AZ23" s="207"/>
      <c r="BA23" s="145"/>
      <c r="BB23" s="145"/>
      <c r="BC23" s="209"/>
    </row>
    <row r="24" spans="1:55" s="33" customForma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143"/>
      <c r="U24" s="143"/>
      <c r="V24" s="143"/>
      <c r="W24" s="143"/>
      <c r="X24" s="143"/>
      <c r="Y24" s="143"/>
      <c r="Z24" s="143"/>
      <c r="AA24" s="143"/>
      <c r="AB24" s="252"/>
      <c r="AC24" s="257"/>
      <c r="AD24" s="152"/>
      <c r="AE24" s="217"/>
      <c r="AF24" s="144"/>
      <c r="AG24" s="144"/>
      <c r="AH24" s="144"/>
      <c r="AI24" s="143"/>
      <c r="AJ24" s="143"/>
      <c r="AK24" s="147"/>
      <c r="AL24" s="147"/>
      <c r="AM24" s="147"/>
      <c r="AN24" s="153"/>
      <c r="AO24" s="207"/>
      <c r="AP24" s="145"/>
      <c r="AQ24" s="145"/>
      <c r="AR24" s="145"/>
      <c r="AS24" s="145"/>
      <c r="AT24" s="145"/>
      <c r="AU24" s="209"/>
      <c r="AV24" s="207"/>
      <c r="AW24" s="145"/>
      <c r="AX24" s="145"/>
      <c r="AY24" s="209"/>
      <c r="AZ24" s="207"/>
      <c r="BA24" s="145"/>
      <c r="BB24" s="145"/>
      <c r="BC24" s="209"/>
    </row>
    <row r="25" spans="1:55" s="33" customForma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143"/>
      <c r="U25" s="143"/>
      <c r="V25" s="143"/>
      <c r="W25" s="143"/>
      <c r="X25" s="143"/>
      <c r="Y25" s="143"/>
      <c r="Z25" s="143"/>
      <c r="AA25" s="143"/>
      <c r="AB25" s="252"/>
      <c r="AC25" s="257"/>
      <c r="AD25" s="152"/>
      <c r="AE25" s="217"/>
      <c r="AF25" s="144"/>
      <c r="AG25" s="144"/>
      <c r="AH25" s="144"/>
      <c r="AI25" s="143"/>
      <c r="AJ25" s="143"/>
      <c r="AK25" s="147"/>
      <c r="AL25" s="147"/>
      <c r="AM25" s="147"/>
      <c r="AN25" s="153"/>
      <c r="AO25" s="207"/>
      <c r="AP25" s="145"/>
      <c r="AQ25" s="145"/>
      <c r="AR25" s="145"/>
      <c r="AS25" s="145"/>
      <c r="AT25" s="145"/>
      <c r="AU25" s="209"/>
      <c r="AV25" s="207"/>
      <c r="AW25" s="145"/>
      <c r="AX25" s="145"/>
      <c r="AY25" s="209"/>
      <c r="AZ25" s="207"/>
      <c r="BA25" s="145"/>
      <c r="BB25" s="145"/>
      <c r="BC25" s="209"/>
    </row>
    <row r="26" spans="1:55" s="33" customForma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143"/>
      <c r="U26" s="143"/>
      <c r="V26" s="143"/>
      <c r="W26" s="143"/>
      <c r="X26" s="143"/>
      <c r="Y26" s="143"/>
      <c r="Z26" s="143"/>
      <c r="AA26" s="143"/>
      <c r="AB26" s="252"/>
      <c r="AC26" s="257"/>
      <c r="AD26" s="152"/>
      <c r="AE26" s="217"/>
      <c r="AF26" s="144"/>
      <c r="AG26" s="144"/>
      <c r="AH26" s="144"/>
      <c r="AI26" s="143"/>
      <c r="AJ26" s="143"/>
      <c r="AK26" s="147"/>
      <c r="AL26" s="147"/>
      <c r="AM26" s="147"/>
      <c r="AN26" s="153"/>
      <c r="AO26" s="207"/>
      <c r="AP26" s="145"/>
      <c r="AQ26" s="145"/>
      <c r="AR26" s="145"/>
      <c r="AS26" s="145"/>
      <c r="AT26" s="145"/>
      <c r="AU26" s="209"/>
      <c r="AV26" s="207"/>
      <c r="AW26" s="145"/>
      <c r="AX26" s="145"/>
      <c r="AY26" s="209"/>
      <c r="AZ26" s="207"/>
      <c r="BA26" s="145"/>
      <c r="BB26" s="145"/>
      <c r="BC26" s="209"/>
    </row>
    <row r="27" spans="1:55" s="33" customForma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143"/>
      <c r="U27" s="143"/>
      <c r="V27" s="143"/>
      <c r="W27" s="143"/>
      <c r="X27" s="143"/>
      <c r="Y27" s="143"/>
      <c r="Z27" s="143"/>
      <c r="AA27" s="143"/>
      <c r="AB27" s="252"/>
      <c r="AC27" s="257"/>
      <c r="AD27" s="152"/>
      <c r="AE27" s="217"/>
      <c r="AF27" s="144"/>
      <c r="AG27" s="144"/>
      <c r="AH27" s="144"/>
      <c r="AI27" s="143"/>
      <c r="AJ27" s="143"/>
      <c r="AK27" s="147"/>
      <c r="AL27" s="147"/>
      <c r="AM27" s="147"/>
      <c r="AN27" s="153"/>
      <c r="AO27" s="207"/>
      <c r="AP27" s="145"/>
      <c r="AQ27" s="145"/>
      <c r="AR27" s="145"/>
      <c r="AS27" s="145"/>
      <c r="AT27" s="145"/>
      <c r="AU27" s="209"/>
      <c r="AV27" s="207"/>
      <c r="AW27" s="145"/>
      <c r="AX27" s="145"/>
      <c r="AY27" s="209"/>
      <c r="AZ27" s="207"/>
      <c r="BA27" s="145"/>
      <c r="BB27" s="145"/>
      <c r="BC27" s="209"/>
    </row>
    <row r="28" spans="1:55" s="33" customForma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143"/>
      <c r="U28" s="143"/>
      <c r="V28" s="143"/>
      <c r="W28" s="143"/>
      <c r="X28" s="143"/>
      <c r="Y28" s="143"/>
      <c r="Z28" s="143"/>
      <c r="AA28" s="143"/>
      <c r="AB28" s="252"/>
      <c r="AC28" s="257"/>
      <c r="AD28" s="152"/>
      <c r="AE28" s="217"/>
      <c r="AF28" s="144"/>
      <c r="AG28" s="144"/>
      <c r="AH28" s="144"/>
      <c r="AI28" s="143"/>
      <c r="AJ28" s="143"/>
      <c r="AK28" s="147"/>
      <c r="AL28" s="147"/>
      <c r="AM28" s="147"/>
      <c r="AN28" s="153"/>
      <c r="AO28" s="207"/>
      <c r="AP28" s="145"/>
      <c r="AQ28" s="145"/>
      <c r="AR28" s="145"/>
      <c r="AS28" s="145"/>
      <c r="AT28" s="145"/>
      <c r="AU28" s="209"/>
      <c r="AV28" s="207"/>
      <c r="AW28" s="145"/>
      <c r="AX28" s="145"/>
      <c r="AY28" s="209"/>
      <c r="AZ28" s="207"/>
      <c r="BA28" s="145"/>
      <c r="BB28" s="145"/>
      <c r="BC28" s="209"/>
    </row>
    <row r="29" spans="1:55" s="33" customForma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143"/>
      <c r="U29" s="143"/>
      <c r="V29" s="143"/>
      <c r="W29" s="143"/>
      <c r="X29" s="143"/>
      <c r="Y29" s="143"/>
      <c r="Z29" s="143"/>
      <c r="AA29" s="143"/>
      <c r="AB29" s="252"/>
      <c r="AC29" s="257"/>
      <c r="AD29" s="152"/>
      <c r="AE29" s="217"/>
      <c r="AF29" s="144"/>
      <c r="AG29" s="144"/>
      <c r="AH29" s="144"/>
      <c r="AI29" s="143"/>
      <c r="AJ29" s="143"/>
      <c r="AK29" s="147"/>
      <c r="AL29" s="147"/>
      <c r="AM29" s="147"/>
      <c r="AN29" s="153"/>
      <c r="AO29" s="207"/>
      <c r="AP29" s="145"/>
      <c r="AQ29" s="145"/>
      <c r="AR29" s="145"/>
      <c r="AS29" s="145"/>
      <c r="AT29" s="145"/>
      <c r="AU29" s="209"/>
      <c r="AV29" s="207"/>
      <c r="AW29" s="145"/>
      <c r="AX29" s="145"/>
      <c r="AY29" s="209"/>
      <c r="AZ29" s="207"/>
      <c r="BA29" s="145"/>
      <c r="BB29" s="145"/>
      <c r="BC29" s="209"/>
    </row>
    <row r="30" spans="1:55" s="33" customForma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143"/>
      <c r="U30" s="143"/>
      <c r="V30" s="143"/>
      <c r="W30" s="143"/>
      <c r="X30" s="143"/>
      <c r="Y30" s="143"/>
      <c r="Z30" s="143"/>
      <c r="AA30" s="143"/>
      <c r="AB30" s="252"/>
      <c r="AC30" s="257"/>
      <c r="AD30" s="152"/>
      <c r="AE30" s="217"/>
      <c r="AF30" s="144"/>
      <c r="AG30" s="144"/>
      <c r="AH30" s="144"/>
      <c r="AI30" s="143"/>
      <c r="AJ30" s="143"/>
      <c r="AK30" s="147"/>
      <c r="AL30" s="147"/>
      <c r="AM30" s="147"/>
      <c r="AN30" s="153"/>
      <c r="AO30" s="207"/>
      <c r="AP30" s="145"/>
      <c r="AQ30" s="145"/>
      <c r="AR30" s="145"/>
      <c r="AS30" s="145"/>
      <c r="AT30" s="145"/>
      <c r="AU30" s="209"/>
      <c r="AV30" s="207"/>
      <c r="AW30" s="145"/>
      <c r="AX30" s="145"/>
      <c r="AY30" s="209"/>
      <c r="AZ30" s="207"/>
      <c r="BA30" s="145"/>
      <c r="BB30" s="145"/>
      <c r="BC30" s="209"/>
    </row>
    <row r="31" spans="1:55" s="33" customForma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143"/>
      <c r="U31" s="143"/>
      <c r="V31" s="143"/>
      <c r="W31" s="143"/>
      <c r="X31" s="143"/>
      <c r="Y31" s="143"/>
      <c r="Z31" s="143"/>
      <c r="AA31" s="143"/>
      <c r="AB31" s="252"/>
      <c r="AC31" s="257"/>
      <c r="AD31" s="152"/>
      <c r="AE31" s="217"/>
      <c r="AF31" s="144"/>
      <c r="AG31" s="144"/>
      <c r="AH31" s="144"/>
      <c r="AI31" s="143"/>
      <c r="AJ31" s="143"/>
      <c r="AK31" s="147"/>
      <c r="AL31" s="147"/>
      <c r="AM31" s="147"/>
      <c r="AN31" s="153"/>
      <c r="AO31" s="207"/>
      <c r="AP31" s="145"/>
      <c r="AQ31" s="145"/>
      <c r="AR31" s="145"/>
      <c r="AS31" s="145"/>
      <c r="AT31" s="145"/>
      <c r="AU31" s="209"/>
      <c r="AV31" s="207"/>
      <c r="AW31" s="145"/>
      <c r="AX31" s="145"/>
      <c r="AY31" s="209"/>
      <c r="AZ31" s="207"/>
      <c r="BA31" s="145"/>
      <c r="BB31" s="145"/>
      <c r="BC31" s="209"/>
    </row>
    <row r="32" spans="1:55" s="33" customForma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143"/>
      <c r="U32" s="143"/>
      <c r="V32" s="143"/>
      <c r="W32" s="143"/>
      <c r="X32" s="143"/>
      <c r="Y32" s="143"/>
      <c r="Z32" s="143"/>
      <c r="AA32" s="143"/>
      <c r="AB32" s="252"/>
      <c r="AC32" s="257"/>
      <c r="AD32" s="152"/>
      <c r="AE32" s="217"/>
      <c r="AF32" s="144"/>
      <c r="AG32" s="144"/>
      <c r="AH32" s="144"/>
      <c r="AI32" s="143"/>
      <c r="AJ32" s="143"/>
      <c r="AK32" s="147"/>
      <c r="AL32" s="147"/>
      <c r="AM32" s="147"/>
      <c r="AN32" s="153"/>
      <c r="AO32" s="207"/>
      <c r="AP32" s="145"/>
      <c r="AQ32" s="145"/>
      <c r="AR32" s="145"/>
      <c r="AS32" s="145"/>
      <c r="AT32" s="145"/>
      <c r="AU32" s="209"/>
      <c r="AV32" s="207"/>
      <c r="AW32" s="145"/>
      <c r="AX32" s="145"/>
      <c r="AY32" s="209"/>
      <c r="AZ32" s="207"/>
      <c r="BA32" s="145"/>
      <c r="BB32" s="145"/>
      <c r="BC32" s="209"/>
    </row>
    <row r="33" spans="1:55" s="33" customForma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143"/>
      <c r="U33" s="143"/>
      <c r="V33" s="143"/>
      <c r="W33" s="143"/>
      <c r="X33" s="143"/>
      <c r="Y33" s="143"/>
      <c r="Z33" s="143"/>
      <c r="AA33" s="143"/>
      <c r="AB33" s="252"/>
      <c r="AC33" s="257"/>
      <c r="AD33" s="152"/>
      <c r="AE33" s="217"/>
      <c r="AF33" s="144"/>
      <c r="AG33" s="144"/>
      <c r="AH33" s="144"/>
      <c r="AI33" s="143"/>
      <c r="AJ33" s="143"/>
      <c r="AK33" s="147"/>
      <c r="AL33" s="147"/>
      <c r="AM33" s="147"/>
      <c r="AN33" s="153"/>
      <c r="AO33" s="207"/>
      <c r="AP33" s="145"/>
      <c r="AQ33" s="145"/>
      <c r="AR33" s="145"/>
      <c r="AS33" s="145"/>
      <c r="AT33" s="145"/>
      <c r="AU33" s="209"/>
      <c r="AV33" s="207"/>
      <c r="AW33" s="145"/>
      <c r="AX33" s="145"/>
      <c r="AY33" s="209"/>
      <c r="AZ33" s="207"/>
      <c r="BA33" s="145"/>
      <c r="BB33" s="145"/>
      <c r="BC33" s="209"/>
    </row>
    <row r="34" spans="1:55" s="33" customForma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143"/>
      <c r="U34" s="143"/>
      <c r="V34" s="143"/>
      <c r="W34" s="143"/>
      <c r="X34" s="143"/>
      <c r="Y34" s="143"/>
      <c r="Z34" s="143"/>
      <c r="AA34" s="143"/>
      <c r="AB34" s="252"/>
      <c r="AC34" s="257"/>
      <c r="AD34" s="152"/>
      <c r="AE34" s="217"/>
      <c r="AF34" s="144"/>
      <c r="AG34" s="144"/>
      <c r="AH34" s="144"/>
      <c r="AI34" s="143"/>
      <c r="AJ34" s="143"/>
      <c r="AK34" s="147"/>
      <c r="AL34" s="147"/>
      <c r="AM34" s="147"/>
      <c r="AN34" s="153"/>
      <c r="AO34" s="207"/>
      <c r="AP34" s="145"/>
      <c r="AQ34" s="145"/>
      <c r="AR34" s="145"/>
      <c r="AS34" s="145"/>
      <c r="AT34" s="145"/>
      <c r="AU34" s="209"/>
      <c r="AV34" s="207"/>
      <c r="AW34" s="145"/>
      <c r="AX34" s="145"/>
      <c r="AY34" s="209"/>
      <c r="AZ34" s="207"/>
      <c r="BA34" s="145"/>
      <c r="BB34" s="145"/>
      <c r="BC34" s="209"/>
    </row>
    <row r="35" spans="1:55" s="33" customForma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143"/>
      <c r="U35" s="143"/>
      <c r="V35" s="143"/>
      <c r="W35" s="143"/>
      <c r="X35" s="143"/>
      <c r="Y35" s="143"/>
      <c r="Z35" s="143"/>
      <c r="AA35" s="143"/>
      <c r="AB35" s="252"/>
      <c r="AC35" s="257"/>
      <c r="AD35" s="152"/>
      <c r="AE35" s="217"/>
      <c r="AF35" s="144"/>
      <c r="AG35" s="144"/>
      <c r="AH35" s="144"/>
      <c r="AI35" s="143"/>
      <c r="AJ35" s="143"/>
      <c r="AK35" s="147"/>
      <c r="AL35" s="147"/>
      <c r="AM35" s="147"/>
      <c r="AN35" s="153"/>
      <c r="AO35" s="207"/>
      <c r="AP35" s="145"/>
      <c r="AQ35" s="145"/>
      <c r="AR35" s="145"/>
      <c r="AS35" s="145"/>
      <c r="AT35" s="145"/>
      <c r="AU35" s="209"/>
      <c r="AV35" s="207"/>
      <c r="AW35" s="145"/>
      <c r="AX35" s="145"/>
      <c r="AY35" s="209"/>
      <c r="AZ35" s="207"/>
      <c r="BA35" s="145"/>
      <c r="BB35" s="145"/>
      <c r="BC35" s="209"/>
    </row>
    <row r="36" spans="1:55" s="33" customForma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143"/>
      <c r="U36" s="143"/>
      <c r="V36" s="143"/>
      <c r="W36" s="143"/>
      <c r="X36" s="143"/>
      <c r="Y36" s="143"/>
      <c r="Z36" s="143"/>
      <c r="AA36" s="143"/>
      <c r="AB36" s="252"/>
      <c r="AC36" s="257"/>
      <c r="AD36" s="152"/>
      <c r="AE36" s="217"/>
      <c r="AF36" s="144"/>
      <c r="AG36" s="144"/>
      <c r="AH36" s="144"/>
      <c r="AI36" s="143"/>
      <c r="AJ36" s="143"/>
      <c r="AK36" s="147"/>
      <c r="AL36" s="147"/>
      <c r="AM36" s="147"/>
      <c r="AN36" s="153"/>
      <c r="AO36" s="207"/>
      <c r="AP36" s="145"/>
      <c r="AQ36" s="145"/>
      <c r="AR36" s="145"/>
      <c r="AS36" s="145"/>
      <c r="AT36" s="145"/>
      <c r="AU36" s="209"/>
      <c r="AV36" s="207"/>
      <c r="AW36" s="145"/>
      <c r="AX36" s="145"/>
      <c r="AY36" s="209"/>
      <c r="AZ36" s="207"/>
      <c r="BA36" s="145"/>
      <c r="BB36" s="145"/>
      <c r="BC36" s="209"/>
    </row>
    <row r="37" spans="1:55" s="33" customForma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143"/>
      <c r="U37" s="143"/>
      <c r="V37" s="143"/>
      <c r="W37" s="143"/>
      <c r="X37" s="143"/>
      <c r="Y37" s="143"/>
      <c r="Z37" s="143"/>
      <c r="AA37" s="143"/>
      <c r="AB37" s="252"/>
      <c r="AC37" s="257"/>
      <c r="AD37" s="152"/>
      <c r="AE37" s="217"/>
      <c r="AF37" s="144"/>
      <c r="AG37" s="144"/>
      <c r="AH37" s="144"/>
      <c r="AI37" s="143"/>
      <c r="AJ37" s="143"/>
      <c r="AK37" s="147"/>
      <c r="AL37" s="147"/>
      <c r="AM37" s="147"/>
      <c r="AN37" s="153"/>
      <c r="AO37" s="207"/>
      <c r="AP37" s="145"/>
      <c r="AQ37" s="145"/>
      <c r="AR37" s="145"/>
      <c r="AS37" s="145"/>
      <c r="AT37" s="145"/>
      <c r="AU37" s="209"/>
      <c r="AV37" s="207"/>
      <c r="AW37" s="145"/>
      <c r="AX37" s="145"/>
      <c r="AY37" s="209"/>
      <c r="AZ37" s="207"/>
      <c r="BA37" s="145"/>
      <c r="BB37" s="145"/>
      <c r="BC37" s="209"/>
    </row>
    <row r="38" spans="1:55" s="33" customForma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143"/>
      <c r="U38" s="143"/>
      <c r="V38" s="143"/>
      <c r="W38" s="143"/>
      <c r="X38" s="143"/>
      <c r="Y38" s="143"/>
      <c r="Z38" s="143"/>
      <c r="AA38" s="143"/>
      <c r="AB38" s="252"/>
      <c r="AC38" s="257"/>
      <c r="AD38" s="152"/>
      <c r="AE38" s="217"/>
      <c r="AF38" s="144"/>
      <c r="AG38" s="144"/>
      <c r="AH38" s="144"/>
      <c r="AI38" s="143"/>
      <c r="AJ38" s="143"/>
      <c r="AK38" s="147"/>
      <c r="AL38" s="147"/>
      <c r="AM38" s="147"/>
      <c r="AN38" s="153"/>
      <c r="AO38" s="207"/>
      <c r="AP38" s="145"/>
      <c r="AQ38" s="145"/>
      <c r="AR38" s="145"/>
      <c r="AS38" s="145"/>
      <c r="AT38" s="145"/>
      <c r="AU38" s="209"/>
      <c r="AV38" s="207"/>
      <c r="AW38" s="145"/>
      <c r="AX38" s="145"/>
      <c r="AY38" s="209"/>
      <c r="AZ38" s="207"/>
      <c r="BA38" s="145"/>
      <c r="BB38" s="145"/>
      <c r="BC38" s="209"/>
    </row>
    <row r="39" spans="1:55" s="33" customForma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143"/>
      <c r="U39" s="143"/>
      <c r="V39" s="143"/>
      <c r="W39" s="143"/>
      <c r="X39" s="143"/>
      <c r="Y39" s="143"/>
      <c r="Z39" s="143"/>
      <c r="AA39" s="143"/>
      <c r="AB39" s="252"/>
      <c r="AC39" s="257"/>
      <c r="AD39" s="152"/>
      <c r="AE39" s="217"/>
      <c r="AF39" s="144"/>
      <c r="AG39" s="144"/>
      <c r="AH39" s="144"/>
      <c r="AI39" s="143"/>
      <c r="AJ39" s="143"/>
      <c r="AK39" s="147"/>
      <c r="AL39" s="147"/>
      <c r="AM39" s="147"/>
      <c r="AN39" s="153"/>
      <c r="AO39" s="207"/>
      <c r="AP39" s="145"/>
      <c r="AQ39" s="145"/>
      <c r="AR39" s="145"/>
      <c r="AS39" s="145"/>
      <c r="AT39" s="145"/>
      <c r="AU39" s="209"/>
      <c r="AV39" s="207"/>
      <c r="AW39" s="145"/>
      <c r="AX39" s="145"/>
      <c r="AY39" s="209"/>
      <c r="AZ39" s="207"/>
      <c r="BA39" s="145"/>
      <c r="BB39" s="145"/>
      <c r="BC39" s="209"/>
    </row>
    <row r="40" spans="1:55" s="33" customForma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143"/>
      <c r="U40" s="143"/>
      <c r="V40" s="143"/>
      <c r="W40" s="143"/>
      <c r="X40" s="143"/>
      <c r="Y40" s="143"/>
      <c r="Z40" s="143"/>
      <c r="AA40" s="143"/>
      <c r="AB40" s="252"/>
      <c r="AC40" s="257"/>
      <c r="AD40" s="152"/>
      <c r="AE40" s="217"/>
      <c r="AF40" s="144"/>
      <c r="AG40" s="144"/>
      <c r="AH40" s="144"/>
      <c r="AI40" s="143"/>
      <c r="AJ40" s="143"/>
      <c r="AK40" s="147"/>
      <c r="AL40" s="147"/>
      <c r="AM40" s="147"/>
      <c r="AN40" s="153"/>
      <c r="AO40" s="207"/>
      <c r="AP40" s="145"/>
      <c r="AQ40" s="145"/>
      <c r="AR40" s="145"/>
      <c r="AS40" s="145"/>
      <c r="AT40" s="145"/>
      <c r="AU40" s="209"/>
      <c r="AV40" s="207"/>
      <c r="AW40" s="145"/>
      <c r="AX40" s="145"/>
      <c r="AY40" s="209"/>
      <c r="AZ40" s="207"/>
      <c r="BA40" s="145"/>
      <c r="BB40" s="145"/>
      <c r="BC40" s="209"/>
    </row>
    <row r="41" spans="1:55" s="33" customForma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143"/>
      <c r="U41" s="143"/>
      <c r="V41" s="143"/>
      <c r="W41" s="143"/>
      <c r="X41" s="143"/>
      <c r="Y41" s="143"/>
      <c r="Z41" s="143"/>
      <c r="AA41" s="143"/>
      <c r="AB41" s="252"/>
      <c r="AC41" s="257"/>
      <c r="AD41" s="152"/>
      <c r="AE41" s="217"/>
      <c r="AF41" s="144"/>
      <c r="AG41" s="144"/>
      <c r="AH41" s="144"/>
      <c r="AI41" s="143"/>
      <c r="AJ41" s="143"/>
      <c r="AK41" s="147"/>
      <c r="AL41" s="147"/>
      <c r="AM41" s="147"/>
      <c r="AN41" s="153"/>
      <c r="AO41" s="207"/>
      <c r="AP41" s="145"/>
      <c r="AQ41" s="145"/>
      <c r="AR41" s="145"/>
      <c r="AS41" s="145"/>
      <c r="AT41" s="145"/>
      <c r="AU41" s="209"/>
      <c r="AV41" s="207"/>
      <c r="AW41" s="145"/>
      <c r="AX41" s="145"/>
      <c r="AY41" s="209"/>
      <c r="AZ41" s="207"/>
      <c r="BA41" s="145"/>
      <c r="BB41" s="145"/>
      <c r="BC41" s="209"/>
    </row>
    <row r="42" spans="1:55" s="33" customForma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143"/>
      <c r="U42" s="143"/>
      <c r="V42" s="143"/>
      <c r="W42" s="143"/>
      <c r="X42" s="143"/>
      <c r="Y42" s="143"/>
      <c r="Z42" s="143"/>
      <c r="AA42" s="143"/>
      <c r="AB42" s="252"/>
      <c r="AC42" s="257"/>
      <c r="AD42" s="152"/>
      <c r="AE42" s="217"/>
      <c r="AF42" s="144"/>
      <c r="AG42" s="144"/>
      <c r="AH42" s="144"/>
      <c r="AI42" s="143"/>
      <c r="AJ42" s="143"/>
      <c r="AK42" s="147"/>
      <c r="AL42" s="147"/>
      <c r="AM42" s="147"/>
      <c r="AN42" s="153"/>
      <c r="AO42" s="207"/>
      <c r="AP42" s="145"/>
      <c r="AQ42" s="145"/>
      <c r="AR42" s="145"/>
      <c r="AS42" s="145"/>
      <c r="AT42" s="145"/>
      <c r="AU42" s="209"/>
      <c r="AV42" s="207"/>
      <c r="AW42" s="145"/>
      <c r="AX42" s="145"/>
      <c r="AY42" s="209"/>
      <c r="AZ42" s="207"/>
      <c r="BA42" s="145"/>
      <c r="BB42" s="145"/>
      <c r="BC42" s="209"/>
    </row>
    <row r="43" spans="1:55" s="33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143"/>
      <c r="U43" s="143"/>
      <c r="V43" s="143"/>
      <c r="W43" s="143"/>
      <c r="X43" s="143"/>
      <c r="Y43" s="143"/>
      <c r="Z43" s="143"/>
      <c r="AA43" s="143"/>
      <c r="AB43" s="252"/>
      <c r="AC43" s="257"/>
      <c r="AD43" s="152"/>
      <c r="AE43" s="217"/>
      <c r="AF43" s="144"/>
      <c r="AG43" s="144"/>
      <c r="AH43" s="144"/>
      <c r="AI43" s="143"/>
      <c r="AJ43" s="143"/>
      <c r="AK43" s="147"/>
      <c r="AL43" s="147"/>
      <c r="AM43" s="147"/>
      <c r="AN43" s="153"/>
      <c r="AO43" s="207"/>
      <c r="AP43" s="145"/>
      <c r="AQ43" s="145"/>
      <c r="AR43" s="145"/>
      <c r="AS43" s="145"/>
      <c r="AT43" s="145"/>
      <c r="AU43" s="209"/>
      <c r="AV43" s="207"/>
      <c r="AW43" s="145"/>
      <c r="AX43" s="145"/>
      <c r="AY43" s="209"/>
      <c r="AZ43" s="207"/>
      <c r="BA43" s="145"/>
      <c r="BB43" s="145"/>
      <c r="BC43" s="209"/>
    </row>
    <row r="44" spans="1:55" s="33" customForma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143"/>
      <c r="U44" s="143"/>
      <c r="V44" s="143"/>
      <c r="W44" s="143"/>
      <c r="X44" s="143"/>
      <c r="Y44" s="143"/>
      <c r="Z44" s="143"/>
      <c r="AA44" s="143"/>
      <c r="AB44" s="252"/>
      <c r="AC44" s="257"/>
      <c r="AD44" s="152"/>
      <c r="AE44" s="217"/>
      <c r="AF44" s="144"/>
      <c r="AG44" s="144"/>
      <c r="AH44" s="144"/>
      <c r="AI44" s="143"/>
      <c r="AJ44" s="143"/>
      <c r="AK44" s="147"/>
      <c r="AL44" s="147"/>
      <c r="AM44" s="147"/>
      <c r="AN44" s="153"/>
      <c r="AO44" s="207"/>
      <c r="AP44" s="145"/>
      <c r="AQ44" s="145"/>
      <c r="AR44" s="145"/>
      <c r="AS44" s="145"/>
      <c r="AT44" s="145"/>
      <c r="AU44" s="209"/>
      <c r="AV44" s="207"/>
      <c r="AW44" s="145"/>
      <c r="AX44" s="145"/>
      <c r="AY44" s="209"/>
      <c r="AZ44" s="207"/>
      <c r="BA44" s="145"/>
      <c r="BB44" s="145"/>
      <c r="BC44" s="209"/>
    </row>
    <row r="45" spans="1:55" s="33" customForma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143"/>
      <c r="U45" s="143"/>
      <c r="V45" s="143"/>
      <c r="W45" s="143"/>
      <c r="X45" s="143"/>
      <c r="Y45" s="143"/>
      <c r="Z45" s="143"/>
      <c r="AA45" s="143"/>
      <c r="AB45" s="252"/>
      <c r="AC45" s="257"/>
      <c r="AD45" s="152"/>
      <c r="AE45" s="217"/>
      <c r="AF45" s="144"/>
      <c r="AG45" s="144"/>
      <c r="AH45" s="144"/>
      <c r="AI45" s="143"/>
      <c r="AJ45" s="143"/>
      <c r="AK45" s="147"/>
      <c r="AL45" s="147"/>
      <c r="AM45" s="147"/>
      <c r="AN45" s="153"/>
      <c r="AO45" s="207"/>
      <c r="AP45" s="145"/>
      <c r="AQ45" s="145"/>
      <c r="AR45" s="145"/>
      <c r="AS45" s="145"/>
      <c r="AT45" s="145"/>
      <c r="AU45" s="209"/>
      <c r="AV45" s="207"/>
      <c r="AW45" s="145"/>
      <c r="AX45" s="145"/>
      <c r="AY45" s="209"/>
      <c r="AZ45" s="207"/>
      <c r="BA45" s="145"/>
      <c r="BB45" s="145"/>
      <c r="BC45" s="209"/>
    </row>
    <row r="46" spans="1:55" s="33" customForma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143"/>
      <c r="U46" s="143"/>
      <c r="V46" s="143"/>
      <c r="W46" s="143"/>
      <c r="X46" s="143"/>
      <c r="Y46" s="143"/>
      <c r="Z46" s="143"/>
      <c r="AA46" s="143"/>
      <c r="AB46" s="252"/>
      <c r="AC46" s="257"/>
      <c r="AD46" s="152"/>
      <c r="AE46" s="217"/>
      <c r="AF46" s="144"/>
      <c r="AG46" s="144"/>
      <c r="AH46" s="144"/>
      <c r="AI46" s="143"/>
      <c r="AJ46" s="143"/>
      <c r="AK46" s="147"/>
      <c r="AL46" s="147"/>
      <c r="AM46" s="147"/>
      <c r="AN46" s="153"/>
      <c r="AO46" s="207"/>
      <c r="AP46" s="145"/>
      <c r="AQ46" s="145"/>
      <c r="AR46" s="145"/>
      <c r="AS46" s="145"/>
      <c r="AT46" s="145"/>
      <c r="AU46" s="209"/>
      <c r="AV46" s="207"/>
      <c r="AW46" s="145"/>
      <c r="AX46" s="145"/>
      <c r="AY46" s="209"/>
      <c r="AZ46" s="207"/>
      <c r="BA46" s="145"/>
      <c r="BB46" s="145"/>
      <c r="BC46" s="209"/>
    </row>
    <row r="47" spans="1:55" s="33" customForma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143"/>
      <c r="U47" s="143"/>
      <c r="V47" s="143"/>
      <c r="W47" s="143"/>
      <c r="X47" s="143"/>
      <c r="Y47" s="143"/>
      <c r="Z47" s="143"/>
      <c r="AA47" s="143"/>
      <c r="AB47" s="252"/>
      <c r="AC47" s="257"/>
      <c r="AD47" s="152"/>
      <c r="AE47" s="217"/>
      <c r="AF47" s="144"/>
      <c r="AG47" s="144"/>
      <c r="AH47" s="144"/>
      <c r="AI47" s="143"/>
      <c r="AJ47" s="143"/>
      <c r="AK47" s="147"/>
      <c r="AL47" s="147"/>
      <c r="AM47" s="147"/>
      <c r="AN47" s="153"/>
      <c r="AO47" s="207"/>
      <c r="AP47" s="145"/>
      <c r="AQ47" s="145"/>
      <c r="AR47" s="145"/>
      <c r="AS47" s="145"/>
      <c r="AT47" s="145"/>
      <c r="AU47" s="209"/>
      <c r="AV47" s="207"/>
      <c r="AW47" s="145"/>
      <c r="AX47" s="145"/>
      <c r="AY47" s="209"/>
      <c r="AZ47" s="207"/>
      <c r="BA47" s="145"/>
      <c r="BB47" s="145"/>
      <c r="BC47" s="209"/>
    </row>
    <row r="48" spans="1:55" s="33" customForma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143"/>
      <c r="U48" s="143"/>
      <c r="V48" s="143"/>
      <c r="W48" s="143"/>
      <c r="X48" s="143"/>
      <c r="Y48" s="143"/>
      <c r="Z48" s="143"/>
      <c r="AA48" s="143"/>
      <c r="AB48" s="252"/>
      <c r="AC48" s="257"/>
      <c r="AD48" s="152"/>
      <c r="AE48" s="217"/>
      <c r="AF48" s="144"/>
      <c r="AG48" s="144"/>
      <c r="AH48" s="144"/>
      <c r="AI48" s="143"/>
      <c r="AJ48" s="143"/>
      <c r="AK48" s="147"/>
      <c r="AL48" s="147"/>
      <c r="AM48" s="147"/>
      <c r="AN48" s="153"/>
      <c r="AO48" s="207"/>
      <c r="AP48" s="145"/>
      <c r="AQ48" s="145"/>
      <c r="AR48" s="145"/>
      <c r="AS48" s="145"/>
      <c r="AT48" s="145"/>
      <c r="AU48" s="209"/>
      <c r="AV48" s="207"/>
      <c r="AW48" s="145"/>
      <c r="AX48" s="145"/>
      <c r="AY48" s="209"/>
      <c r="AZ48" s="207"/>
      <c r="BA48" s="145"/>
      <c r="BB48" s="145"/>
      <c r="BC48" s="209"/>
    </row>
    <row r="49" spans="1:55" s="33" customForma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143"/>
      <c r="U49" s="143"/>
      <c r="V49" s="143"/>
      <c r="W49" s="143"/>
      <c r="X49" s="143"/>
      <c r="Y49" s="143"/>
      <c r="Z49" s="143"/>
      <c r="AA49" s="143"/>
      <c r="AB49" s="252"/>
      <c r="AC49" s="257"/>
      <c r="AD49" s="152"/>
      <c r="AE49" s="217"/>
      <c r="AF49" s="144"/>
      <c r="AG49" s="144"/>
      <c r="AH49" s="144"/>
      <c r="AI49" s="143"/>
      <c r="AJ49" s="143"/>
      <c r="AK49" s="147"/>
      <c r="AL49" s="147"/>
      <c r="AM49" s="147"/>
      <c r="AN49" s="153"/>
      <c r="AO49" s="207"/>
      <c r="AP49" s="145"/>
      <c r="AQ49" s="145"/>
      <c r="AR49" s="145"/>
      <c r="AS49" s="145"/>
      <c r="AT49" s="145"/>
      <c r="AU49" s="209"/>
      <c r="AV49" s="207"/>
      <c r="AW49" s="145"/>
      <c r="AX49" s="145"/>
      <c r="AY49" s="209"/>
      <c r="AZ49" s="207"/>
      <c r="BA49" s="145"/>
      <c r="BB49" s="145"/>
      <c r="BC49" s="209"/>
    </row>
    <row r="50" spans="1:55" s="33" customForma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143"/>
      <c r="U50" s="143"/>
      <c r="V50" s="143"/>
      <c r="W50" s="143"/>
      <c r="X50" s="143"/>
      <c r="Y50" s="143"/>
      <c r="Z50" s="143"/>
      <c r="AA50" s="143"/>
      <c r="AB50" s="252"/>
      <c r="AC50" s="257"/>
      <c r="AD50" s="152"/>
      <c r="AE50" s="217"/>
      <c r="AF50" s="144"/>
      <c r="AG50" s="144"/>
      <c r="AH50" s="144"/>
      <c r="AI50" s="143"/>
      <c r="AJ50" s="143"/>
      <c r="AK50" s="147"/>
      <c r="AL50" s="147"/>
      <c r="AM50" s="147"/>
      <c r="AN50" s="153"/>
      <c r="AO50" s="207"/>
      <c r="AP50" s="145"/>
      <c r="AQ50" s="145"/>
      <c r="AR50" s="145"/>
      <c r="AS50" s="145"/>
      <c r="AT50" s="145"/>
      <c r="AU50" s="209"/>
      <c r="AV50" s="207"/>
      <c r="AW50" s="145"/>
      <c r="AX50" s="145"/>
      <c r="AY50" s="209"/>
      <c r="AZ50" s="207"/>
      <c r="BA50" s="145"/>
      <c r="BB50" s="145"/>
      <c r="BC50" s="209"/>
    </row>
    <row r="51" spans="1:55" s="33" customForma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143"/>
      <c r="U51" s="143"/>
      <c r="V51" s="143"/>
      <c r="W51" s="143"/>
      <c r="X51" s="143"/>
      <c r="Y51" s="143"/>
      <c r="Z51" s="143"/>
      <c r="AA51" s="143"/>
      <c r="AB51" s="252"/>
      <c r="AC51" s="257"/>
      <c r="AD51" s="152"/>
      <c r="AE51" s="217"/>
      <c r="AF51" s="144"/>
      <c r="AG51" s="144"/>
      <c r="AH51" s="144"/>
      <c r="AI51" s="143"/>
      <c r="AJ51" s="143"/>
      <c r="AK51" s="147"/>
      <c r="AL51" s="147"/>
      <c r="AM51" s="147"/>
      <c r="AN51" s="153"/>
      <c r="AO51" s="207"/>
      <c r="AP51" s="145"/>
      <c r="AQ51" s="145"/>
      <c r="AR51" s="145"/>
      <c r="AS51" s="145"/>
      <c r="AT51" s="145"/>
      <c r="AU51" s="209"/>
      <c r="AV51" s="207"/>
      <c r="AW51" s="145"/>
      <c r="AX51" s="145"/>
      <c r="AY51" s="209"/>
      <c r="AZ51" s="207"/>
      <c r="BA51" s="145"/>
      <c r="BB51" s="145"/>
      <c r="BC51" s="209"/>
    </row>
    <row r="52" spans="1:55" s="33" customForma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143"/>
      <c r="U52" s="143"/>
      <c r="V52" s="143"/>
      <c r="W52" s="143"/>
      <c r="X52" s="143"/>
      <c r="Y52" s="143"/>
      <c r="Z52" s="143"/>
      <c r="AA52" s="143"/>
      <c r="AB52" s="252"/>
      <c r="AC52" s="257"/>
      <c r="AD52" s="152"/>
      <c r="AE52" s="217"/>
      <c r="AF52" s="144"/>
      <c r="AG52" s="144"/>
      <c r="AH52" s="144"/>
      <c r="AI52" s="143"/>
      <c r="AJ52" s="143"/>
      <c r="AK52" s="147"/>
      <c r="AL52" s="147"/>
      <c r="AM52" s="147"/>
      <c r="AN52" s="153"/>
      <c r="AO52" s="207"/>
      <c r="AP52" s="145"/>
      <c r="AQ52" s="145"/>
      <c r="AR52" s="145"/>
      <c r="AS52" s="145"/>
      <c r="AT52" s="145"/>
      <c r="AU52" s="209"/>
      <c r="AV52" s="207"/>
      <c r="AW52" s="145"/>
      <c r="AX52" s="145"/>
      <c r="AY52" s="209"/>
      <c r="AZ52" s="207"/>
      <c r="BA52" s="145"/>
      <c r="BB52" s="145"/>
      <c r="BC52" s="209"/>
    </row>
    <row r="53" spans="1:55" s="33" customForma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143"/>
      <c r="U53" s="143"/>
      <c r="V53" s="143"/>
      <c r="W53" s="143"/>
      <c r="X53" s="143"/>
      <c r="Y53" s="143"/>
      <c r="Z53" s="143"/>
      <c r="AA53" s="143"/>
      <c r="AB53" s="252"/>
      <c r="AC53" s="257"/>
      <c r="AD53" s="152"/>
      <c r="AE53" s="217"/>
      <c r="AF53" s="144"/>
      <c r="AG53" s="144"/>
      <c r="AH53" s="144"/>
      <c r="AI53" s="143"/>
      <c r="AJ53" s="143"/>
      <c r="AK53" s="147"/>
      <c r="AL53" s="147"/>
      <c r="AM53" s="147"/>
      <c r="AN53" s="153"/>
      <c r="AO53" s="207"/>
      <c r="AP53" s="145"/>
      <c r="AQ53" s="145"/>
      <c r="AR53" s="145"/>
      <c r="AS53" s="145"/>
      <c r="AT53" s="145"/>
      <c r="AU53" s="209"/>
      <c r="AV53" s="207"/>
      <c r="AW53" s="145"/>
      <c r="AX53" s="145"/>
      <c r="AY53" s="209"/>
      <c r="AZ53" s="207"/>
      <c r="BA53" s="145"/>
      <c r="BB53" s="145"/>
      <c r="BC53" s="209"/>
    </row>
    <row r="54" spans="1:55" s="33" customForma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143"/>
      <c r="U54" s="143"/>
      <c r="V54" s="143"/>
      <c r="W54" s="143"/>
      <c r="X54" s="143"/>
      <c r="Y54" s="143"/>
      <c r="Z54" s="143"/>
      <c r="AA54" s="143"/>
      <c r="AB54" s="252"/>
      <c r="AC54" s="257"/>
      <c r="AD54" s="152"/>
      <c r="AE54" s="217"/>
      <c r="AF54" s="144"/>
      <c r="AG54" s="144"/>
      <c r="AH54" s="144"/>
      <c r="AI54" s="143"/>
      <c r="AJ54" s="143"/>
      <c r="AK54" s="147"/>
      <c r="AL54" s="147"/>
      <c r="AM54" s="147"/>
      <c r="AN54" s="153"/>
      <c r="AO54" s="207"/>
      <c r="AP54" s="145"/>
      <c r="AQ54" s="145"/>
      <c r="AR54" s="145"/>
      <c r="AS54" s="145"/>
      <c r="AT54" s="145"/>
      <c r="AU54" s="209"/>
      <c r="AV54" s="207"/>
      <c r="AW54" s="145"/>
      <c r="AX54" s="145"/>
      <c r="AY54" s="209"/>
      <c r="AZ54" s="207"/>
      <c r="BA54" s="145"/>
      <c r="BB54" s="145"/>
      <c r="BC54" s="209"/>
    </row>
    <row r="55" spans="1:55" s="33" customForma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143"/>
      <c r="U55" s="143"/>
      <c r="V55" s="143"/>
      <c r="W55" s="143"/>
      <c r="X55" s="143"/>
      <c r="Y55" s="143"/>
      <c r="Z55" s="143"/>
      <c r="AA55" s="143"/>
      <c r="AB55" s="252"/>
      <c r="AC55" s="257"/>
      <c r="AD55" s="152"/>
      <c r="AE55" s="217"/>
      <c r="AF55" s="144"/>
      <c r="AG55" s="144"/>
      <c r="AH55" s="144"/>
      <c r="AI55" s="143"/>
      <c r="AJ55" s="143"/>
      <c r="AK55" s="147"/>
      <c r="AL55" s="147"/>
      <c r="AM55" s="147"/>
      <c r="AN55" s="153"/>
      <c r="AO55" s="207"/>
      <c r="AP55" s="145"/>
      <c r="AQ55" s="145"/>
      <c r="AR55" s="145"/>
      <c r="AS55" s="145"/>
      <c r="AT55" s="145"/>
      <c r="AU55" s="209"/>
      <c r="AV55" s="207"/>
      <c r="AW55" s="145"/>
      <c r="AX55" s="145"/>
      <c r="AY55" s="209"/>
      <c r="AZ55" s="207"/>
      <c r="BA55" s="145"/>
      <c r="BB55" s="145"/>
      <c r="BC55" s="209"/>
    </row>
    <row r="56" spans="1:55" s="33" customForma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143"/>
      <c r="U56" s="143"/>
      <c r="V56" s="143"/>
      <c r="W56" s="143"/>
      <c r="X56" s="143"/>
      <c r="Y56" s="143"/>
      <c r="Z56" s="143"/>
      <c r="AA56" s="143"/>
      <c r="AB56" s="252"/>
      <c r="AC56" s="257"/>
      <c r="AD56" s="152"/>
      <c r="AE56" s="217"/>
      <c r="AF56" s="144"/>
      <c r="AG56" s="144"/>
      <c r="AH56" s="144"/>
      <c r="AI56" s="143"/>
      <c r="AJ56" s="143"/>
      <c r="AK56" s="147"/>
      <c r="AL56" s="147"/>
      <c r="AM56" s="147"/>
      <c r="AN56" s="153"/>
      <c r="AO56" s="207"/>
      <c r="AP56" s="145"/>
      <c r="AQ56" s="145"/>
      <c r="AR56" s="145"/>
      <c r="AS56" s="145"/>
      <c r="AT56" s="145"/>
      <c r="AU56" s="209"/>
      <c r="AV56" s="207"/>
      <c r="AW56" s="145"/>
      <c r="AX56" s="145"/>
      <c r="AY56" s="209"/>
      <c r="AZ56" s="207"/>
      <c r="BA56" s="145"/>
      <c r="BB56" s="145"/>
      <c r="BC56" s="209"/>
    </row>
    <row r="57" spans="1:55" s="33" customForma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143"/>
      <c r="U57" s="143"/>
      <c r="V57" s="143"/>
      <c r="W57" s="143"/>
      <c r="X57" s="143"/>
      <c r="Y57" s="143"/>
      <c r="Z57" s="143"/>
      <c r="AA57" s="143"/>
      <c r="AB57" s="252"/>
      <c r="AC57" s="257"/>
      <c r="AD57" s="152"/>
      <c r="AE57" s="217"/>
      <c r="AF57" s="144"/>
      <c r="AG57" s="144"/>
      <c r="AH57" s="144"/>
      <c r="AI57" s="143"/>
      <c r="AJ57" s="143"/>
      <c r="AK57" s="147"/>
      <c r="AL57" s="147"/>
      <c r="AM57" s="147"/>
      <c r="AN57" s="153"/>
      <c r="AO57" s="207"/>
      <c r="AP57" s="145"/>
      <c r="AQ57" s="145"/>
      <c r="AR57" s="145"/>
      <c r="AS57" s="145"/>
      <c r="AT57" s="145"/>
      <c r="AU57" s="209"/>
      <c r="AV57" s="207"/>
      <c r="AW57" s="145"/>
      <c r="AX57" s="145"/>
      <c r="AY57" s="209"/>
      <c r="AZ57" s="207"/>
      <c r="BA57" s="145"/>
      <c r="BB57" s="145"/>
      <c r="BC57" s="209"/>
    </row>
    <row r="58" spans="1:55" s="33" customForma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143"/>
      <c r="U58" s="143"/>
      <c r="V58" s="143"/>
      <c r="W58" s="143"/>
      <c r="X58" s="143"/>
      <c r="Y58" s="143"/>
      <c r="Z58" s="143"/>
      <c r="AA58" s="143"/>
      <c r="AB58" s="252"/>
      <c r="AC58" s="257"/>
      <c r="AD58" s="152"/>
      <c r="AE58" s="217"/>
      <c r="AF58" s="144"/>
      <c r="AG58" s="144"/>
      <c r="AH58" s="144"/>
      <c r="AI58" s="143"/>
      <c r="AJ58" s="143"/>
      <c r="AK58" s="147"/>
      <c r="AL58" s="147"/>
      <c r="AM58" s="147"/>
      <c r="AN58" s="153"/>
      <c r="AO58" s="207"/>
      <c r="AP58" s="145"/>
      <c r="AQ58" s="145"/>
      <c r="AR58" s="145"/>
      <c r="AS58" s="145"/>
      <c r="AT58" s="145"/>
      <c r="AU58" s="209"/>
      <c r="AV58" s="207"/>
      <c r="AW58" s="145"/>
      <c r="AX58" s="145"/>
      <c r="AY58" s="209"/>
      <c r="AZ58" s="207"/>
      <c r="BA58" s="145"/>
      <c r="BB58" s="145"/>
      <c r="BC58" s="209"/>
    </row>
    <row r="59" spans="1:55" s="33" customForma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143"/>
      <c r="U59" s="143"/>
      <c r="V59" s="143"/>
      <c r="W59" s="143"/>
      <c r="X59" s="143"/>
      <c r="Y59" s="143"/>
      <c r="Z59" s="143"/>
      <c r="AA59" s="143"/>
      <c r="AB59" s="252"/>
      <c r="AC59" s="257"/>
      <c r="AD59" s="152"/>
      <c r="AE59" s="217"/>
      <c r="AF59" s="144"/>
      <c r="AG59" s="144"/>
      <c r="AH59" s="144"/>
      <c r="AI59" s="143"/>
      <c r="AJ59" s="143"/>
      <c r="AK59" s="147"/>
      <c r="AL59" s="147"/>
      <c r="AM59" s="147"/>
      <c r="AN59" s="153"/>
      <c r="AO59" s="207"/>
      <c r="AP59" s="145"/>
      <c r="AQ59" s="145"/>
      <c r="AR59" s="145"/>
      <c r="AS59" s="145"/>
      <c r="AT59" s="145"/>
      <c r="AU59" s="209"/>
      <c r="AV59" s="207"/>
      <c r="AW59" s="145"/>
      <c r="AX59" s="145"/>
      <c r="AY59" s="209"/>
      <c r="AZ59" s="207"/>
      <c r="BA59" s="145"/>
      <c r="BB59" s="145"/>
      <c r="BC59" s="209"/>
    </row>
    <row r="60" spans="1:55" s="33" customForma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143"/>
      <c r="U60" s="143"/>
      <c r="V60" s="143"/>
      <c r="W60" s="143"/>
      <c r="X60" s="143"/>
      <c r="Y60" s="143"/>
      <c r="Z60" s="143"/>
      <c r="AA60" s="143"/>
      <c r="AB60" s="252"/>
      <c r="AC60" s="257"/>
      <c r="AD60" s="152"/>
      <c r="AE60" s="217"/>
      <c r="AF60" s="144"/>
      <c r="AG60" s="144"/>
      <c r="AH60" s="144"/>
      <c r="AI60" s="143"/>
      <c r="AJ60" s="143"/>
      <c r="AK60" s="147"/>
      <c r="AL60" s="147"/>
      <c r="AM60" s="147"/>
      <c r="AN60" s="153"/>
      <c r="AO60" s="207"/>
      <c r="AP60" s="145"/>
      <c r="AQ60" s="145"/>
      <c r="AR60" s="145"/>
      <c r="AS60" s="145"/>
      <c r="AT60" s="145"/>
      <c r="AU60" s="209"/>
      <c r="AV60" s="207"/>
      <c r="AW60" s="145"/>
      <c r="AX60" s="145"/>
      <c r="AY60" s="209"/>
      <c r="AZ60" s="207"/>
      <c r="BA60" s="145"/>
      <c r="BB60" s="145"/>
      <c r="BC60" s="209"/>
    </row>
    <row r="61" spans="1:55" s="33" customForma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143"/>
      <c r="U61" s="143"/>
      <c r="V61" s="143"/>
      <c r="W61" s="143"/>
      <c r="X61" s="143"/>
      <c r="Y61" s="143"/>
      <c r="Z61" s="143"/>
      <c r="AA61" s="143"/>
      <c r="AB61" s="252"/>
      <c r="AC61" s="257"/>
      <c r="AD61" s="152"/>
      <c r="AE61" s="217"/>
      <c r="AF61" s="144"/>
      <c r="AG61" s="144"/>
      <c r="AH61" s="144"/>
      <c r="AI61" s="143"/>
      <c r="AJ61" s="143"/>
      <c r="AK61" s="147"/>
      <c r="AL61" s="147"/>
      <c r="AM61" s="147"/>
      <c r="AN61" s="153"/>
      <c r="AO61" s="207"/>
      <c r="AP61" s="145"/>
      <c r="AQ61" s="145"/>
      <c r="AR61" s="145"/>
      <c r="AS61" s="145"/>
      <c r="AT61" s="145"/>
      <c r="AU61" s="209"/>
      <c r="AV61" s="207"/>
      <c r="AW61" s="145"/>
      <c r="AX61" s="145"/>
      <c r="AY61" s="209"/>
      <c r="AZ61" s="207"/>
      <c r="BA61" s="145"/>
      <c r="BB61" s="145"/>
      <c r="BC61" s="209"/>
    </row>
    <row r="62" spans="1:55" s="34" customForma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143"/>
      <c r="U62" s="143"/>
      <c r="V62" s="143"/>
      <c r="W62" s="143"/>
      <c r="X62" s="143"/>
      <c r="Y62" s="143"/>
      <c r="Z62" s="143"/>
      <c r="AA62" s="143"/>
      <c r="AB62" s="252"/>
      <c r="AC62" s="257"/>
      <c r="AD62" s="152"/>
      <c r="AE62" s="217"/>
      <c r="AF62" s="144"/>
      <c r="AG62" s="144"/>
      <c r="AH62" s="144"/>
      <c r="AI62" s="143"/>
      <c r="AJ62" s="143"/>
      <c r="AK62" s="147"/>
      <c r="AL62" s="147"/>
      <c r="AM62" s="147"/>
      <c r="AN62" s="153"/>
      <c r="AO62" s="216"/>
      <c r="AP62" s="217"/>
      <c r="AQ62" s="217"/>
      <c r="AR62" s="217"/>
      <c r="AS62" s="217"/>
      <c r="AT62" s="217"/>
      <c r="AU62" s="215"/>
      <c r="AV62" s="216"/>
      <c r="AW62" s="217"/>
      <c r="AX62" s="217"/>
      <c r="AY62" s="215"/>
      <c r="AZ62" s="216"/>
      <c r="BA62" s="217"/>
      <c r="BB62" s="217"/>
      <c r="BC62" s="215"/>
    </row>
    <row r="63" spans="1:55" s="34" customForma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143"/>
      <c r="U63" s="143"/>
      <c r="V63" s="143"/>
      <c r="W63" s="143"/>
      <c r="X63" s="143"/>
      <c r="Y63" s="143"/>
      <c r="Z63" s="143"/>
      <c r="AA63" s="143"/>
      <c r="AB63" s="252"/>
      <c r="AC63" s="257"/>
      <c r="AD63" s="152"/>
      <c r="AE63" s="217"/>
      <c r="AF63" s="144"/>
      <c r="AG63" s="144"/>
      <c r="AH63" s="144"/>
      <c r="AI63" s="143"/>
      <c r="AJ63" s="143"/>
      <c r="AK63" s="147"/>
      <c r="AL63" s="147"/>
      <c r="AM63" s="147"/>
      <c r="AN63" s="153"/>
      <c r="AO63" s="216"/>
      <c r="AP63" s="217"/>
      <c r="AQ63" s="217"/>
      <c r="AR63" s="217"/>
      <c r="AS63" s="217"/>
      <c r="AT63" s="217"/>
      <c r="AU63" s="215"/>
      <c r="AV63" s="216"/>
      <c r="AW63" s="217"/>
      <c r="AX63" s="217"/>
      <c r="AY63" s="215"/>
      <c r="AZ63" s="216"/>
      <c r="BA63" s="217"/>
      <c r="BB63" s="217"/>
      <c r="BC63" s="215"/>
    </row>
    <row r="64" spans="1:5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143"/>
      <c r="U64" s="143"/>
      <c r="V64" s="143"/>
      <c r="W64" s="143"/>
      <c r="X64" s="143"/>
      <c r="Y64" s="143"/>
      <c r="Z64" s="143"/>
      <c r="AA64" s="143"/>
      <c r="AB64" s="252"/>
      <c r="AC64" s="257"/>
      <c r="AD64" s="152"/>
      <c r="AE64" s="217"/>
      <c r="AF64" s="144"/>
      <c r="AG64" s="144"/>
      <c r="AH64" s="144"/>
      <c r="AI64" s="143"/>
      <c r="AJ64" s="143"/>
      <c r="AK64" s="147"/>
      <c r="AL64" s="147"/>
      <c r="AM64" s="147"/>
      <c r="AN64" s="153"/>
      <c r="AO64" s="152"/>
      <c r="AP64" s="143"/>
      <c r="AQ64" s="143"/>
      <c r="AR64" s="143"/>
      <c r="AS64" s="143"/>
      <c r="AT64" s="143"/>
      <c r="AU64" s="153"/>
      <c r="AV64" s="152"/>
      <c r="AW64" s="143"/>
      <c r="AX64" s="143"/>
      <c r="AY64" s="153"/>
      <c r="AZ64" s="152"/>
      <c r="BA64" s="143"/>
      <c r="BB64" s="143"/>
      <c r="BC64" s="153"/>
    </row>
    <row r="65" spans="1:55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143"/>
      <c r="U65" s="143"/>
      <c r="V65" s="143"/>
      <c r="W65" s="143"/>
      <c r="X65" s="143"/>
      <c r="Y65" s="143"/>
      <c r="Z65" s="143"/>
      <c r="AA65" s="143"/>
      <c r="AB65" s="252"/>
      <c r="AC65" s="257"/>
      <c r="AD65" s="152"/>
      <c r="AE65" s="217"/>
      <c r="AF65" s="144"/>
      <c r="AG65" s="144"/>
      <c r="AH65" s="144"/>
      <c r="AI65" s="143"/>
      <c r="AJ65" s="143"/>
      <c r="AK65" s="147"/>
      <c r="AL65" s="147"/>
      <c r="AM65" s="147"/>
      <c r="AN65" s="153"/>
      <c r="AO65" s="152"/>
      <c r="AP65" s="143"/>
      <c r="AQ65" s="143"/>
      <c r="AR65" s="143"/>
      <c r="AS65" s="143"/>
      <c r="AT65" s="143"/>
      <c r="AU65" s="153"/>
      <c r="AV65" s="152"/>
      <c r="AW65" s="143"/>
      <c r="AX65" s="143"/>
      <c r="AY65" s="153"/>
      <c r="AZ65" s="152"/>
      <c r="BA65" s="143"/>
      <c r="BB65" s="143"/>
      <c r="BC65" s="153"/>
    </row>
    <row r="66" spans="1:55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143"/>
      <c r="U66" s="143"/>
      <c r="V66" s="143"/>
      <c r="W66" s="143"/>
      <c r="X66" s="143"/>
      <c r="Y66" s="143"/>
      <c r="Z66" s="143"/>
      <c r="AA66" s="143"/>
      <c r="AB66" s="252"/>
      <c r="AC66" s="257"/>
      <c r="AD66" s="152"/>
      <c r="AE66" s="217"/>
      <c r="AF66" s="144"/>
      <c r="AG66" s="144"/>
      <c r="AH66" s="144"/>
      <c r="AI66" s="143"/>
      <c r="AJ66" s="143"/>
      <c r="AK66" s="147"/>
      <c r="AL66" s="147"/>
      <c r="AM66" s="147"/>
      <c r="AN66" s="153"/>
      <c r="AO66" s="152"/>
      <c r="AP66" s="143"/>
      <c r="AQ66" s="143"/>
      <c r="AR66" s="143"/>
      <c r="AS66" s="143"/>
      <c r="AT66" s="143"/>
      <c r="AU66" s="153"/>
      <c r="AV66" s="152"/>
      <c r="AW66" s="143"/>
      <c r="AX66" s="143"/>
      <c r="AY66" s="153"/>
      <c r="AZ66" s="152"/>
      <c r="BA66" s="143"/>
      <c r="BB66" s="143"/>
      <c r="BC66" s="153"/>
    </row>
    <row r="67" spans="1:55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143"/>
      <c r="U67" s="143"/>
      <c r="V67" s="143"/>
      <c r="W67" s="143"/>
      <c r="X67" s="143"/>
      <c r="Y67" s="143"/>
      <c r="Z67" s="143"/>
      <c r="AA67" s="143"/>
      <c r="AB67" s="252"/>
      <c r="AC67" s="257"/>
      <c r="AD67" s="152"/>
      <c r="AE67" s="217"/>
      <c r="AF67" s="144"/>
      <c r="AG67" s="144"/>
      <c r="AH67" s="144"/>
      <c r="AI67" s="143"/>
      <c r="AJ67" s="143"/>
      <c r="AK67" s="147"/>
      <c r="AL67" s="147"/>
      <c r="AM67" s="147"/>
      <c r="AN67" s="153"/>
      <c r="AO67" s="152"/>
      <c r="AP67" s="143"/>
      <c r="AQ67" s="143"/>
      <c r="AR67" s="143"/>
      <c r="AS67" s="143"/>
      <c r="AT67" s="143"/>
      <c r="AU67" s="153"/>
      <c r="AV67" s="152"/>
      <c r="AW67" s="143"/>
      <c r="AX67" s="143"/>
      <c r="AY67" s="153"/>
      <c r="AZ67" s="152"/>
      <c r="BA67" s="143"/>
      <c r="BB67" s="143"/>
      <c r="BC67" s="153"/>
    </row>
    <row r="68" spans="1:55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143"/>
      <c r="U68" s="143"/>
      <c r="V68" s="143"/>
      <c r="W68" s="143"/>
      <c r="X68" s="143"/>
      <c r="Y68" s="143"/>
      <c r="Z68" s="143"/>
      <c r="AA68" s="143"/>
      <c r="AB68" s="252"/>
      <c r="AC68" s="257"/>
      <c r="AD68" s="152"/>
      <c r="AE68" s="217"/>
      <c r="AF68" s="144"/>
      <c r="AG68" s="144"/>
      <c r="AH68" s="144"/>
      <c r="AI68" s="143"/>
      <c r="AJ68" s="143"/>
      <c r="AK68" s="147"/>
      <c r="AL68" s="147"/>
      <c r="AM68" s="147"/>
      <c r="AN68" s="153"/>
      <c r="AO68" s="152"/>
      <c r="AP68" s="143"/>
      <c r="AQ68" s="143"/>
      <c r="AR68" s="143"/>
      <c r="AS68" s="143"/>
      <c r="AT68" s="143"/>
      <c r="AU68" s="153"/>
      <c r="AV68" s="152"/>
      <c r="AW68" s="143"/>
      <c r="AX68" s="143"/>
      <c r="AY68" s="153"/>
      <c r="AZ68" s="152"/>
      <c r="BA68" s="143"/>
      <c r="BB68" s="143"/>
      <c r="BC68" s="153"/>
    </row>
    <row r="69" spans="1:55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143"/>
      <c r="U69" s="143"/>
      <c r="V69" s="143"/>
      <c r="W69" s="143"/>
      <c r="X69" s="143"/>
      <c r="Y69" s="143"/>
      <c r="Z69" s="143"/>
      <c r="AA69" s="143"/>
      <c r="AB69" s="252"/>
      <c r="AC69" s="257"/>
      <c r="AD69" s="152"/>
      <c r="AE69" s="217"/>
      <c r="AF69" s="144"/>
      <c r="AG69" s="144"/>
      <c r="AH69" s="144"/>
      <c r="AI69" s="143"/>
      <c r="AJ69" s="143"/>
      <c r="AK69" s="147"/>
      <c r="AL69" s="147"/>
      <c r="AM69" s="147"/>
      <c r="AN69" s="153"/>
      <c r="AO69" s="152"/>
      <c r="AP69" s="143"/>
      <c r="AQ69" s="143"/>
      <c r="AR69" s="143"/>
      <c r="AS69" s="143"/>
      <c r="AT69" s="143"/>
      <c r="AU69" s="153"/>
      <c r="AV69" s="152"/>
      <c r="AW69" s="143"/>
      <c r="AX69" s="143"/>
      <c r="AY69" s="153"/>
      <c r="AZ69" s="152"/>
      <c r="BA69" s="143"/>
      <c r="BB69" s="143"/>
      <c r="BC69" s="153"/>
    </row>
    <row r="70" spans="1:55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143"/>
      <c r="U70" s="143"/>
      <c r="V70" s="143"/>
      <c r="W70" s="143"/>
      <c r="X70" s="143"/>
      <c r="Y70" s="143"/>
      <c r="Z70" s="143"/>
      <c r="AA70" s="143"/>
      <c r="AB70" s="252"/>
      <c r="AC70" s="257"/>
      <c r="AD70" s="152"/>
      <c r="AE70" s="217"/>
      <c r="AF70" s="144"/>
      <c r="AG70" s="144"/>
      <c r="AH70" s="144"/>
      <c r="AI70" s="143"/>
      <c r="AJ70" s="143"/>
      <c r="AK70" s="147"/>
      <c r="AL70" s="147"/>
      <c r="AM70" s="147"/>
      <c r="AN70" s="153"/>
      <c r="AO70" s="152"/>
      <c r="AP70" s="143"/>
      <c r="AQ70" s="143"/>
      <c r="AR70" s="143"/>
      <c r="AS70" s="143"/>
      <c r="AT70" s="143"/>
      <c r="AU70" s="153"/>
      <c r="AV70" s="152"/>
      <c r="AW70" s="143"/>
      <c r="AX70" s="143"/>
      <c r="AY70" s="153"/>
      <c r="AZ70" s="152"/>
      <c r="BA70" s="143"/>
      <c r="BB70" s="143"/>
      <c r="BC70" s="153"/>
    </row>
    <row r="71" spans="1:55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143"/>
      <c r="U71" s="143"/>
      <c r="V71" s="143"/>
      <c r="W71" s="143"/>
      <c r="X71" s="143"/>
      <c r="Y71" s="143"/>
      <c r="Z71" s="143"/>
      <c r="AA71" s="143"/>
      <c r="AB71" s="252"/>
      <c r="AC71" s="257"/>
      <c r="AD71" s="152"/>
      <c r="AE71" s="217"/>
      <c r="AF71" s="144"/>
      <c r="AG71" s="144"/>
      <c r="AH71" s="144"/>
      <c r="AI71" s="143"/>
      <c r="AJ71" s="143"/>
      <c r="AK71" s="147"/>
      <c r="AL71" s="147"/>
      <c r="AM71" s="147"/>
      <c r="AN71" s="153"/>
      <c r="AO71" s="152"/>
      <c r="AP71" s="143"/>
      <c r="AQ71" s="143"/>
      <c r="AR71" s="143"/>
      <c r="AS71" s="143"/>
      <c r="AT71" s="143"/>
      <c r="AU71" s="153"/>
      <c r="AV71" s="152"/>
      <c r="AW71" s="143"/>
      <c r="AX71" s="143"/>
      <c r="AY71" s="153"/>
      <c r="AZ71" s="152"/>
      <c r="BA71" s="143"/>
      <c r="BB71" s="143"/>
      <c r="BC71" s="153"/>
    </row>
    <row r="72" spans="1:55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143"/>
      <c r="U72" s="143"/>
      <c r="V72" s="143"/>
      <c r="W72" s="143"/>
      <c r="X72" s="143"/>
      <c r="Y72" s="143"/>
      <c r="Z72" s="143"/>
      <c r="AA72" s="143"/>
      <c r="AB72" s="252"/>
      <c r="AC72" s="257"/>
      <c r="AD72" s="152"/>
      <c r="AE72" s="217"/>
      <c r="AF72" s="144"/>
      <c r="AG72" s="144"/>
      <c r="AH72" s="144"/>
      <c r="AI72" s="143"/>
      <c r="AJ72" s="143"/>
      <c r="AK72" s="147"/>
      <c r="AL72" s="147"/>
      <c r="AM72" s="147"/>
      <c r="AN72" s="153"/>
      <c r="AO72" s="152"/>
      <c r="AP72" s="143"/>
      <c r="AQ72" s="143"/>
      <c r="AR72" s="143"/>
      <c r="AS72" s="143"/>
      <c r="AT72" s="143"/>
      <c r="AU72" s="153"/>
      <c r="AV72" s="152"/>
      <c r="AW72" s="143"/>
      <c r="AX72" s="143"/>
      <c r="AY72" s="153"/>
      <c r="AZ72" s="152"/>
      <c r="BA72" s="143"/>
      <c r="BB72" s="143"/>
      <c r="BC72" s="153"/>
    </row>
    <row r="73" spans="1:55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143"/>
      <c r="U73" s="143"/>
      <c r="V73" s="143"/>
      <c r="W73" s="143"/>
      <c r="X73" s="143"/>
      <c r="Y73" s="143"/>
      <c r="Z73" s="143"/>
      <c r="AA73" s="143"/>
      <c r="AB73" s="252"/>
      <c r="AC73" s="257"/>
      <c r="AD73" s="152"/>
      <c r="AE73" s="217"/>
      <c r="AF73" s="144"/>
      <c r="AG73" s="144"/>
      <c r="AH73" s="144"/>
      <c r="AI73" s="143"/>
      <c r="AJ73" s="143"/>
      <c r="AK73" s="147"/>
      <c r="AL73" s="147"/>
      <c r="AM73" s="147"/>
      <c r="AN73" s="153"/>
      <c r="AO73" s="152"/>
      <c r="AP73" s="143"/>
      <c r="AQ73" s="143"/>
      <c r="AR73" s="143"/>
      <c r="AS73" s="143"/>
      <c r="AT73" s="143"/>
      <c r="AU73" s="153"/>
      <c r="AV73" s="152"/>
      <c r="AW73" s="143"/>
      <c r="AX73" s="143"/>
      <c r="AY73" s="153"/>
      <c r="AZ73" s="152"/>
      <c r="BA73" s="143"/>
      <c r="BB73" s="143"/>
      <c r="BC73" s="153"/>
    </row>
    <row r="74" spans="1:55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143"/>
      <c r="U74" s="143"/>
      <c r="V74" s="143"/>
      <c r="W74" s="143"/>
      <c r="X74" s="143"/>
      <c r="Y74" s="143"/>
      <c r="Z74" s="143"/>
      <c r="AA74" s="143"/>
      <c r="AB74" s="252"/>
      <c r="AC74" s="257"/>
      <c r="AD74" s="152"/>
      <c r="AE74" s="217"/>
      <c r="AF74" s="144"/>
      <c r="AG74" s="144"/>
      <c r="AH74" s="144"/>
      <c r="AI74" s="143"/>
      <c r="AJ74" s="143"/>
      <c r="AK74" s="147"/>
      <c r="AL74" s="147"/>
      <c r="AM74" s="147"/>
      <c r="AN74" s="153"/>
      <c r="AO74" s="152"/>
      <c r="AP74" s="143"/>
      <c r="AQ74" s="143"/>
      <c r="AR74" s="143"/>
      <c r="AS74" s="143"/>
      <c r="AT74" s="143"/>
      <c r="AU74" s="153"/>
      <c r="AV74" s="152"/>
      <c r="AW74" s="143"/>
      <c r="AX74" s="143"/>
      <c r="AY74" s="153"/>
      <c r="AZ74" s="152"/>
      <c r="BA74" s="143"/>
      <c r="BB74" s="143"/>
      <c r="BC74" s="153"/>
    </row>
    <row r="75" spans="1:55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143"/>
      <c r="U75" s="143"/>
      <c r="V75" s="143"/>
      <c r="W75" s="143"/>
      <c r="X75" s="143"/>
      <c r="Y75" s="143"/>
      <c r="Z75" s="143"/>
      <c r="AA75" s="143"/>
      <c r="AB75" s="252"/>
      <c r="AC75" s="257"/>
      <c r="AD75" s="152"/>
      <c r="AE75" s="217"/>
      <c r="AF75" s="144"/>
      <c r="AG75" s="144"/>
      <c r="AH75" s="144"/>
      <c r="AI75" s="143"/>
      <c r="AJ75" s="143"/>
      <c r="AK75" s="147"/>
      <c r="AL75" s="147"/>
      <c r="AM75" s="147"/>
      <c r="AN75" s="153"/>
      <c r="AO75" s="152"/>
      <c r="AP75" s="143"/>
      <c r="AQ75" s="143"/>
      <c r="AR75" s="143"/>
      <c r="AS75" s="143"/>
      <c r="AT75" s="143"/>
      <c r="AU75" s="153"/>
      <c r="AV75" s="152"/>
      <c r="AW75" s="143"/>
      <c r="AX75" s="143"/>
      <c r="AY75" s="153"/>
      <c r="AZ75" s="152"/>
      <c r="BA75" s="143"/>
      <c r="BB75" s="143"/>
      <c r="BC75" s="153"/>
    </row>
    <row r="76" spans="1:55" ht="15.75" thickBo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143"/>
      <c r="U76" s="143"/>
      <c r="V76" s="143"/>
      <c r="W76" s="143"/>
      <c r="X76" s="143"/>
      <c r="Y76" s="143"/>
      <c r="Z76" s="143"/>
      <c r="AA76" s="143"/>
      <c r="AB76" s="252"/>
      <c r="AC76" s="257"/>
      <c r="AD76" s="133"/>
      <c r="AE76" s="349"/>
      <c r="AF76" s="210"/>
      <c r="AG76" s="210"/>
      <c r="AH76" s="210"/>
      <c r="AI76" s="132"/>
      <c r="AJ76" s="132"/>
      <c r="AK76" s="211"/>
      <c r="AL76" s="211"/>
      <c r="AM76" s="211"/>
      <c r="AN76" s="134"/>
      <c r="AO76" s="133"/>
      <c r="AP76" s="132"/>
      <c r="AQ76" s="132"/>
      <c r="AR76" s="132"/>
      <c r="AS76" s="132"/>
      <c r="AT76" s="132"/>
      <c r="AU76" s="134"/>
      <c r="AV76" s="133"/>
      <c r="AW76" s="132"/>
      <c r="AX76" s="132"/>
      <c r="AY76" s="134"/>
      <c r="AZ76" s="133"/>
      <c r="BA76" s="132"/>
      <c r="BB76" s="132"/>
      <c r="BC76" s="134"/>
    </row>
    <row r="77" spans="1:55" x14ac:dyDescent="0.25">
      <c r="A77" s="220"/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N77" s="220"/>
      <c r="O77" s="220"/>
      <c r="P77" s="220"/>
      <c r="Q77" s="220"/>
      <c r="R77" s="220"/>
      <c r="S77" s="220"/>
      <c r="T77" s="248"/>
      <c r="U77" s="248"/>
      <c r="V77" s="248"/>
      <c r="W77" s="248"/>
      <c r="X77" s="248"/>
      <c r="Y77" s="248"/>
      <c r="Z77" s="248"/>
      <c r="AA77" s="248"/>
      <c r="AB77" s="248"/>
      <c r="AC77" s="258"/>
      <c r="AD77" s="248"/>
      <c r="AE77" s="350"/>
      <c r="AF77" s="249"/>
      <c r="AG77" s="249"/>
      <c r="AH77" s="249"/>
      <c r="AI77" s="248"/>
      <c r="AJ77" s="248"/>
      <c r="AK77" s="250"/>
      <c r="AL77" s="250"/>
      <c r="AM77" s="250"/>
      <c r="AN77" s="248"/>
      <c r="AO77" s="248"/>
      <c r="AP77" s="248"/>
      <c r="AQ77" s="248"/>
      <c r="AR77" s="248"/>
      <c r="AS77" s="248"/>
      <c r="AT77" s="248"/>
      <c r="AU77" s="248"/>
      <c r="AV77" s="248"/>
      <c r="AW77" s="248"/>
      <c r="AX77" s="248"/>
      <c r="AY77" s="248"/>
      <c r="AZ77" s="248"/>
      <c r="BA77" s="248"/>
      <c r="BB77" s="248"/>
      <c r="BC77" s="248"/>
    </row>
    <row r="78" spans="1:55" x14ac:dyDescent="0.25">
      <c r="A78" s="220"/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N78" s="220"/>
      <c r="O78" s="220"/>
      <c r="P78" s="220"/>
      <c r="Q78" s="220"/>
      <c r="R78" s="220"/>
      <c r="S78" s="220"/>
    </row>
    <row r="79" spans="1:55" x14ac:dyDescent="0.25">
      <c r="A79" s="220"/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N79" s="220"/>
      <c r="O79" s="220"/>
      <c r="P79" s="220"/>
      <c r="Q79" s="220"/>
      <c r="R79" s="220"/>
      <c r="S79" s="220"/>
    </row>
    <row r="80" spans="1:55" x14ac:dyDescent="0.25">
      <c r="A80" s="220"/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N80" s="220"/>
      <c r="O80" s="220"/>
      <c r="P80" s="220"/>
      <c r="Q80" s="220"/>
      <c r="R80" s="220"/>
      <c r="S80" s="220"/>
    </row>
    <row r="81" spans="1:19" x14ac:dyDescent="0.25">
      <c r="A81" s="220"/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N81" s="220"/>
      <c r="O81" s="220"/>
      <c r="P81" s="220"/>
      <c r="Q81" s="220"/>
      <c r="R81" s="220"/>
      <c r="S81" s="220"/>
    </row>
    <row r="82" spans="1:19" x14ac:dyDescent="0.25">
      <c r="A82" s="220"/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N82" s="220"/>
      <c r="O82" s="220"/>
      <c r="P82" s="220"/>
      <c r="Q82" s="220"/>
      <c r="R82" s="220"/>
      <c r="S82" s="220"/>
    </row>
    <row r="83" spans="1:19" x14ac:dyDescent="0.25">
      <c r="A83" s="220"/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</row>
    <row r="84" spans="1:19" x14ac:dyDescent="0.25">
      <c r="A84" s="220"/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N84" s="220"/>
      <c r="O84" s="220"/>
      <c r="P84" s="220"/>
      <c r="Q84" s="220"/>
      <c r="R84" s="220"/>
      <c r="S84" s="220"/>
    </row>
    <row r="85" spans="1:19" x14ac:dyDescent="0.25">
      <c r="A85" s="220"/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N85" s="220"/>
      <c r="O85" s="220"/>
      <c r="P85" s="220"/>
      <c r="Q85" s="220"/>
      <c r="R85" s="220"/>
      <c r="S85" s="220"/>
    </row>
    <row r="86" spans="1:19" x14ac:dyDescent="0.25">
      <c r="A86" s="220"/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N86" s="220"/>
      <c r="O86" s="220"/>
      <c r="P86" s="220"/>
      <c r="Q86" s="220"/>
      <c r="R86" s="220"/>
      <c r="S86" s="220"/>
    </row>
    <row r="87" spans="1:19" x14ac:dyDescent="0.25">
      <c r="A87" s="220"/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N87" s="220"/>
      <c r="O87" s="220"/>
      <c r="P87" s="220"/>
      <c r="Q87" s="220"/>
      <c r="R87" s="220"/>
      <c r="S87" s="220"/>
    </row>
    <row r="88" spans="1:19" x14ac:dyDescent="0.25">
      <c r="A88" s="220"/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N88" s="220"/>
      <c r="O88" s="220"/>
      <c r="P88" s="220"/>
      <c r="Q88" s="220"/>
      <c r="R88" s="220"/>
      <c r="S88" s="220"/>
    </row>
    <row r="89" spans="1:19" x14ac:dyDescent="0.25">
      <c r="A89" s="220"/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N89" s="220"/>
      <c r="O89" s="220"/>
      <c r="P89" s="220"/>
      <c r="Q89" s="220"/>
      <c r="R89" s="220"/>
      <c r="S89" s="220"/>
    </row>
    <row r="90" spans="1:19" x14ac:dyDescent="0.25">
      <c r="A90" s="220"/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N90" s="220"/>
      <c r="O90" s="220"/>
      <c r="P90" s="220"/>
      <c r="Q90" s="220"/>
      <c r="R90" s="220"/>
      <c r="S90" s="220"/>
    </row>
    <row r="91" spans="1:19" x14ac:dyDescent="0.25">
      <c r="A91" s="220"/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0"/>
      <c r="R91" s="220"/>
      <c r="S91" s="220"/>
    </row>
    <row r="92" spans="1:19" x14ac:dyDescent="0.25">
      <c r="A92" s="220"/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N92" s="220"/>
      <c r="O92" s="220"/>
      <c r="P92" s="220"/>
      <c r="Q92" s="220"/>
      <c r="R92" s="220"/>
      <c r="S92" s="220"/>
    </row>
    <row r="93" spans="1:19" x14ac:dyDescent="0.25">
      <c r="A93" s="220"/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N93" s="220"/>
      <c r="O93" s="220"/>
      <c r="P93" s="220"/>
      <c r="Q93" s="220"/>
      <c r="R93" s="220"/>
      <c r="S93" s="220"/>
    </row>
    <row r="94" spans="1:19" x14ac:dyDescent="0.25">
      <c r="A94" s="220"/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0"/>
      <c r="P94" s="220"/>
      <c r="Q94" s="220"/>
      <c r="R94" s="220"/>
      <c r="S94" s="220"/>
    </row>
    <row r="95" spans="1:19" x14ac:dyDescent="0.25">
      <c r="A95" s="220"/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0"/>
      <c r="P95" s="220"/>
      <c r="Q95" s="220"/>
      <c r="R95" s="220"/>
      <c r="S95" s="220"/>
    </row>
    <row r="96" spans="1:19" x14ac:dyDescent="0.25">
      <c r="A96" s="220"/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N96" s="220"/>
      <c r="O96" s="220"/>
      <c r="P96" s="220"/>
      <c r="Q96" s="220"/>
      <c r="R96" s="220"/>
      <c r="S96" s="220"/>
    </row>
    <row r="97" spans="1:19" x14ac:dyDescent="0.25">
      <c r="A97" s="220"/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N97" s="220"/>
      <c r="O97" s="220"/>
      <c r="P97" s="220"/>
      <c r="Q97" s="220"/>
      <c r="R97" s="220"/>
      <c r="S97" s="220"/>
    </row>
    <row r="98" spans="1:19" x14ac:dyDescent="0.25">
      <c r="A98" s="220"/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N98" s="220"/>
      <c r="O98" s="220"/>
      <c r="P98" s="220"/>
      <c r="Q98" s="220"/>
      <c r="R98" s="220"/>
      <c r="S98" s="220"/>
    </row>
    <row r="99" spans="1:19" x14ac:dyDescent="0.25">
      <c r="A99" s="220"/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N99" s="220"/>
      <c r="O99" s="220"/>
      <c r="P99" s="220"/>
      <c r="Q99" s="220"/>
      <c r="R99" s="220"/>
      <c r="S99" s="220"/>
    </row>
    <row r="100" spans="1:19" x14ac:dyDescent="0.25">
      <c r="A100" s="220"/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N100" s="220"/>
      <c r="O100" s="220"/>
      <c r="P100" s="220"/>
      <c r="Q100" s="220"/>
      <c r="R100" s="220"/>
      <c r="S100" s="220"/>
    </row>
    <row r="101" spans="1:19" x14ac:dyDescent="0.25">
      <c r="A101" s="220"/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N101" s="220"/>
      <c r="O101" s="220"/>
      <c r="P101" s="220"/>
      <c r="Q101" s="220"/>
      <c r="R101" s="220"/>
      <c r="S101" s="220"/>
    </row>
    <row r="102" spans="1:19" x14ac:dyDescent="0.25">
      <c r="A102" s="220"/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N102" s="220"/>
      <c r="O102" s="220"/>
      <c r="P102" s="220"/>
      <c r="Q102" s="220"/>
      <c r="R102" s="220"/>
      <c r="S102" s="220"/>
    </row>
    <row r="103" spans="1:19" x14ac:dyDescent="0.25">
      <c r="A103" s="220"/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N103" s="220"/>
      <c r="O103" s="220"/>
      <c r="P103" s="220"/>
      <c r="Q103" s="220"/>
      <c r="R103" s="220"/>
      <c r="S103" s="220"/>
    </row>
    <row r="104" spans="1:19" x14ac:dyDescent="0.25">
      <c r="A104" s="220"/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N104" s="220"/>
      <c r="O104" s="220"/>
      <c r="P104" s="220"/>
      <c r="Q104" s="220"/>
      <c r="R104" s="220"/>
      <c r="S104" s="220"/>
    </row>
    <row r="105" spans="1:19" x14ac:dyDescent="0.25">
      <c r="A105" s="220"/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N105" s="220"/>
      <c r="O105" s="220"/>
      <c r="P105" s="220"/>
      <c r="Q105" s="220"/>
      <c r="R105" s="220"/>
      <c r="S105" s="220"/>
    </row>
    <row r="106" spans="1:19" x14ac:dyDescent="0.25">
      <c r="A106" s="220"/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N106" s="220"/>
      <c r="O106" s="220"/>
      <c r="P106" s="220"/>
      <c r="Q106" s="220"/>
      <c r="R106" s="220"/>
      <c r="S106" s="220"/>
    </row>
    <row r="107" spans="1:19" x14ac:dyDescent="0.25">
      <c r="A107" s="220"/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N107" s="220"/>
      <c r="O107" s="220"/>
      <c r="P107" s="220"/>
      <c r="Q107" s="220"/>
      <c r="R107" s="220"/>
      <c r="S107" s="220"/>
    </row>
    <row r="108" spans="1:19" x14ac:dyDescent="0.25">
      <c r="A108" s="220"/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N108" s="220"/>
      <c r="O108" s="220"/>
      <c r="P108" s="220"/>
      <c r="Q108" s="220"/>
      <c r="R108" s="220"/>
      <c r="S108" s="220"/>
    </row>
    <row r="109" spans="1:19" x14ac:dyDescent="0.25">
      <c r="A109" s="220"/>
      <c r="B109" s="220"/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220"/>
      <c r="O109" s="220"/>
      <c r="P109" s="220"/>
      <c r="Q109" s="220"/>
      <c r="R109" s="220"/>
      <c r="S109" s="220"/>
    </row>
    <row r="110" spans="1:19" x14ac:dyDescent="0.25">
      <c r="A110" s="220"/>
      <c r="B110" s="220"/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220"/>
      <c r="O110" s="220"/>
      <c r="P110" s="220"/>
      <c r="Q110" s="220"/>
      <c r="R110" s="220"/>
      <c r="S110" s="220"/>
    </row>
    <row r="111" spans="1:19" x14ac:dyDescent="0.25">
      <c r="A111" s="220"/>
      <c r="B111" s="220"/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220"/>
      <c r="O111" s="220"/>
      <c r="P111" s="220"/>
      <c r="Q111" s="220"/>
      <c r="R111" s="220"/>
      <c r="S111" s="220"/>
    </row>
    <row r="112" spans="1:19" x14ac:dyDescent="0.25">
      <c r="A112" s="220"/>
      <c r="B112" s="220"/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220"/>
      <c r="O112" s="220"/>
      <c r="P112" s="220"/>
      <c r="Q112" s="220"/>
      <c r="R112" s="220"/>
      <c r="S112" s="220"/>
    </row>
    <row r="113" spans="1:19" x14ac:dyDescent="0.25">
      <c r="A113" s="220"/>
      <c r="B113" s="220"/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220"/>
      <c r="O113" s="220"/>
      <c r="P113" s="220"/>
      <c r="Q113" s="220"/>
      <c r="R113" s="220"/>
      <c r="S113" s="220"/>
    </row>
    <row r="114" spans="1:19" x14ac:dyDescent="0.25">
      <c r="A114" s="220"/>
      <c r="B114" s="220"/>
      <c r="C114" s="220"/>
      <c r="D114" s="220"/>
      <c r="E114" s="220"/>
      <c r="F114" s="220"/>
      <c r="G114" s="220"/>
      <c r="H114" s="220"/>
      <c r="I114" s="220"/>
      <c r="J114" s="220"/>
      <c r="K114" s="220"/>
      <c r="L114" s="220"/>
      <c r="M114" s="220"/>
      <c r="N114" s="220"/>
      <c r="O114" s="220"/>
      <c r="P114" s="220"/>
      <c r="Q114" s="220"/>
      <c r="R114" s="220"/>
      <c r="S114" s="220"/>
    </row>
    <row r="115" spans="1:19" x14ac:dyDescent="0.25">
      <c r="A115" s="220"/>
      <c r="B115" s="220"/>
      <c r="C115" s="220"/>
      <c r="D115" s="220"/>
      <c r="E115" s="220"/>
      <c r="F115" s="220"/>
      <c r="G115" s="220"/>
      <c r="H115" s="220"/>
      <c r="I115" s="220"/>
      <c r="J115" s="220"/>
      <c r="K115" s="220"/>
      <c r="L115" s="220"/>
      <c r="M115" s="220"/>
      <c r="N115" s="220"/>
      <c r="O115" s="220"/>
      <c r="P115" s="220"/>
      <c r="Q115" s="220"/>
      <c r="R115" s="220"/>
      <c r="S115" s="220"/>
    </row>
    <row r="116" spans="1:19" x14ac:dyDescent="0.25">
      <c r="A116" s="220"/>
      <c r="B116" s="220"/>
      <c r="C116" s="220"/>
      <c r="D116" s="220"/>
      <c r="E116" s="220"/>
      <c r="F116" s="220"/>
      <c r="G116" s="220"/>
      <c r="H116" s="220"/>
      <c r="I116" s="220"/>
      <c r="J116" s="220"/>
      <c r="K116" s="220"/>
      <c r="L116" s="220"/>
      <c r="M116" s="220"/>
      <c r="N116" s="220"/>
      <c r="O116" s="220"/>
      <c r="P116" s="220"/>
      <c r="Q116" s="220"/>
      <c r="R116" s="220"/>
      <c r="S116" s="220"/>
    </row>
    <row r="117" spans="1:19" x14ac:dyDescent="0.25">
      <c r="A117" s="220"/>
      <c r="B117" s="220"/>
      <c r="C117" s="220"/>
      <c r="D117" s="220"/>
      <c r="E117" s="220"/>
      <c r="F117" s="220"/>
      <c r="G117" s="220"/>
      <c r="H117" s="220"/>
      <c r="I117" s="220"/>
      <c r="J117" s="220"/>
      <c r="K117" s="220"/>
      <c r="L117" s="220"/>
      <c r="M117" s="220"/>
      <c r="N117" s="220"/>
      <c r="O117" s="220"/>
      <c r="P117" s="220"/>
      <c r="Q117" s="220"/>
      <c r="R117" s="220"/>
      <c r="S117" s="220"/>
    </row>
    <row r="118" spans="1:19" x14ac:dyDescent="0.25">
      <c r="A118" s="220"/>
      <c r="B118" s="220"/>
      <c r="C118" s="220"/>
      <c r="D118" s="220"/>
      <c r="E118" s="220"/>
      <c r="F118" s="220"/>
      <c r="G118" s="220"/>
      <c r="H118" s="220"/>
      <c r="I118" s="220"/>
      <c r="J118" s="220"/>
      <c r="K118" s="220"/>
      <c r="L118" s="220"/>
      <c r="M118" s="220"/>
      <c r="N118" s="220"/>
      <c r="O118" s="220"/>
      <c r="P118" s="220"/>
      <c r="Q118" s="220"/>
      <c r="R118" s="220"/>
      <c r="S118" s="220"/>
    </row>
    <row r="119" spans="1:19" x14ac:dyDescent="0.25">
      <c r="A119" s="220"/>
      <c r="B119" s="220"/>
      <c r="C119" s="220"/>
      <c r="D119" s="220"/>
      <c r="E119" s="220"/>
      <c r="F119" s="220"/>
      <c r="G119" s="220"/>
      <c r="H119" s="220"/>
      <c r="I119" s="220"/>
      <c r="J119" s="220"/>
      <c r="K119" s="220"/>
      <c r="L119" s="220"/>
      <c r="M119" s="220"/>
      <c r="N119" s="220"/>
      <c r="O119" s="220"/>
      <c r="P119" s="220"/>
      <c r="Q119" s="220"/>
      <c r="R119" s="220"/>
      <c r="S119" s="220"/>
    </row>
    <row r="120" spans="1:19" x14ac:dyDescent="0.25">
      <c r="A120" s="220"/>
      <c r="B120" s="220"/>
      <c r="C120" s="220"/>
      <c r="D120" s="220"/>
      <c r="E120" s="220"/>
      <c r="F120" s="220"/>
      <c r="G120" s="220"/>
      <c r="H120" s="220"/>
      <c r="I120" s="220"/>
      <c r="J120" s="220"/>
      <c r="K120" s="220"/>
      <c r="L120" s="220"/>
      <c r="M120" s="220"/>
      <c r="N120" s="220"/>
      <c r="O120" s="220"/>
      <c r="P120" s="220"/>
      <c r="Q120" s="220"/>
      <c r="R120" s="220"/>
      <c r="S120" s="220"/>
    </row>
    <row r="121" spans="1:19" x14ac:dyDescent="0.25">
      <c r="A121" s="220"/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0"/>
      <c r="P121" s="220"/>
      <c r="Q121" s="220"/>
      <c r="R121" s="220"/>
      <c r="S121" s="220"/>
    </row>
    <row r="122" spans="1:19" x14ac:dyDescent="0.25">
      <c r="A122" s="220"/>
      <c r="B122" s="220"/>
      <c r="C122" s="220"/>
      <c r="D122" s="220"/>
      <c r="E122" s="220"/>
      <c r="F122" s="220"/>
      <c r="G122" s="220"/>
      <c r="H122" s="220"/>
      <c r="I122" s="220"/>
      <c r="J122" s="220"/>
      <c r="K122" s="220"/>
      <c r="L122" s="220"/>
      <c r="M122" s="220"/>
      <c r="N122" s="220"/>
      <c r="O122" s="220"/>
      <c r="P122" s="220"/>
      <c r="Q122" s="220"/>
      <c r="R122" s="220"/>
      <c r="S122" s="220"/>
    </row>
    <row r="123" spans="1:19" x14ac:dyDescent="0.25">
      <c r="A123" s="220"/>
      <c r="B123" s="220"/>
      <c r="C123" s="220"/>
      <c r="D123" s="220"/>
      <c r="E123" s="220"/>
      <c r="F123" s="220"/>
      <c r="G123" s="220"/>
      <c r="H123" s="220"/>
      <c r="I123" s="220"/>
      <c r="J123" s="220"/>
      <c r="K123" s="220"/>
      <c r="L123" s="220"/>
      <c r="M123" s="220"/>
      <c r="N123" s="220"/>
      <c r="O123" s="220"/>
      <c r="P123" s="220"/>
      <c r="Q123" s="220"/>
      <c r="R123" s="220"/>
      <c r="S123" s="220"/>
    </row>
    <row r="124" spans="1:19" x14ac:dyDescent="0.25">
      <c r="A124" s="220"/>
      <c r="B124" s="220"/>
      <c r="C124" s="220"/>
      <c r="D124" s="220"/>
      <c r="E124" s="220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20"/>
      <c r="Q124" s="220"/>
      <c r="R124" s="220"/>
      <c r="S124" s="220"/>
    </row>
    <row r="125" spans="1:19" x14ac:dyDescent="0.25">
      <c r="A125" s="220"/>
      <c r="B125" s="220"/>
      <c r="C125" s="220"/>
      <c r="D125" s="220"/>
      <c r="E125" s="220"/>
      <c r="F125" s="220"/>
      <c r="G125" s="220"/>
      <c r="H125" s="220"/>
      <c r="I125" s="220"/>
      <c r="J125" s="220"/>
      <c r="K125" s="220"/>
      <c r="L125" s="220"/>
      <c r="M125" s="220"/>
      <c r="N125" s="220"/>
      <c r="O125" s="220"/>
      <c r="P125" s="220"/>
      <c r="Q125" s="220"/>
      <c r="R125" s="220"/>
      <c r="S125" s="220"/>
    </row>
    <row r="126" spans="1:19" x14ac:dyDescent="0.25">
      <c r="A126" s="220"/>
      <c r="B126" s="220"/>
      <c r="C126" s="220"/>
      <c r="D126" s="220"/>
      <c r="E126" s="220"/>
      <c r="F126" s="220"/>
      <c r="G126" s="220"/>
      <c r="H126" s="220"/>
      <c r="I126" s="220"/>
      <c r="J126" s="220"/>
      <c r="K126" s="220"/>
      <c r="L126" s="220"/>
      <c r="M126" s="220"/>
      <c r="N126" s="220"/>
      <c r="O126" s="220"/>
      <c r="P126" s="220"/>
      <c r="Q126" s="220"/>
      <c r="R126" s="220"/>
      <c r="S126" s="220"/>
    </row>
    <row r="127" spans="1:19" x14ac:dyDescent="0.25">
      <c r="A127" s="220"/>
      <c r="B127" s="220"/>
      <c r="C127" s="220"/>
      <c r="D127" s="220"/>
      <c r="E127" s="220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20"/>
      <c r="Q127" s="220"/>
      <c r="R127" s="220"/>
      <c r="S127" s="220"/>
    </row>
    <row r="128" spans="1:19" x14ac:dyDescent="0.25">
      <c r="A128" s="220"/>
      <c r="B128" s="220"/>
      <c r="C128" s="220"/>
      <c r="D128" s="220"/>
      <c r="E128" s="220"/>
      <c r="F128" s="220"/>
      <c r="G128" s="220"/>
      <c r="H128" s="220"/>
      <c r="I128" s="220"/>
      <c r="J128" s="220"/>
      <c r="K128" s="220"/>
      <c r="L128" s="220"/>
      <c r="M128" s="220"/>
      <c r="N128" s="220"/>
      <c r="O128" s="220"/>
      <c r="P128" s="220"/>
      <c r="Q128" s="220"/>
      <c r="R128" s="220"/>
      <c r="S128" s="220"/>
    </row>
    <row r="129" spans="1:19" x14ac:dyDescent="0.25">
      <c r="A129" s="220"/>
      <c r="B129" s="220"/>
      <c r="C129" s="220"/>
      <c r="D129" s="220"/>
      <c r="E129" s="220"/>
      <c r="F129" s="220"/>
      <c r="G129" s="220"/>
      <c r="H129" s="220"/>
      <c r="I129" s="220"/>
      <c r="J129" s="220"/>
      <c r="K129" s="220"/>
      <c r="L129" s="220"/>
      <c r="M129" s="220"/>
      <c r="N129" s="220"/>
      <c r="O129" s="220"/>
      <c r="P129" s="220"/>
      <c r="Q129" s="220"/>
      <c r="R129" s="220"/>
      <c r="S129" s="220"/>
    </row>
    <row r="130" spans="1:19" x14ac:dyDescent="0.25">
      <c r="A130" s="220"/>
      <c r="B130" s="220"/>
      <c r="C130" s="220"/>
      <c r="D130" s="220"/>
      <c r="E130" s="220"/>
      <c r="F130" s="220"/>
      <c r="G130" s="220"/>
      <c r="H130" s="220"/>
      <c r="I130" s="220"/>
      <c r="J130" s="220"/>
      <c r="K130" s="220"/>
      <c r="L130" s="220"/>
      <c r="M130" s="220"/>
      <c r="N130" s="220"/>
      <c r="O130" s="220"/>
      <c r="P130" s="220"/>
      <c r="Q130" s="220"/>
      <c r="R130" s="220"/>
      <c r="S130" s="220"/>
    </row>
    <row r="131" spans="1:19" x14ac:dyDescent="0.25">
      <c r="A131" s="220"/>
      <c r="B131" s="220"/>
      <c r="C131" s="220"/>
      <c r="D131" s="220"/>
      <c r="E131" s="220"/>
      <c r="F131" s="220"/>
      <c r="G131" s="220"/>
      <c r="H131" s="220"/>
      <c r="I131" s="220"/>
      <c r="J131" s="220"/>
      <c r="K131" s="220"/>
      <c r="L131" s="220"/>
      <c r="M131" s="220"/>
      <c r="N131" s="220"/>
      <c r="O131" s="220"/>
      <c r="P131" s="220"/>
      <c r="Q131" s="220"/>
      <c r="R131" s="220"/>
      <c r="S131" s="220"/>
    </row>
    <row r="132" spans="1:19" x14ac:dyDescent="0.25">
      <c r="A132" s="220"/>
      <c r="B132" s="220"/>
      <c r="C132" s="220"/>
      <c r="D132" s="220"/>
      <c r="E132" s="220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20"/>
      <c r="Q132" s="220"/>
      <c r="R132" s="220"/>
      <c r="S132" s="220"/>
    </row>
    <row r="133" spans="1:19" x14ac:dyDescent="0.25">
      <c r="A133" s="220"/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0"/>
      <c r="P133" s="220"/>
      <c r="Q133" s="220"/>
      <c r="R133" s="220"/>
      <c r="S133" s="220"/>
    </row>
    <row r="134" spans="1:19" x14ac:dyDescent="0.25">
      <c r="A134" s="220"/>
      <c r="B134" s="220"/>
      <c r="C134" s="220"/>
      <c r="D134" s="220"/>
      <c r="E134" s="220"/>
      <c r="F134" s="220"/>
      <c r="G134" s="220"/>
      <c r="H134" s="220"/>
      <c r="I134" s="220"/>
      <c r="J134" s="220"/>
      <c r="K134" s="220"/>
      <c r="L134" s="220"/>
      <c r="M134" s="220"/>
      <c r="N134" s="220"/>
      <c r="O134" s="220"/>
      <c r="P134" s="220"/>
      <c r="Q134" s="220"/>
      <c r="R134" s="220"/>
      <c r="S134" s="220"/>
    </row>
    <row r="135" spans="1:19" x14ac:dyDescent="0.25">
      <c r="A135" s="220"/>
      <c r="B135" s="220"/>
      <c r="C135" s="220"/>
      <c r="D135" s="220"/>
      <c r="E135" s="220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20"/>
      <c r="Q135" s="220"/>
      <c r="R135" s="220"/>
      <c r="S135" s="220"/>
    </row>
    <row r="136" spans="1:19" x14ac:dyDescent="0.25">
      <c r="A136" s="220"/>
      <c r="B136" s="220"/>
      <c r="C136" s="220"/>
      <c r="D136" s="220"/>
      <c r="E136" s="220"/>
      <c r="F136" s="220"/>
      <c r="G136" s="220"/>
      <c r="H136" s="220"/>
      <c r="I136" s="220"/>
      <c r="J136" s="220"/>
      <c r="K136" s="220"/>
      <c r="L136" s="220"/>
      <c r="M136" s="220"/>
      <c r="N136" s="220"/>
      <c r="O136" s="220"/>
      <c r="P136" s="220"/>
      <c r="Q136" s="220"/>
      <c r="R136" s="220"/>
      <c r="S136" s="220"/>
    </row>
    <row r="137" spans="1:19" x14ac:dyDescent="0.25">
      <c r="A137" s="220"/>
      <c r="B137" s="220"/>
      <c r="C137" s="220"/>
      <c r="D137" s="220"/>
      <c r="E137" s="220"/>
      <c r="F137" s="220"/>
      <c r="G137" s="220"/>
      <c r="H137" s="220"/>
      <c r="I137" s="220"/>
      <c r="J137" s="220"/>
      <c r="K137" s="220"/>
      <c r="L137" s="220"/>
      <c r="M137" s="220"/>
      <c r="N137" s="220"/>
      <c r="O137" s="220"/>
      <c r="P137" s="220"/>
      <c r="Q137" s="220"/>
      <c r="R137" s="220"/>
      <c r="S137" s="220"/>
    </row>
    <row r="138" spans="1:19" x14ac:dyDescent="0.25">
      <c r="A138" s="220"/>
      <c r="B138" s="220"/>
      <c r="C138" s="220"/>
      <c r="D138" s="220"/>
      <c r="E138" s="220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  <c r="P138" s="220"/>
      <c r="Q138" s="220"/>
      <c r="R138" s="220"/>
      <c r="S138" s="220"/>
    </row>
    <row r="139" spans="1:19" x14ac:dyDescent="0.25">
      <c r="A139" s="220"/>
      <c r="B139" s="220"/>
      <c r="C139" s="220"/>
      <c r="D139" s="220"/>
      <c r="E139" s="220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  <c r="P139" s="220"/>
      <c r="Q139" s="220"/>
      <c r="R139" s="220"/>
      <c r="S139" s="220"/>
    </row>
    <row r="140" spans="1:19" x14ac:dyDescent="0.25">
      <c r="A140" s="220"/>
      <c r="B140" s="220"/>
      <c r="C140" s="220"/>
      <c r="D140" s="220"/>
      <c r="E140" s="220"/>
      <c r="F140" s="220"/>
      <c r="G140" s="220"/>
      <c r="H140" s="220"/>
      <c r="I140" s="220"/>
      <c r="J140" s="220"/>
      <c r="K140" s="220"/>
      <c r="L140" s="220"/>
      <c r="M140" s="220"/>
      <c r="N140" s="220"/>
      <c r="O140" s="220"/>
      <c r="P140" s="220"/>
      <c r="Q140" s="220"/>
      <c r="R140" s="220"/>
      <c r="S140" s="220"/>
    </row>
    <row r="141" spans="1:19" x14ac:dyDescent="0.25">
      <c r="A141" s="220"/>
      <c r="B141" s="220"/>
      <c r="C141" s="220"/>
      <c r="D141" s="220"/>
      <c r="E141" s="220"/>
      <c r="F141" s="220"/>
      <c r="G141" s="220"/>
      <c r="H141" s="220"/>
      <c r="I141" s="220"/>
      <c r="J141" s="220"/>
      <c r="K141" s="220"/>
      <c r="L141" s="220"/>
      <c r="M141" s="220"/>
      <c r="N141" s="220"/>
      <c r="O141" s="220"/>
      <c r="P141" s="220"/>
      <c r="Q141" s="220"/>
      <c r="R141" s="220"/>
      <c r="S141" s="220"/>
    </row>
    <row r="142" spans="1:19" x14ac:dyDescent="0.25">
      <c r="A142" s="220"/>
      <c r="B142" s="220"/>
      <c r="C142" s="220"/>
      <c r="D142" s="220"/>
      <c r="E142" s="220"/>
      <c r="F142" s="220"/>
      <c r="G142" s="220"/>
      <c r="H142" s="220"/>
      <c r="I142" s="220"/>
      <c r="J142" s="220"/>
      <c r="K142" s="220"/>
      <c r="L142" s="220"/>
      <c r="M142" s="220"/>
      <c r="N142" s="220"/>
      <c r="O142" s="220"/>
      <c r="P142" s="220"/>
      <c r="Q142" s="220"/>
      <c r="R142" s="220"/>
      <c r="S142" s="220"/>
    </row>
    <row r="143" spans="1:19" x14ac:dyDescent="0.25">
      <c r="A143" s="220"/>
      <c r="B143" s="220"/>
      <c r="C143" s="220"/>
      <c r="D143" s="220"/>
      <c r="E143" s="220"/>
      <c r="F143" s="220"/>
      <c r="G143" s="220"/>
      <c r="H143" s="220"/>
      <c r="I143" s="220"/>
      <c r="J143" s="220"/>
      <c r="K143" s="220"/>
      <c r="L143" s="220"/>
      <c r="M143" s="220"/>
      <c r="N143" s="220"/>
      <c r="O143" s="220"/>
      <c r="P143" s="220"/>
      <c r="Q143" s="220"/>
      <c r="R143" s="220"/>
      <c r="S143" s="220"/>
    </row>
    <row r="144" spans="1:19" x14ac:dyDescent="0.25">
      <c r="A144" s="220"/>
      <c r="B144" s="220"/>
      <c r="C144" s="220"/>
      <c r="D144" s="220"/>
      <c r="E144" s="220"/>
      <c r="F144" s="220"/>
      <c r="G144" s="220"/>
      <c r="H144" s="220"/>
      <c r="I144" s="220"/>
      <c r="J144" s="220"/>
      <c r="K144" s="220"/>
      <c r="L144" s="220"/>
      <c r="M144" s="220"/>
      <c r="N144" s="220"/>
      <c r="O144" s="220"/>
      <c r="P144" s="220"/>
      <c r="Q144" s="220"/>
      <c r="R144" s="220"/>
      <c r="S144" s="220"/>
    </row>
    <row r="145" spans="1:19" x14ac:dyDescent="0.25">
      <c r="A145" s="220"/>
      <c r="B145" s="220"/>
      <c r="C145" s="220"/>
      <c r="D145" s="220"/>
      <c r="E145" s="220"/>
      <c r="F145" s="220"/>
      <c r="G145" s="220"/>
      <c r="H145" s="220"/>
      <c r="I145" s="220"/>
      <c r="J145" s="220"/>
      <c r="K145" s="220"/>
      <c r="L145" s="220"/>
      <c r="M145" s="220"/>
      <c r="N145" s="220"/>
      <c r="O145" s="220"/>
      <c r="P145" s="220"/>
      <c r="Q145" s="220"/>
      <c r="R145" s="220"/>
      <c r="S145" s="220"/>
    </row>
    <row r="146" spans="1:19" x14ac:dyDescent="0.25">
      <c r="A146" s="220"/>
      <c r="B146" s="220"/>
      <c r="C146" s="220"/>
      <c r="D146" s="220"/>
      <c r="E146" s="220"/>
      <c r="F146" s="220"/>
      <c r="G146" s="220"/>
      <c r="H146" s="220"/>
      <c r="I146" s="220"/>
      <c r="J146" s="220"/>
      <c r="K146" s="220"/>
      <c r="L146" s="220"/>
      <c r="M146" s="220"/>
      <c r="N146" s="220"/>
      <c r="O146" s="220"/>
      <c r="P146" s="220"/>
      <c r="Q146" s="220"/>
      <c r="R146" s="220"/>
      <c r="S146" s="220"/>
    </row>
    <row r="147" spans="1:19" x14ac:dyDescent="0.25">
      <c r="A147" s="220"/>
      <c r="B147" s="220"/>
      <c r="C147" s="220"/>
      <c r="D147" s="220"/>
      <c r="E147" s="220"/>
      <c r="F147" s="220"/>
      <c r="G147" s="220"/>
      <c r="H147" s="220"/>
      <c r="I147" s="220"/>
      <c r="J147" s="220"/>
      <c r="K147" s="220"/>
      <c r="L147" s="220"/>
      <c r="M147" s="220"/>
      <c r="N147" s="220"/>
      <c r="O147" s="220"/>
      <c r="P147" s="220"/>
      <c r="Q147" s="220"/>
      <c r="R147" s="220"/>
      <c r="S147" s="220"/>
    </row>
    <row r="148" spans="1:19" x14ac:dyDescent="0.25">
      <c r="A148" s="220"/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0"/>
      <c r="P148" s="220"/>
      <c r="Q148" s="220"/>
      <c r="R148" s="220"/>
      <c r="S148" s="220"/>
    </row>
    <row r="149" spans="1:19" x14ac:dyDescent="0.25">
      <c r="A149" s="220"/>
      <c r="B149" s="220"/>
      <c r="C149" s="220"/>
      <c r="D149" s="220"/>
      <c r="E149" s="220"/>
      <c r="F149" s="220"/>
      <c r="G149" s="220"/>
      <c r="H149" s="220"/>
      <c r="I149" s="220"/>
      <c r="J149" s="220"/>
      <c r="K149" s="220"/>
      <c r="L149" s="220"/>
      <c r="M149" s="220"/>
      <c r="N149" s="220"/>
      <c r="O149" s="220"/>
      <c r="P149" s="220"/>
      <c r="Q149" s="220"/>
      <c r="R149" s="220"/>
      <c r="S149" s="220"/>
    </row>
    <row r="150" spans="1:19" x14ac:dyDescent="0.25">
      <c r="A150" s="220"/>
      <c r="B150" s="220"/>
      <c r="C150" s="220"/>
      <c r="D150" s="220"/>
      <c r="E150" s="220"/>
      <c r="F150" s="220"/>
      <c r="G150" s="220"/>
      <c r="H150" s="220"/>
      <c r="I150" s="220"/>
      <c r="J150" s="220"/>
      <c r="K150" s="220"/>
      <c r="L150" s="220"/>
      <c r="M150" s="220"/>
      <c r="N150" s="220"/>
      <c r="O150" s="220"/>
      <c r="P150" s="220"/>
      <c r="Q150" s="220"/>
      <c r="R150" s="220"/>
      <c r="S150" s="220"/>
    </row>
    <row r="151" spans="1:19" x14ac:dyDescent="0.25">
      <c r="A151" s="220"/>
      <c r="B151" s="220"/>
      <c r="C151" s="220"/>
      <c r="D151" s="220"/>
      <c r="E151" s="220"/>
      <c r="F151" s="220"/>
      <c r="G151" s="220"/>
      <c r="H151" s="220"/>
      <c r="I151" s="220"/>
      <c r="J151" s="220"/>
      <c r="K151" s="220"/>
      <c r="L151" s="220"/>
      <c r="M151" s="220"/>
      <c r="N151" s="220"/>
      <c r="O151" s="220"/>
      <c r="P151" s="220"/>
      <c r="Q151" s="220"/>
      <c r="R151" s="220"/>
      <c r="S151" s="220"/>
    </row>
    <row r="152" spans="1:19" x14ac:dyDescent="0.25">
      <c r="A152" s="220"/>
      <c r="B152" s="220"/>
      <c r="C152" s="220"/>
      <c r="D152" s="220"/>
      <c r="E152" s="220"/>
      <c r="F152" s="220"/>
      <c r="G152" s="220"/>
      <c r="H152" s="220"/>
      <c r="I152" s="220"/>
      <c r="J152" s="220"/>
      <c r="K152" s="220"/>
      <c r="L152" s="220"/>
      <c r="M152" s="220"/>
      <c r="N152" s="220"/>
      <c r="O152" s="220"/>
      <c r="P152" s="220"/>
      <c r="Q152" s="220"/>
      <c r="R152" s="220"/>
      <c r="S152" s="220"/>
    </row>
    <row r="153" spans="1:19" x14ac:dyDescent="0.25">
      <c r="A153" s="220"/>
      <c r="B153" s="220"/>
      <c r="C153" s="220"/>
      <c r="D153" s="220"/>
      <c r="E153" s="220"/>
      <c r="F153" s="220"/>
      <c r="G153" s="220"/>
      <c r="H153" s="220"/>
      <c r="I153" s="220"/>
      <c r="J153" s="220"/>
      <c r="K153" s="220"/>
      <c r="L153" s="220"/>
      <c r="M153" s="220"/>
      <c r="N153" s="220"/>
      <c r="O153" s="220"/>
      <c r="P153" s="220"/>
      <c r="Q153" s="220"/>
      <c r="R153" s="220"/>
      <c r="S153" s="220"/>
    </row>
    <row r="154" spans="1:19" x14ac:dyDescent="0.25">
      <c r="A154" s="220"/>
      <c r="B154" s="220"/>
      <c r="C154" s="220"/>
      <c r="D154" s="220"/>
      <c r="E154" s="220"/>
      <c r="F154" s="220"/>
      <c r="G154" s="220"/>
      <c r="H154" s="220"/>
      <c r="I154" s="220"/>
      <c r="J154" s="220"/>
      <c r="K154" s="220"/>
      <c r="L154" s="220"/>
      <c r="M154" s="220"/>
      <c r="N154" s="220"/>
      <c r="O154" s="220"/>
      <c r="P154" s="220"/>
      <c r="Q154" s="220"/>
      <c r="R154" s="220"/>
      <c r="S154" s="220"/>
    </row>
    <row r="155" spans="1:19" x14ac:dyDescent="0.25">
      <c r="A155" s="220"/>
      <c r="B155" s="220"/>
      <c r="C155" s="220"/>
      <c r="D155" s="220"/>
      <c r="E155" s="220"/>
      <c r="F155" s="220"/>
      <c r="G155" s="220"/>
      <c r="H155" s="220"/>
      <c r="I155" s="220"/>
      <c r="J155" s="220"/>
      <c r="K155" s="220"/>
      <c r="L155" s="220"/>
      <c r="M155" s="220"/>
      <c r="N155" s="220"/>
      <c r="O155" s="220"/>
      <c r="P155" s="220"/>
      <c r="Q155" s="220"/>
      <c r="R155" s="220"/>
      <c r="S155" s="220"/>
    </row>
    <row r="156" spans="1:19" x14ac:dyDescent="0.25">
      <c r="A156" s="220"/>
      <c r="B156" s="220"/>
      <c r="C156" s="220"/>
      <c r="D156" s="220"/>
      <c r="E156" s="220"/>
      <c r="F156" s="220"/>
      <c r="G156" s="220"/>
      <c r="H156" s="220"/>
      <c r="I156" s="220"/>
      <c r="J156" s="220"/>
      <c r="K156" s="220"/>
      <c r="L156" s="220"/>
      <c r="M156" s="220"/>
      <c r="N156" s="220"/>
      <c r="O156" s="220"/>
      <c r="P156" s="220"/>
      <c r="Q156" s="220"/>
      <c r="R156" s="220"/>
      <c r="S156" s="220"/>
    </row>
    <row r="157" spans="1:19" x14ac:dyDescent="0.25">
      <c r="A157" s="220"/>
      <c r="B157" s="220"/>
      <c r="C157" s="220"/>
      <c r="D157" s="220"/>
      <c r="E157" s="220"/>
      <c r="F157" s="220"/>
      <c r="G157" s="220"/>
      <c r="H157" s="220"/>
      <c r="I157" s="220"/>
      <c r="J157" s="220"/>
      <c r="K157" s="220"/>
      <c r="L157" s="220"/>
      <c r="M157" s="220"/>
      <c r="N157" s="220"/>
      <c r="O157" s="220"/>
      <c r="P157" s="220"/>
      <c r="Q157" s="220"/>
      <c r="R157" s="220"/>
      <c r="S157" s="220"/>
    </row>
    <row r="158" spans="1:19" x14ac:dyDescent="0.25">
      <c r="A158" s="220"/>
      <c r="B158" s="220"/>
      <c r="C158" s="220"/>
      <c r="D158" s="220"/>
      <c r="E158" s="220"/>
      <c r="F158" s="220"/>
      <c r="G158" s="220"/>
      <c r="H158" s="220"/>
      <c r="I158" s="220"/>
      <c r="J158" s="220"/>
      <c r="K158" s="220"/>
      <c r="L158" s="220"/>
      <c r="M158" s="220"/>
      <c r="N158" s="220"/>
      <c r="O158" s="220"/>
      <c r="P158" s="220"/>
      <c r="Q158" s="220"/>
      <c r="R158" s="220"/>
      <c r="S158" s="220"/>
    </row>
    <row r="159" spans="1:19" x14ac:dyDescent="0.25">
      <c r="A159" s="220"/>
      <c r="B159" s="220"/>
      <c r="C159" s="220"/>
      <c r="D159" s="220"/>
      <c r="E159" s="220"/>
      <c r="F159" s="220"/>
      <c r="G159" s="220"/>
      <c r="H159" s="220"/>
      <c r="I159" s="220"/>
      <c r="J159" s="220"/>
      <c r="K159" s="220"/>
      <c r="L159" s="220"/>
      <c r="M159" s="220"/>
      <c r="N159" s="220"/>
      <c r="O159" s="220"/>
      <c r="P159" s="220"/>
      <c r="Q159" s="220"/>
      <c r="R159" s="220"/>
      <c r="S159" s="220"/>
    </row>
    <row r="160" spans="1:19" x14ac:dyDescent="0.25">
      <c r="A160" s="220"/>
      <c r="B160" s="220"/>
      <c r="C160" s="220"/>
      <c r="D160" s="220"/>
      <c r="E160" s="220"/>
      <c r="F160" s="220"/>
      <c r="G160" s="220"/>
      <c r="H160" s="220"/>
      <c r="I160" s="220"/>
      <c r="J160" s="220"/>
      <c r="K160" s="220"/>
      <c r="L160" s="220"/>
      <c r="M160" s="220"/>
      <c r="N160" s="220"/>
      <c r="O160" s="220"/>
      <c r="P160" s="220"/>
      <c r="Q160" s="220"/>
      <c r="R160" s="220"/>
      <c r="S160" s="220"/>
    </row>
    <row r="161" spans="1:19" x14ac:dyDescent="0.25">
      <c r="A161" s="220"/>
      <c r="B161" s="220"/>
      <c r="C161" s="220"/>
      <c r="D161" s="220"/>
      <c r="E161" s="220"/>
      <c r="F161" s="220"/>
      <c r="G161" s="220"/>
      <c r="H161" s="220"/>
      <c r="I161" s="220"/>
      <c r="J161" s="220"/>
      <c r="K161" s="220"/>
      <c r="L161" s="220"/>
      <c r="M161" s="220"/>
      <c r="N161" s="220"/>
      <c r="O161" s="220"/>
      <c r="P161" s="220"/>
      <c r="Q161" s="220"/>
      <c r="R161" s="220"/>
      <c r="S161" s="220"/>
    </row>
    <row r="162" spans="1:19" x14ac:dyDescent="0.25">
      <c r="A162" s="220"/>
      <c r="B162" s="220"/>
      <c r="C162" s="220"/>
      <c r="D162" s="220"/>
      <c r="E162" s="220"/>
      <c r="F162" s="220"/>
      <c r="G162" s="220"/>
      <c r="H162" s="220"/>
      <c r="I162" s="220"/>
      <c r="J162" s="220"/>
      <c r="K162" s="220"/>
      <c r="L162" s="220"/>
      <c r="M162" s="220"/>
      <c r="N162" s="220"/>
      <c r="O162" s="220"/>
      <c r="P162" s="220"/>
      <c r="Q162" s="220"/>
      <c r="R162" s="220"/>
      <c r="S162" s="220"/>
    </row>
    <row r="163" spans="1:19" x14ac:dyDescent="0.25">
      <c r="A163" s="220"/>
      <c r="B163" s="220"/>
      <c r="C163" s="220"/>
      <c r="D163" s="220"/>
      <c r="E163" s="220"/>
      <c r="F163" s="220"/>
      <c r="G163" s="220"/>
      <c r="H163" s="220"/>
      <c r="I163" s="220"/>
      <c r="J163" s="220"/>
      <c r="K163" s="220"/>
      <c r="L163" s="220"/>
      <c r="M163" s="220"/>
      <c r="N163" s="220"/>
      <c r="O163" s="220"/>
      <c r="P163" s="220"/>
      <c r="Q163" s="220"/>
      <c r="R163" s="220"/>
      <c r="S163" s="220"/>
    </row>
    <row r="164" spans="1:19" x14ac:dyDescent="0.25">
      <c r="A164" s="220"/>
      <c r="B164" s="220"/>
      <c r="C164" s="220"/>
      <c r="D164" s="220"/>
      <c r="E164" s="220"/>
      <c r="F164" s="220"/>
      <c r="G164" s="220"/>
      <c r="H164" s="220"/>
      <c r="I164" s="220"/>
      <c r="J164" s="220"/>
      <c r="K164" s="220"/>
      <c r="L164" s="220"/>
      <c r="M164" s="220"/>
      <c r="N164" s="220"/>
      <c r="O164" s="220"/>
      <c r="P164" s="220"/>
      <c r="Q164" s="220"/>
      <c r="R164" s="220"/>
      <c r="S164" s="220"/>
    </row>
    <row r="165" spans="1:19" x14ac:dyDescent="0.25">
      <c r="A165" s="220"/>
      <c r="B165" s="220"/>
      <c r="C165" s="220"/>
      <c r="D165" s="220"/>
      <c r="E165" s="220"/>
      <c r="F165" s="220"/>
      <c r="G165" s="220"/>
      <c r="H165" s="220"/>
      <c r="I165" s="220"/>
      <c r="J165" s="220"/>
      <c r="K165" s="220"/>
      <c r="L165" s="220"/>
      <c r="M165" s="220"/>
      <c r="N165" s="220"/>
      <c r="O165" s="220"/>
      <c r="P165" s="220"/>
      <c r="Q165" s="220"/>
      <c r="R165" s="220"/>
      <c r="S165" s="220"/>
    </row>
    <row r="166" spans="1:19" x14ac:dyDescent="0.25">
      <c r="A166" s="220"/>
      <c r="B166" s="220"/>
      <c r="C166" s="220"/>
      <c r="D166" s="220"/>
      <c r="E166" s="220"/>
      <c r="F166" s="220"/>
      <c r="G166" s="220"/>
      <c r="H166" s="220"/>
      <c r="I166" s="220"/>
      <c r="J166" s="220"/>
      <c r="K166" s="220"/>
      <c r="L166" s="220"/>
      <c r="M166" s="220"/>
      <c r="N166" s="220"/>
      <c r="O166" s="220"/>
      <c r="P166" s="220"/>
      <c r="Q166" s="220"/>
      <c r="R166" s="220"/>
      <c r="S166" s="220"/>
    </row>
    <row r="167" spans="1:19" x14ac:dyDescent="0.25">
      <c r="A167" s="220"/>
      <c r="B167" s="220"/>
      <c r="C167" s="220"/>
      <c r="D167" s="220"/>
      <c r="E167" s="220"/>
      <c r="F167" s="220"/>
      <c r="G167" s="220"/>
      <c r="H167" s="220"/>
      <c r="I167" s="220"/>
      <c r="J167" s="220"/>
      <c r="K167" s="220"/>
      <c r="L167" s="220"/>
      <c r="M167" s="220"/>
      <c r="N167" s="220"/>
      <c r="O167" s="220"/>
      <c r="P167" s="220"/>
      <c r="Q167" s="220"/>
      <c r="R167" s="220"/>
      <c r="S167" s="220"/>
    </row>
    <row r="168" spans="1:19" x14ac:dyDescent="0.25">
      <c r="A168" s="220"/>
      <c r="B168" s="220"/>
      <c r="C168" s="220"/>
      <c r="D168" s="220"/>
      <c r="E168" s="220"/>
      <c r="F168" s="220"/>
      <c r="G168" s="220"/>
      <c r="H168" s="220"/>
      <c r="I168" s="220"/>
      <c r="J168" s="220"/>
      <c r="K168" s="220"/>
      <c r="L168" s="220"/>
      <c r="M168" s="220"/>
      <c r="N168" s="220"/>
      <c r="O168" s="220"/>
      <c r="P168" s="220"/>
      <c r="Q168" s="220"/>
      <c r="R168" s="220"/>
      <c r="S168" s="220"/>
    </row>
    <row r="169" spans="1:19" x14ac:dyDescent="0.25">
      <c r="A169" s="220"/>
      <c r="B169" s="220"/>
      <c r="C169" s="220"/>
      <c r="D169" s="220"/>
      <c r="E169" s="220"/>
      <c r="F169" s="220"/>
      <c r="G169" s="220"/>
      <c r="H169" s="220"/>
      <c r="I169" s="220"/>
      <c r="J169" s="220"/>
      <c r="K169" s="220"/>
      <c r="L169" s="220"/>
      <c r="M169" s="220"/>
      <c r="N169" s="220"/>
      <c r="O169" s="220"/>
      <c r="P169" s="220"/>
      <c r="Q169" s="220"/>
      <c r="R169" s="220"/>
      <c r="S169" s="220"/>
    </row>
    <row r="170" spans="1:19" x14ac:dyDescent="0.25">
      <c r="A170" s="220"/>
      <c r="B170" s="220"/>
      <c r="C170" s="220"/>
      <c r="D170" s="220"/>
      <c r="E170" s="220"/>
      <c r="F170" s="220"/>
      <c r="G170" s="220"/>
      <c r="H170" s="220"/>
      <c r="I170" s="220"/>
      <c r="J170" s="220"/>
      <c r="K170" s="220"/>
      <c r="L170" s="220"/>
      <c r="M170" s="220"/>
      <c r="N170" s="220"/>
      <c r="O170" s="220"/>
      <c r="P170" s="220"/>
      <c r="Q170" s="220"/>
      <c r="R170" s="220"/>
      <c r="S170" s="220"/>
    </row>
    <row r="171" spans="1:19" x14ac:dyDescent="0.25">
      <c r="A171" s="220"/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0"/>
      <c r="P171" s="220"/>
      <c r="Q171" s="220"/>
      <c r="R171" s="220"/>
      <c r="S171" s="220"/>
    </row>
    <row r="172" spans="1:19" x14ac:dyDescent="0.25">
      <c r="A172" s="220"/>
      <c r="B172" s="220"/>
      <c r="C172" s="220"/>
      <c r="D172" s="220"/>
      <c r="E172" s="220"/>
      <c r="F172" s="220"/>
      <c r="G172" s="220"/>
      <c r="H172" s="220"/>
      <c r="I172" s="220"/>
      <c r="J172" s="220"/>
      <c r="K172" s="220"/>
      <c r="L172" s="220"/>
      <c r="M172" s="220"/>
      <c r="N172" s="220"/>
      <c r="O172" s="220"/>
      <c r="P172" s="220"/>
      <c r="Q172" s="220"/>
      <c r="R172" s="220"/>
      <c r="S172" s="220"/>
    </row>
    <row r="173" spans="1:19" x14ac:dyDescent="0.25">
      <c r="A173" s="220"/>
      <c r="B173" s="220"/>
      <c r="C173" s="220"/>
      <c r="D173" s="220"/>
      <c r="E173" s="220"/>
      <c r="F173" s="220"/>
      <c r="G173" s="220"/>
      <c r="H173" s="220"/>
      <c r="I173" s="220"/>
      <c r="J173" s="220"/>
      <c r="K173" s="220"/>
      <c r="L173" s="220"/>
      <c r="M173" s="220"/>
      <c r="N173" s="220"/>
      <c r="O173" s="220"/>
      <c r="P173" s="220"/>
      <c r="Q173" s="220"/>
      <c r="R173" s="220"/>
      <c r="S173" s="220"/>
    </row>
    <row r="174" spans="1:19" x14ac:dyDescent="0.25">
      <c r="A174" s="220"/>
      <c r="B174" s="220"/>
      <c r="C174" s="220"/>
      <c r="D174" s="220"/>
      <c r="E174" s="220"/>
      <c r="F174" s="220"/>
      <c r="G174" s="220"/>
      <c r="H174" s="220"/>
      <c r="I174" s="220"/>
      <c r="J174" s="220"/>
      <c r="K174" s="220"/>
      <c r="L174" s="220"/>
      <c r="M174" s="220"/>
      <c r="N174" s="220"/>
      <c r="O174" s="220"/>
      <c r="P174" s="220"/>
      <c r="Q174" s="220"/>
      <c r="R174" s="220"/>
      <c r="S174" s="220"/>
    </row>
    <row r="175" spans="1:19" x14ac:dyDescent="0.25">
      <c r="A175" s="220"/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0"/>
      <c r="P175" s="220"/>
      <c r="Q175" s="220"/>
      <c r="R175" s="220"/>
      <c r="S175" s="220"/>
    </row>
    <row r="176" spans="1:19" x14ac:dyDescent="0.25">
      <c r="A176" s="220"/>
      <c r="B176" s="220"/>
      <c r="C176" s="220"/>
      <c r="D176" s="220"/>
      <c r="E176" s="220"/>
      <c r="F176" s="220"/>
      <c r="G176" s="220"/>
      <c r="H176" s="220"/>
      <c r="I176" s="220"/>
      <c r="J176" s="220"/>
      <c r="K176" s="220"/>
      <c r="L176" s="220"/>
      <c r="M176" s="220"/>
      <c r="N176" s="220"/>
      <c r="O176" s="220"/>
      <c r="P176" s="220"/>
      <c r="Q176" s="220"/>
      <c r="R176" s="220"/>
      <c r="S176" s="220"/>
    </row>
    <row r="177" spans="1:19" x14ac:dyDescent="0.25">
      <c r="A177" s="220"/>
      <c r="B177" s="220"/>
      <c r="C177" s="220"/>
      <c r="D177" s="220"/>
      <c r="E177" s="220"/>
      <c r="F177" s="220"/>
      <c r="G177" s="220"/>
      <c r="H177" s="220"/>
      <c r="I177" s="220"/>
      <c r="J177" s="220"/>
      <c r="K177" s="220"/>
      <c r="L177" s="220"/>
      <c r="M177" s="220"/>
      <c r="N177" s="220"/>
      <c r="O177" s="220"/>
      <c r="P177" s="220"/>
      <c r="Q177" s="220"/>
      <c r="R177" s="220"/>
      <c r="S177" s="220"/>
    </row>
    <row r="178" spans="1:19" x14ac:dyDescent="0.25">
      <c r="A178" s="220"/>
      <c r="B178" s="220"/>
      <c r="C178" s="220"/>
      <c r="D178" s="220"/>
      <c r="E178" s="220"/>
      <c r="F178" s="220"/>
      <c r="G178" s="220"/>
      <c r="H178" s="220"/>
      <c r="I178" s="220"/>
      <c r="J178" s="220"/>
      <c r="K178" s="220"/>
      <c r="L178" s="220"/>
      <c r="M178" s="220"/>
      <c r="N178" s="220"/>
      <c r="O178" s="220"/>
      <c r="P178" s="220"/>
      <c r="Q178" s="220"/>
      <c r="R178" s="220"/>
      <c r="S178" s="220"/>
    </row>
    <row r="179" spans="1:19" x14ac:dyDescent="0.25">
      <c r="A179" s="220"/>
      <c r="B179" s="220"/>
      <c r="C179" s="220"/>
      <c r="D179" s="220"/>
      <c r="E179" s="220"/>
      <c r="F179" s="220"/>
      <c r="G179" s="220"/>
      <c r="H179" s="220"/>
      <c r="I179" s="220"/>
      <c r="J179" s="220"/>
      <c r="K179" s="220"/>
      <c r="L179" s="220"/>
      <c r="M179" s="220"/>
      <c r="N179" s="220"/>
      <c r="O179" s="220"/>
      <c r="P179" s="220"/>
      <c r="Q179" s="220"/>
      <c r="R179" s="220"/>
      <c r="S179" s="220"/>
    </row>
    <row r="180" spans="1:19" x14ac:dyDescent="0.25">
      <c r="A180" s="220"/>
      <c r="B180" s="220"/>
      <c r="C180" s="220"/>
      <c r="D180" s="220"/>
      <c r="E180" s="220"/>
      <c r="F180" s="220"/>
      <c r="G180" s="220"/>
      <c r="H180" s="220"/>
      <c r="I180" s="220"/>
      <c r="J180" s="220"/>
      <c r="K180" s="220"/>
      <c r="L180" s="220"/>
      <c r="M180" s="220"/>
      <c r="N180" s="220"/>
      <c r="O180" s="220"/>
      <c r="P180" s="220"/>
      <c r="Q180" s="220"/>
      <c r="R180" s="220"/>
      <c r="S180" s="220"/>
    </row>
    <row r="181" spans="1:19" x14ac:dyDescent="0.25">
      <c r="A181" s="220"/>
      <c r="B181" s="220"/>
      <c r="C181" s="220"/>
      <c r="D181" s="220"/>
      <c r="E181" s="220"/>
      <c r="F181" s="220"/>
      <c r="G181" s="220"/>
      <c r="H181" s="220"/>
      <c r="I181" s="220"/>
      <c r="J181" s="220"/>
      <c r="K181" s="220"/>
      <c r="L181" s="220"/>
      <c r="M181" s="220"/>
      <c r="N181" s="220"/>
      <c r="O181" s="220"/>
      <c r="P181" s="220"/>
      <c r="Q181" s="220"/>
      <c r="R181" s="220"/>
      <c r="S181" s="220"/>
    </row>
    <row r="182" spans="1:19" x14ac:dyDescent="0.25">
      <c r="A182" s="220"/>
      <c r="B182" s="220"/>
      <c r="C182" s="220"/>
      <c r="D182" s="220"/>
      <c r="E182" s="220"/>
      <c r="F182" s="220"/>
      <c r="G182" s="220"/>
      <c r="H182" s="220"/>
      <c r="I182" s="220"/>
      <c r="J182" s="220"/>
      <c r="K182" s="220"/>
      <c r="L182" s="220"/>
      <c r="M182" s="220"/>
      <c r="N182" s="220"/>
      <c r="O182" s="220"/>
      <c r="P182" s="220"/>
      <c r="Q182" s="220"/>
      <c r="R182" s="220"/>
      <c r="S182" s="220"/>
    </row>
    <row r="183" spans="1:19" x14ac:dyDescent="0.25">
      <c r="A183" s="220"/>
      <c r="B183" s="220"/>
      <c r="C183" s="220"/>
      <c r="D183" s="220"/>
      <c r="E183" s="220"/>
      <c r="F183" s="220"/>
      <c r="G183" s="220"/>
      <c r="H183" s="220"/>
      <c r="I183" s="220"/>
      <c r="J183" s="220"/>
      <c r="K183" s="220"/>
      <c r="L183" s="220"/>
      <c r="M183" s="220"/>
      <c r="N183" s="220"/>
      <c r="O183" s="220"/>
      <c r="P183" s="220"/>
      <c r="Q183" s="220"/>
      <c r="R183" s="220"/>
      <c r="S183" s="220"/>
    </row>
    <row r="184" spans="1:19" x14ac:dyDescent="0.25">
      <c r="A184" s="220"/>
      <c r="B184" s="220"/>
      <c r="C184" s="220"/>
      <c r="D184" s="220"/>
      <c r="E184" s="220"/>
      <c r="F184" s="220"/>
      <c r="G184" s="220"/>
      <c r="H184" s="220"/>
      <c r="I184" s="220"/>
      <c r="J184" s="220"/>
      <c r="K184" s="220"/>
      <c r="L184" s="220"/>
      <c r="M184" s="220"/>
      <c r="N184" s="220"/>
      <c r="O184" s="220"/>
      <c r="P184" s="220"/>
      <c r="Q184" s="220"/>
      <c r="R184" s="220"/>
      <c r="S184" s="220"/>
    </row>
    <row r="185" spans="1:19" x14ac:dyDescent="0.25">
      <c r="A185" s="220"/>
      <c r="B185" s="220"/>
      <c r="C185" s="220"/>
      <c r="D185" s="220"/>
      <c r="E185" s="220"/>
      <c r="F185" s="220"/>
      <c r="G185" s="220"/>
      <c r="H185" s="220"/>
      <c r="I185" s="220"/>
      <c r="J185" s="220"/>
      <c r="K185" s="220"/>
      <c r="L185" s="220"/>
      <c r="M185" s="220"/>
      <c r="N185" s="220"/>
      <c r="O185" s="220"/>
      <c r="P185" s="220"/>
      <c r="Q185" s="220"/>
      <c r="R185" s="220"/>
      <c r="S185" s="220"/>
    </row>
    <row r="186" spans="1:19" x14ac:dyDescent="0.25">
      <c r="A186" s="220"/>
      <c r="B186" s="220"/>
      <c r="C186" s="220"/>
      <c r="D186" s="220"/>
      <c r="E186" s="220"/>
      <c r="F186" s="220"/>
      <c r="G186" s="220"/>
      <c r="H186" s="220"/>
      <c r="I186" s="220"/>
      <c r="J186" s="220"/>
      <c r="K186" s="220"/>
      <c r="L186" s="220"/>
      <c r="M186" s="220"/>
      <c r="N186" s="220"/>
      <c r="O186" s="220"/>
      <c r="P186" s="220"/>
      <c r="Q186" s="220"/>
      <c r="R186" s="220"/>
      <c r="S186" s="220"/>
    </row>
    <row r="187" spans="1:19" x14ac:dyDescent="0.25">
      <c r="A187" s="220"/>
      <c r="B187" s="220"/>
      <c r="C187" s="220"/>
      <c r="D187" s="220"/>
      <c r="E187" s="220"/>
      <c r="F187" s="220"/>
      <c r="G187" s="220"/>
      <c r="H187" s="220"/>
      <c r="I187" s="220"/>
      <c r="J187" s="220"/>
      <c r="K187" s="220"/>
      <c r="L187" s="220"/>
      <c r="M187" s="220"/>
      <c r="N187" s="220"/>
      <c r="O187" s="220"/>
      <c r="P187" s="220"/>
      <c r="Q187" s="220"/>
      <c r="R187" s="220"/>
      <c r="S187" s="220"/>
    </row>
    <row r="188" spans="1:19" x14ac:dyDescent="0.25">
      <c r="A188" s="220"/>
      <c r="B188" s="220"/>
      <c r="C188" s="220"/>
      <c r="D188" s="220"/>
      <c r="E188" s="220"/>
      <c r="F188" s="220"/>
      <c r="G188" s="220"/>
      <c r="H188" s="220"/>
      <c r="I188" s="220"/>
      <c r="J188" s="220"/>
      <c r="K188" s="220"/>
      <c r="L188" s="220"/>
      <c r="M188" s="220"/>
      <c r="N188" s="220"/>
      <c r="O188" s="220"/>
      <c r="P188" s="220"/>
      <c r="Q188" s="220"/>
      <c r="R188" s="220"/>
      <c r="S188" s="220"/>
    </row>
    <row r="189" spans="1:19" x14ac:dyDescent="0.25">
      <c r="A189" s="220"/>
      <c r="B189" s="220"/>
      <c r="C189" s="220"/>
      <c r="D189" s="220"/>
      <c r="E189" s="220"/>
      <c r="F189" s="220"/>
      <c r="G189" s="220"/>
      <c r="H189" s="220"/>
      <c r="I189" s="220"/>
      <c r="J189" s="220"/>
      <c r="K189" s="220"/>
      <c r="L189" s="220"/>
      <c r="M189" s="220"/>
      <c r="N189" s="220"/>
      <c r="O189" s="220"/>
      <c r="P189" s="220"/>
      <c r="Q189" s="220"/>
      <c r="R189" s="220"/>
      <c r="S189" s="220"/>
    </row>
    <row r="190" spans="1:19" x14ac:dyDescent="0.25">
      <c r="A190" s="220"/>
      <c r="B190" s="220"/>
      <c r="C190" s="220"/>
      <c r="D190" s="220"/>
      <c r="E190" s="220"/>
      <c r="F190" s="220"/>
      <c r="G190" s="220"/>
      <c r="H190" s="220"/>
      <c r="I190" s="220"/>
      <c r="J190" s="220"/>
      <c r="K190" s="220"/>
      <c r="L190" s="220"/>
      <c r="M190" s="220"/>
      <c r="N190" s="220"/>
      <c r="O190" s="220"/>
      <c r="P190" s="220"/>
      <c r="Q190" s="220"/>
      <c r="R190" s="220"/>
      <c r="S190" s="220"/>
    </row>
    <row r="191" spans="1:19" x14ac:dyDescent="0.25">
      <c r="A191" s="220"/>
      <c r="B191" s="220"/>
      <c r="C191" s="220"/>
      <c r="D191" s="220"/>
      <c r="E191" s="220"/>
      <c r="F191" s="220"/>
      <c r="G191" s="220"/>
      <c r="H191" s="220"/>
      <c r="I191" s="220"/>
      <c r="J191" s="220"/>
      <c r="K191" s="220"/>
      <c r="L191" s="220"/>
      <c r="M191" s="220"/>
      <c r="N191" s="220"/>
      <c r="O191" s="220"/>
      <c r="P191" s="220"/>
      <c r="Q191" s="220"/>
      <c r="R191" s="220"/>
      <c r="S191" s="220"/>
    </row>
    <row r="192" spans="1:19" x14ac:dyDescent="0.25">
      <c r="A192" s="220"/>
      <c r="B192" s="220"/>
      <c r="C192" s="220"/>
      <c r="D192" s="220"/>
      <c r="E192" s="220"/>
      <c r="F192" s="220"/>
      <c r="G192" s="220"/>
      <c r="H192" s="220"/>
      <c r="I192" s="220"/>
      <c r="J192" s="220"/>
      <c r="K192" s="220"/>
      <c r="L192" s="220"/>
      <c r="M192" s="220"/>
      <c r="N192" s="220"/>
      <c r="O192" s="220"/>
      <c r="P192" s="220"/>
      <c r="Q192" s="220"/>
      <c r="R192" s="220"/>
      <c r="S192" s="220"/>
    </row>
    <row r="193" spans="1:19" x14ac:dyDescent="0.25">
      <c r="A193" s="220"/>
      <c r="B193" s="220"/>
      <c r="C193" s="220"/>
      <c r="D193" s="220"/>
      <c r="E193" s="220"/>
      <c r="F193" s="220"/>
      <c r="G193" s="220"/>
      <c r="H193" s="220"/>
      <c r="I193" s="220"/>
      <c r="J193" s="220"/>
      <c r="K193" s="220"/>
      <c r="L193" s="220"/>
      <c r="M193" s="220"/>
      <c r="N193" s="220"/>
      <c r="O193" s="220"/>
      <c r="P193" s="220"/>
      <c r="Q193" s="220"/>
      <c r="R193" s="220"/>
      <c r="S193" s="220"/>
    </row>
    <row r="194" spans="1:19" x14ac:dyDescent="0.25">
      <c r="A194" s="220"/>
      <c r="B194" s="220"/>
      <c r="C194" s="220"/>
      <c r="D194" s="220"/>
      <c r="E194" s="220"/>
      <c r="F194" s="220"/>
      <c r="G194" s="220"/>
      <c r="H194" s="220"/>
      <c r="I194" s="220"/>
      <c r="J194" s="220"/>
      <c r="K194" s="220"/>
      <c r="L194" s="220"/>
      <c r="M194" s="220"/>
      <c r="N194" s="220"/>
      <c r="O194" s="220"/>
      <c r="P194" s="220"/>
      <c r="Q194" s="220"/>
      <c r="R194" s="220"/>
      <c r="S194" s="220"/>
    </row>
    <row r="195" spans="1:19" x14ac:dyDescent="0.25">
      <c r="A195" s="220"/>
      <c r="B195" s="220"/>
      <c r="C195" s="220"/>
      <c r="D195" s="220"/>
      <c r="E195" s="220"/>
      <c r="F195" s="220"/>
      <c r="G195" s="220"/>
      <c r="H195" s="220"/>
      <c r="I195" s="220"/>
      <c r="J195" s="220"/>
      <c r="K195" s="220"/>
      <c r="L195" s="220"/>
      <c r="M195" s="220"/>
      <c r="N195" s="220"/>
      <c r="O195" s="220"/>
      <c r="P195" s="220"/>
      <c r="Q195" s="220"/>
      <c r="R195" s="220"/>
      <c r="S195" s="220"/>
    </row>
    <row r="196" spans="1:19" x14ac:dyDescent="0.25">
      <c r="A196" s="220"/>
      <c r="B196" s="220"/>
      <c r="C196" s="220"/>
      <c r="D196" s="220"/>
      <c r="E196" s="220"/>
      <c r="F196" s="220"/>
      <c r="G196" s="220"/>
      <c r="H196" s="220"/>
      <c r="I196" s="220"/>
      <c r="J196" s="220"/>
      <c r="K196" s="220"/>
      <c r="L196" s="220"/>
      <c r="M196" s="220"/>
      <c r="N196" s="220"/>
      <c r="O196" s="220"/>
      <c r="P196" s="220"/>
      <c r="Q196" s="220"/>
      <c r="R196" s="220"/>
      <c r="S196" s="220"/>
    </row>
    <row r="197" spans="1:19" x14ac:dyDescent="0.25">
      <c r="A197" s="220"/>
      <c r="B197" s="220"/>
      <c r="C197" s="220"/>
      <c r="D197" s="220"/>
      <c r="E197" s="220"/>
      <c r="F197" s="220"/>
      <c r="G197" s="220"/>
      <c r="H197" s="220"/>
      <c r="I197" s="220"/>
      <c r="J197" s="220"/>
      <c r="K197" s="220"/>
      <c r="L197" s="220"/>
      <c r="M197" s="220"/>
      <c r="N197" s="220"/>
      <c r="O197" s="220"/>
      <c r="P197" s="220"/>
      <c r="Q197" s="220"/>
      <c r="R197" s="220"/>
      <c r="S197" s="220"/>
    </row>
    <row r="198" spans="1:19" x14ac:dyDescent="0.25">
      <c r="A198" s="220"/>
      <c r="B198" s="220"/>
      <c r="C198" s="220"/>
      <c r="D198" s="220"/>
      <c r="E198" s="220"/>
      <c r="F198" s="220"/>
      <c r="G198" s="220"/>
      <c r="H198" s="220"/>
      <c r="I198" s="220"/>
      <c r="J198" s="220"/>
      <c r="K198" s="220"/>
      <c r="L198" s="220"/>
      <c r="M198" s="220"/>
      <c r="N198" s="220"/>
      <c r="O198" s="220"/>
      <c r="P198" s="220"/>
      <c r="Q198" s="220"/>
      <c r="R198" s="220"/>
      <c r="S198" s="220"/>
    </row>
    <row r="199" spans="1:19" x14ac:dyDescent="0.25">
      <c r="A199" s="220"/>
      <c r="B199" s="220"/>
      <c r="C199" s="220"/>
      <c r="D199" s="220"/>
      <c r="E199" s="220"/>
      <c r="F199" s="220"/>
      <c r="G199" s="220"/>
      <c r="H199" s="220"/>
      <c r="I199" s="220"/>
      <c r="J199" s="220"/>
      <c r="K199" s="220"/>
      <c r="L199" s="220"/>
      <c r="M199" s="220"/>
      <c r="N199" s="220"/>
      <c r="O199" s="220"/>
      <c r="P199" s="220"/>
      <c r="Q199" s="220"/>
      <c r="R199" s="220"/>
      <c r="S199" s="220"/>
    </row>
    <row r="200" spans="1:19" x14ac:dyDescent="0.25">
      <c r="A200" s="220"/>
      <c r="B200" s="220"/>
      <c r="C200" s="220"/>
      <c r="D200" s="220"/>
      <c r="E200" s="220"/>
      <c r="F200" s="220"/>
      <c r="G200" s="220"/>
      <c r="H200" s="220"/>
      <c r="I200" s="220"/>
      <c r="J200" s="220"/>
      <c r="K200" s="220"/>
      <c r="L200" s="220"/>
      <c r="M200" s="220"/>
      <c r="N200" s="220"/>
      <c r="O200" s="220"/>
      <c r="P200" s="220"/>
      <c r="Q200" s="220"/>
      <c r="R200" s="220"/>
      <c r="S200" s="220"/>
    </row>
    <row r="201" spans="1:19" x14ac:dyDescent="0.25">
      <c r="A201" s="220"/>
      <c r="B201" s="220"/>
      <c r="C201" s="220"/>
      <c r="D201" s="220"/>
      <c r="E201" s="220"/>
      <c r="F201" s="220"/>
      <c r="G201" s="220"/>
      <c r="H201" s="220"/>
      <c r="I201" s="220"/>
      <c r="J201" s="220"/>
      <c r="K201" s="220"/>
      <c r="L201" s="220"/>
      <c r="M201" s="220"/>
      <c r="N201" s="220"/>
      <c r="O201" s="220"/>
      <c r="P201" s="220"/>
      <c r="Q201" s="220"/>
      <c r="R201" s="220"/>
      <c r="S201" s="220"/>
    </row>
    <row r="202" spans="1:19" x14ac:dyDescent="0.25">
      <c r="A202" s="220"/>
      <c r="B202" s="220"/>
      <c r="C202" s="220"/>
      <c r="D202" s="220"/>
      <c r="E202" s="220"/>
      <c r="F202" s="220"/>
      <c r="G202" s="220"/>
      <c r="H202" s="220"/>
      <c r="I202" s="220"/>
      <c r="J202" s="220"/>
      <c r="K202" s="220"/>
      <c r="L202" s="220"/>
      <c r="M202" s="220"/>
      <c r="N202" s="220"/>
      <c r="O202" s="220"/>
      <c r="P202" s="220"/>
      <c r="Q202" s="220"/>
      <c r="R202" s="220"/>
      <c r="S202" s="220"/>
    </row>
    <row r="203" spans="1:19" x14ac:dyDescent="0.25">
      <c r="A203" s="220"/>
      <c r="B203" s="220"/>
      <c r="C203" s="220"/>
      <c r="D203" s="220"/>
      <c r="E203" s="220"/>
      <c r="F203" s="220"/>
      <c r="G203" s="220"/>
      <c r="H203" s="220"/>
      <c r="I203" s="220"/>
      <c r="J203" s="220"/>
      <c r="K203" s="220"/>
      <c r="L203" s="220"/>
      <c r="M203" s="220"/>
      <c r="N203" s="220"/>
      <c r="O203" s="220"/>
      <c r="P203" s="220"/>
      <c r="Q203" s="220"/>
      <c r="R203" s="220"/>
      <c r="S203" s="220"/>
    </row>
    <row r="204" spans="1:19" x14ac:dyDescent="0.25">
      <c r="A204" s="220"/>
      <c r="B204" s="220"/>
      <c r="C204" s="220"/>
      <c r="D204" s="220"/>
      <c r="E204" s="220"/>
      <c r="F204" s="220"/>
      <c r="G204" s="220"/>
      <c r="H204" s="220"/>
      <c r="I204" s="220"/>
      <c r="J204" s="220"/>
      <c r="K204" s="220"/>
      <c r="L204" s="220"/>
      <c r="M204" s="220"/>
      <c r="N204" s="220"/>
      <c r="O204" s="220"/>
      <c r="P204" s="220"/>
      <c r="Q204" s="220"/>
      <c r="R204" s="220"/>
      <c r="S204" s="220"/>
    </row>
    <row r="205" spans="1:19" x14ac:dyDescent="0.25">
      <c r="A205" s="220"/>
      <c r="B205" s="220"/>
      <c r="C205" s="220"/>
      <c r="D205" s="220"/>
      <c r="E205" s="220"/>
      <c r="F205" s="220"/>
      <c r="G205" s="220"/>
      <c r="H205" s="220"/>
      <c r="I205" s="220"/>
      <c r="J205" s="220"/>
      <c r="K205" s="220"/>
      <c r="L205" s="220"/>
      <c r="M205" s="220"/>
      <c r="N205" s="220"/>
      <c r="O205" s="220"/>
      <c r="P205" s="220"/>
      <c r="Q205" s="220"/>
      <c r="R205" s="220"/>
      <c r="S205" s="220"/>
    </row>
    <row r="206" spans="1:19" x14ac:dyDescent="0.25">
      <c r="A206" s="220"/>
      <c r="B206" s="220"/>
      <c r="C206" s="220"/>
      <c r="D206" s="220"/>
      <c r="E206" s="220"/>
      <c r="F206" s="220"/>
      <c r="G206" s="220"/>
      <c r="H206" s="220"/>
      <c r="I206" s="220"/>
      <c r="J206" s="220"/>
      <c r="K206" s="220"/>
      <c r="L206" s="220"/>
      <c r="M206" s="220"/>
      <c r="N206" s="220"/>
      <c r="O206" s="220"/>
      <c r="P206" s="220"/>
      <c r="Q206" s="220"/>
      <c r="R206" s="220"/>
      <c r="S206" s="220"/>
    </row>
    <row r="207" spans="1:19" x14ac:dyDescent="0.25">
      <c r="A207" s="220"/>
      <c r="B207" s="220"/>
      <c r="C207" s="220"/>
      <c r="D207" s="220"/>
      <c r="E207" s="220"/>
      <c r="F207" s="220"/>
      <c r="G207" s="220"/>
      <c r="H207" s="220"/>
      <c r="I207" s="220"/>
      <c r="J207" s="220"/>
      <c r="K207" s="220"/>
      <c r="L207" s="220"/>
      <c r="M207" s="220"/>
      <c r="N207" s="220"/>
      <c r="O207" s="220"/>
      <c r="P207" s="220"/>
      <c r="Q207" s="220"/>
      <c r="R207" s="220"/>
      <c r="S207" s="220"/>
    </row>
    <row r="208" spans="1:19" x14ac:dyDescent="0.25">
      <c r="A208" s="220"/>
      <c r="B208" s="220"/>
      <c r="C208" s="220"/>
      <c r="D208" s="220"/>
      <c r="E208" s="220"/>
      <c r="F208" s="220"/>
      <c r="G208" s="220"/>
      <c r="H208" s="220"/>
      <c r="I208" s="220"/>
      <c r="J208" s="220"/>
      <c r="K208" s="220"/>
      <c r="L208" s="220"/>
      <c r="M208" s="220"/>
      <c r="N208" s="220"/>
      <c r="O208" s="220"/>
      <c r="P208" s="220"/>
      <c r="Q208" s="220"/>
      <c r="R208" s="220"/>
      <c r="S208" s="220"/>
    </row>
    <row r="209" spans="1:19" x14ac:dyDescent="0.25">
      <c r="A209" s="220"/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0"/>
      <c r="P209" s="220"/>
      <c r="Q209" s="220"/>
      <c r="R209" s="220"/>
      <c r="S209" s="220"/>
    </row>
    <row r="210" spans="1:19" x14ac:dyDescent="0.25">
      <c r="A210" s="220"/>
      <c r="B210" s="220"/>
      <c r="C210" s="220"/>
      <c r="D210" s="220"/>
      <c r="E210" s="220"/>
      <c r="F210" s="220"/>
      <c r="G210" s="220"/>
      <c r="H210" s="220"/>
      <c r="I210" s="220"/>
      <c r="J210" s="220"/>
      <c r="K210" s="220"/>
      <c r="L210" s="220"/>
      <c r="M210" s="220"/>
      <c r="N210" s="220"/>
      <c r="O210" s="220"/>
      <c r="P210" s="220"/>
      <c r="Q210" s="220"/>
      <c r="R210" s="220"/>
      <c r="S210" s="220"/>
    </row>
    <row r="211" spans="1:19" x14ac:dyDescent="0.25">
      <c r="A211" s="220"/>
      <c r="B211" s="220"/>
      <c r="C211" s="220"/>
      <c r="D211" s="220"/>
      <c r="E211" s="220"/>
      <c r="F211" s="220"/>
      <c r="G211" s="220"/>
      <c r="H211" s="220"/>
      <c r="I211" s="220"/>
      <c r="J211" s="220"/>
      <c r="K211" s="220"/>
      <c r="L211" s="220"/>
      <c r="M211" s="220"/>
      <c r="N211" s="220"/>
      <c r="O211" s="220"/>
      <c r="P211" s="220"/>
      <c r="Q211" s="220"/>
      <c r="R211" s="220"/>
      <c r="S211" s="220"/>
    </row>
    <row r="212" spans="1:19" x14ac:dyDescent="0.25">
      <c r="A212" s="220"/>
      <c r="B212" s="220"/>
      <c r="C212" s="220"/>
      <c r="D212" s="220"/>
      <c r="E212" s="220"/>
      <c r="F212" s="220"/>
      <c r="G212" s="220"/>
      <c r="H212" s="220"/>
      <c r="I212" s="220"/>
      <c r="J212" s="220"/>
      <c r="K212" s="220"/>
      <c r="L212" s="220"/>
      <c r="M212" s="220"/>
      <c r="N212" s="220"/>
      <c r="O212" s="220"/>
      <c r="P212" s="220"/>
      <c r="Q212" s="220"/>
      <c r="R212" s="220"/>
      <c r="S212" s="220"/>
    </row>
    <row r="213" spans="1:19" x14ac:dyDescent="0.25">
      <c r="A213" s="220"/>
      <c r="B213" s="220"/>
      <c r="C213" s="220"/>
      <c r="D213" s="220"/>
      <c r="E213" s="220"/>
      <c r="F213" s="220"/>
      <c r="G213" s="220"/>
      <c r="H213" s="220"/>
      <c r="I213" s="220"/>
      <c r="J213" s="220"/>
      <c r="K213" s="220"/>
      <c r="L213" s="220"/>
      <c r="M213" s="220"/>
      <c r="N213" s="220"/>
      <c r="O213" s="220"/>
      <c r="P213" s="220"/>
      <c r="Q213" s="220"/>
      <c r="R213" s="220"/>
      <c r="S213" s="220"/>
    </row>
    <row r="214" spans="1:19" x14ac:dyDescent="0.25">
      <c r="A214" s="220"/>
      <c r="B214" s="220"/>
      <c r="C214" s="220"/>
      <c r="D214" s="220"/>
      <c r="E214" s="220"/>
      <c r="F214" s="220"/>
      <c r="G214" s="220"/>
      <c r="H214" s="220"/>
      <c r="I214" s="220"/>
      <c r="J214" s="220"/>
      <c r="K214" s="220"/>
      <c r="L214" s="220"/>
      <c r="M214" s="220"/>
      <c r="N214" s="220"/>
      <c r="O214" s="220"/>
      <c r="P214" s="220"/>
      <c r="Q214" s="220"/>
      <c r="R214" s="220"/>
      <c r="S214" s="220"/>
    </row>
    <row r="215" spans="1:19" x14ac:dyDescent="0.25">
      <c r="A215" s="220"/>
      <c r="B215" s="220"/>
      <c r="C215" s="220"/>
      <c r="D215" s="220"/>
      <c r="E215" s="220"/>
      <c r="F215" s="220"/>
      <c r="G215" s="220"/>
      <c r="H215" s="220"/>
      <c r="I215" s="220"/>
      <c r="J215" s="220"/>
      <c r="K215" s="220"/>
      <c r="L215" s="220"/>
      <c r="M215" s="220"/>
      <c r="N215" s="220"/>
      <c r="O215" s="220"/>
      <c r="P215" s="220"/>
      <c r="Q215" s="220"/>
      <c r="R215" s="220"/>
      <c r="S215" s="220"/>
    </row>
    <row r="216" spans="1:19" x14ac:dyDescent="0.25">
      <c r="A216" s="220"/>
      <c r="B216" s="220"/>
      <c r="C216" s="220"/>
      <c r="D216" s="220"/>
      <c r="E216" s="220"/>
      <c r="F216" s="220"/>
      <c r="G216" s="220"/>
      <c r="H216" s="220"/>
      <c r="I216" s="220"/>
      <c r="J216" s="220"/>
      <c r="K216" s="220"/>
      <c r="L216" s="220"/>
      <c r="M216" s="220"/>
      <c r="N216" s="220"/>
      <c r="O216" s="220"/>
      <c r="P216" s="220"/>
      <c r="Q216" s="220"/>
      <c r="R216" s="220"/>
      <c r="S216" s="220"/>
    </row>
    <row r="217" spans="1:19" x14ac:dyDescent="0.25">
      <c r="A217" s="220"/>
      <c r="B217" s="220"/>
      <c r="C217" s="220"/>
      <c r="D217" s="220"/>
      <c r="E217" s="220"/>
      <c r="F217" s="220"/>
      <c r="G217" s="220"/>
      <c r="H217" s="220"/>
      <c r="I217" s="220"/>
      <c r="J217" s="220"/>
      <c r="K217" s="220"/>
      <c r="L217" s="220"/>
      <c r="M217" s="220"/>
      <c r="N217" s="220"/>
      <c r="O217" s="220"/>
      <c r="P217" s="220"/>
      <c r="Q217" s="220"/>
      <c r="R217" s="220"/>
      <c r="S217" s="220"/>
    </row>
    <row r="218" spans="1:19" x14ac:dyDescent="0.25">
      <c r="A218" s="220"/>
      <c r="B218" s="220"/>
      <c r="C218" s="220"/>
      <c r="D218" s="220"/>
      <c r="E218" s="220"/>
      <c r="F218" s="220"/>
      <c r="G218" s="220"/>
      <c r="H218" s="220"/>
      <c r="I218" s="220"/>
      <c r="J218" s="220"/>
      <c r="K218" s="220"/>
      <c r="L218" s="220"/>
      <c r="M218" s="220"/>
      <c r="N218" s="220"/>
      <c r="O218" s="220"/>
      <c r="P218" s="220"/>
      <c r="Q218" s="220"/>
      <c r="R218" s="220"/>
      <c r="S218" s="220"/>
    </row>
    <row r="219" spans="1:19" x14ac:dyDescent="0.25">
      <c r="A219" s="220"/>
      <c r="B219" s="220"/>
      <c r="C219" s="220"/>
      <c r="D219" s="220"/>
      <c r="E219" s="220"/>
      <c r="F219" s="220"/>
      <c r="G219" s="220"/>
      <c r="H219" s="220"/>
      <c r="I219" s="220"/>
      <c r="J219" s="220"/>
      <c r="K219" s="220"/>
      <c r="L219" s="220"/>
      <c r="M219" s="220"/>
      <c r="N219" s="220"/>
      <c r="O219" s="220"/>
      <c r="P219" s="220"/>
      <c r="Q219" s="220"/>
      <c r="R219" s="220"/>
      <c r="S219" s="220"/>
    </row>
    <row r="220" spans="1:19" x14ac:dyDescent="0.25">
      <c r="A220" s="220"/>
      <c r="B220" s="220"/>
      <c r="C220" s="220"/>
      <c r="D220" s="220"/>
      <c r="E220" s="220"/>
      <c r="F220" s="220"/>
      <c r="G220" s="220"/>
      <c r="H220" s="220"/>
      <c r="I220" s="220"/>
      <c r="J220" s="220"/>
      <c r="K220" s="220"/>
      <c r="L220" s="220"/>
      <c r="M220" s="220"/>
      <c r="N220" s="220"/>
      <c r="O220" s="220"/>
      <c r="P220" s="220"/>
      <c r="Q220" s="220"/>
      <c r="R220" s="220"/>
      <c r="S220" s="220"/>
    </row>
    <row r="221" spans="1:19" x14ac:dyDescent="0.25">
      <c r="A221" s="220"/>
      <c r="B221" s="220"/>
      <c r="C221" s="220"/>
      <c r="D221" s="220"/>
      <c r="E221" s="220"/>
      <c r="F221" s="220"/>
      <c r="G221" s="220"/>
      <c r="H221" s="220"/>
      <c r="I221" s="220"/>
      <c r="J221" s="220"/>
      <c r="K221" s="220"/>
      <c r="L221" s="220"/>
      <c r="M221" s="220"/>
      <c r="N221" s="220"/>
      <c r="O221" s="220"/>
      <c r="P221" s="220"/>
      <c r="Q221" s="220"/>
      <c r="R221" s="220"/>
      <c r="S221" s="220"/>
    </row>
    <row r="222" spans="1:19" x14ac:dyDescent="0.25">
      <c r="A222" s="220"/>
      <c r="B222" s="220"/>
      <c r="C222" s="220"/>
      <c r="D222" s="220"/>
      <c r="E222" s="220"/>
      <c r="F222" s="220"/>
      <c r="G222" s="220"/>
      <c r="H222" s="220"/>
      <c r="I222" s="220"/>
      <c r="J222" s="220"/>
      <c r="K222" s="220"/>
      <c r="L222" s="220"/>
      <c r="M222" s="220"/>
      <c r="N222" s="220"/>
      <c r="O222" s="220"/>
      <c r="P222" s="220"/>
      <c r="Q222" s="220"/>
      <c r="R222" s="220"/>
      <c r="S222" s="220"/>
    </row>
    <row r="223" spans="1:19" x14ac:dyDescent="0.25">
      <c r="A223" s="220"/>
      <c r="B223" s="220"/>
      <c r="C223" s="220"/>
      <c r="D223" s="220"/>
      <c r="E223" s="220"/>
      <c r="F223" s="220"/>
      <c r="G223" s="220"/>
      <c r="H223" s="220"/>
      <c r="I223" s="220"/>
      <c r="J223" s="220"/>
      <c r="K223" s="220"/>
      <c r="L223" s="220"/>
      <c r="M223" s="220"/>
      <c r="N223" s="220"/>
      <c r="O223" s="220"/>
      <c r="P223" s="220"/>
      <c r="Q223" s="220"/>
      <c r="R223" s="220"/>
      <c r="S223" s="220"/>
    </row>
    <row r="224" spans="1:19" x14ac:dyDescent="0.25">
      <c r="A224" s="220"/>
      <c r="B224" s="220"/>
      <c r="C224" s="220"/>
      <c r="D224" s="220"/>
      <c r="E224" s="220"/>
      <c r="F224" s="220"/>
      <c r="G224" s="220"/>
      <c r="H224" s="220"/>
      <c r="I224" s="220"/>
      <c r="J224" s="220"/>
      <c r="K224" s="220"/>
      <c r="L224" s="220"/>
      <c r="M224" s="220"/>
      <c r="N224" s="220"/>
      <c r="O224" s="220"/>
      <c r="P224" s="220"/>
      <c r="Q224" s="220"/>
      <c r="R224" s="220"/>
      <c r="S224" s="220"/>
    </row>
    <row r="225" spans="1:19" x14ac:dyDescent="0.25">
      <c r="A225" s="220"/>
      <c r="B225" s="220"/>
      <c r="C225" s="220"/>
      <c r="D225" s="220"/>
      <c r="E225" s="220"/>
      <c r="F225" s="220"/>
      <c r="G225" s="220"/>
      <c r="H225" s="220"/>
      <c r="I225" s="220"/>
      <c r="J225" s="220"/>
      <c r="K225" s="220"/>
      <c r="L225" s="220"/>
      <c r="M225" s="220"/>
      <c r="N225" s="220"/>
      <c r="O225" s="220"/>
      <c r="P225" s="220"/>
      <c r="Q225" s="220"/>
      <c r="R225" s="220"/>
      <c r="S225" s="220"/>
    </row>
    <row r="226" spans="1:19" x14ac:dyDescent="0.25">
      <c r="A226" s="220"/>
      <c r="B226" s="220"/>
      <c r="C226" s="220"/>
      <c r="D226" s="220"/>
      <c r="E226" s="220"/>
      <c r="F226" s="220"/>
      <c r="G226" s="220"/>
      <c r="H226" s="220"/>
      <c r="I226" s="220"/>
      <c r="J226" s="220"/>
      <c r="K226" s="220"/>
      <c r="L226" s="220"/>
      <c r="M226" s="220"/>
      <c r="N226" s="220"/>
      <c r="O226" s="220"/>
      <c r="P226" s="220"/>
      <c r="Q226" s="220"/>
      <c r="R226" s="220"/>
      <c r="S226" s="220"/>
    </row>
    <row r="227" spans="1:19" x14ac:dyDescent="0.25">
      <c r="A227" s="220"/>
      <c r="B227" s="220"/>
      <c r="C227" s="220"/>
      <c r="D227" s="220"/>
      <c r="E227" s="220"/>
      <c r="F227" s="220"/>
      <c r="G227" s="220"/>
      <c r="H227" s="220"/>
      <c r="I227" s="220"/>
      <c r="J227" s="220"/>
      <c r="K227" s="220"/>
      <c r="L227" s="220"/>
      <c r="M227" s="220"/>
      <c r="N227" s="220"/>
      <c r="O227" s="220"/>
      <c r="P227" s="220"/>
      <c r="Q227" s="220"/>
      <c r="R227" s="220"/>
      <c r="S227" s="220"/>
    </row>
    <row r="228" spans="1:19" x14ac:dyDescent="0.25">
      <c r="A228" s="220"/>
      <c r="B228" s="220"/>
      <c r="C228" s="220"/>
      <c r="D228" s="220"/>
      <c r="E228" s="220"/>
      <c r="F228" s="220"/>
      <c r="G228" s="220"/>
      <c r="H228" s="220"/>
      <c r="I228" s="220"/>
      <c r="J228" s="220"/>
      <c r="K228" s="220"/>
      <c r="L228" s="220"/>
      <c r="M228" s="220"/>
      <c r="N228" s="220"/>
      <c r="O228" s="220"/>
      <c r="P228" s="220"/>
      <c r="Q228" s="220"/>
      <c r="R228" s="220"/>
      <c r="S228" s="220"/>
    </row>
    <row r="229" spans="1:19" x14ac:dyDescent="0.25">
      <c r="A229" s="220"/>
      <c r="B229" s="220"/>
      <c r="C229" s="220"/>
      <c r="D229" s="220"/>
      <c r="E229" s="220"/>
      <c r="F229" s="220"/>
      <c r="G229" s="220"/>
      <c r="H229" s="220"/>
      <c r="I229" s="220"/>
      <c r="J229" s="220"/>
      <c r="K229" s="220"/>
      <c r="L229" s="220"/>
      <c r="M229" s="220"/>
      <c r="N229" s="220"/>
      <c r="O229" s="220"/>
      <c r="P229" s="220"/>
      <c r="Q229" s="220"/>
      <c r="R229" s="220"/>
      <c r="S229" s="220"/>
    </row>
    <row r="230" spans="1:19" x14ac:dyDescent="0.25">
      <c r="A230" s="220"/>
      <c r="B230" s="220"/>
      <c r="C230" s="220"/>
      <c r="D230" s="220"/>
      <c r="E230" s="220"/>
      <c r="F230" s="220"/>
      <c r="G230" s="220"/>
      <c r="H230" s="220"/>
      <c r="I230" s="220"/>
      <c r="J230" s="220"/>
      <c r="K230" s="220"/>
      <c r="L230" s="220"/>
      <c r="M230" s="220"/>
      <c r="N230" s="220"/>
      <c r="O230" s="220"/>
      <c r="P230" s="220"/>
      <c r="Q230" s="220"/>
      <c r="R230" s="220"/>
      <c r="S230" s="220"/>
    </row>
    <row r="231" spans="1:19" x14ac:dyDescent="0.25">
      <c r="A231" s="220"/>
      <c r="B231" s="220"/>
      <c r="C231" s="220"/>
      <c r="D231" s="220"/>
      <c r="E231" s="220"/>
      <c r="F231" s="220"/>
      <c r="G231" s="220"/>
      <c r="H231" s="220"/>
      <c r="I231" s="220"/>
      <c r="J231" s="220"/>
      <c r="K231" s="220"/>
      <c r="L231" s="220"/>
      <c r="M231" s="220"/>
      <c r="N231" s="220"/>
      <c r="O231" s="220"/>
      <c r="P231" s="220"/>
      <c r="Q231" s="220"/>
      <c r="R231" s="220"/>
      <c r="S231" s="220"/>
    </row>
    <row r="232" spans="1:19" x14ac:dyDescent="0.25">
      <c r="A232" s="220"/>
      <c r="B232" s="220"/>
      <c r="C232" s="220"/>
      <c r="D232" s="220"/>
      <c r="E232" s="220"/>
      <c r="F232" s="220"/>
      <c r="G232" s="220"/>
      <c r="H232" s="220"/>
      <c r="I232" s="220"/>
      <c r="J232" s="220"/>
      <c r="K232" s="220"/>
      <c r="L232" s="220"/>
      <c r="M232" s="220"/>
      <c r="N232" s="220"/>
      <c r="O232" s="220"/>
      <c r="P232" s="220"/>
      <c r="Q232" s="220"/>
      <c r="R232" s="220"/>
      <c r="S232" s="220"/>
    </row>
    <row r="233" spans="1:19" x14ac:dyDescent="0.25">
      <c r="A233" s="220"/>
      <c r="B233" s="220"/>
      <c r="C233" s="220"/>
      <c r="D233" s="220"/>
      <c r="E233" s="220"/>
      <c r="F233" s="220"/>
      <c r="G233" s="220"/>
      <c r="H233" s="220"/>
      <c r="I233" s="220"/>
      <c r="J233" s="220"/>
      <c r="K233" s="220"/>
      <c r="L233" s="220"/>
      <c r="M233" s="220"/>
      <c r="N233" s="220"/>
      <c r="O233" s="220"/>
      <c r="P233" s="220"/>
      <c r="Q233" s="220"/>
      <c r="R233" s="220"/>
      <c r="S233" s="220"/>
    </row>
    <row r="234" spans="1:19" x14ac:dyDescent="0.25">
      <c r="A234" s="220"/>
      <c r="B234" s="220"/>
      <c r="C234" s="220"/>
      <c r="D234" s="220"/>
      <c r="E234" s="220"/>
      <c r="F234" s="220"/>
      <c r="G234" s="220"/>
      <c r="H234" s="220"/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</row>
    <row r="235" spans="1:19" x14ac:dyDescent="0.25">
      <c r="A235" s="220"/>
      <c r="B235" s="220"/>
      <c r="C235" s="220"/>
      <c r="D235" s="220"/>
      <c r="E235" s="220"/>
      <c r="F235" s="220"/>
      <c r="G235" s="220"/>
      <c r="H235" s="220"/>
      <c r="I235" s="220"/>
      <c r="J235" s="220"/>
      <c r="K235" s="220"/>
      <c r="L235" s="220"/>
      <c r="M235" s="220"/>
      <c r="N235" s="220"/>
      <c r="O235" s="220"/>
      <c r="P235" s="220"/>
      <c r="Q235" s="220"/>
      <c r="R235" s="220"/>
      <c r="S235" s="220"/>
    </row>
    <row r="236" spans="1:19" x14ac:dyDescent="0.25">
      <c r="A236" s="220"/>
      <c r="B236" s="220"/>
      <c r="C236" s="220"/>
      <c r="D236" s="220"/>
      <c r="E236" s="220"/>
      <c r="F236" s="220"/>
      <c r="G236" s="220"/>
      <c r="H236" s="220"/>
      <c r="I236" s="220"/>
      <c r="J236" s="220"/>
      <c r="K236" s="220"/>
      <c r="L236" s="220"/>
      <c r="M236" s="220"/>
      <c r="N236" s="220"/>
      <c r="O236" s="220"/>
      <c r="P236" s="220"/>
      <c r="Q236" s="220"/>
      <c r="R236" s="220"/>
      <c r="S236" s="220"/>
    </row>
    <row r="237" spans="1:19" x14ac:dyDescent="0.25">
      <c r="A237" s="220"/>
      <c r="B237" s="220"/>
      <c r="C237" s="220"/>
      <c r="D237" s="220"/>
      <c r="E237" s="220"/>
      <c r="F237" s="220"/>
      <c r="G237" s="220"/>
      <c r="H237" s="220"/>
      <c r="I237" s="220"/>
      <c r="J237" s="220"/>
      <c r="K237" s="220"/>
      <c r="L237" s="220"/>
      <c r="M237" s="220"/>
      <c r="N237" s="220"/>
      <c r="O237" s="220"/>
      <c r="P237" s="220"/>
      <c r="Q237" s="220"/>
      <c r="R237" s="220"/>
      <c r="S237" s="220"/>
    </row>
    <row r="238" spans="1:19" x14ac:dyDescent="0.25">
      <c r="A238" s="220"/>
      <c r="B238" s="220"/>
      <c r="C238" s="220"/>
      <c r="D238" s="220"/>
      <c r="E238" s="220"/>
      <c r="F238" s="220"/>
      <c r="G238" s="220"/>
      <c r="H238" s="220"/>
      <c r="I238" s="220"/>
      <c r="J238" s="220"/>
      <c r="K238" s="220"/>
      <c r="L238" s="220"/>
      <c r="M238" s="220"/>
      <c r="N238" s="220"/>
      <c r="O238" s="220"/>
      <c r="P238" s="220"/>
      <c r="Q238" s="220"/>
      <c r="R238" s="220"/>
      <c r="S238" s="220"/>
    </row>
    <row r="239" spans="1:19" x14ac:dyDescent="0.25">
      <c r="A239" s="220"/>
      <c r="B239" s="220"/>
      <c r="C239" s="220"/>
      <c r="D239" s="220"/>
      <c r="E239" s="220"/>
      <c r="F239" s="220"/>
      <c r="G239" s="220"/>
      <c r="H239" s="220"/>
      <c r="I239" s="220"/>
      <c r="J239" s="220"/>
      <c r="K239" s="220"/>
      <c r="L239" s="220"/>
      <c r="M239" s="220"/>
      <c r="N239" s="220"/>
      <c r="O239" s="220"/>
      <c r="P239" s="220"/>
      <c r="Q239" s="220"/>
      <c r="R239" s="220"/>
      <c r="S239" s="220"/>
    </row>
    <row r="240" spans="1:19" x14ac:dyDescent="0.25">
      <c r="A240" s="220"/>
      <c r="B240" s="220"/>
      <c r="C240" s="220"/>
      <c r="D240" s="220"/>
      <c r="E240" s="220"/>
      <c r="F240" s="220"/>
      <c r="G240" s="220"/>
      <c r="H240" s="220"/>
      <c r="I240" s="220"/>
      <c r="J240" s="220"/>
      <c r="K240" s="220"/>
      <c r="L240" s="220"/>
      <c r="M240" s="220"/>
      <c r="N240" s="220"/>
      <c r="O240" s="220"/>
      <c r="P240" s="220"/>
      <c r="Q240" s="220"/>
      <c r="R240" s="220"/>
      <c r="S240" s="220"/>
    </row>
    <row r="241" spans="1:19" x14ac:dyDescent="0.25">
      <c r="A241" s="220"/>
      <c r="B241" s="220"/>
      <c r="C241" s="220"/>
      <c r="D241" s="220"/>
      <c r="E241" s="220"/>
      <c r="F241" s="220"/>
      <c r="G241" s="220"/>
      <c r="H241" s="220"/>
      <c r="I241" s="220"/>
      <c r="J241" s="220"/>
      <c r="K241" s="220"/>
      <c r="L241" s="220"/>
      <c r="M241" s="220"/>
      <c r="N241" s="220"/>
      <c r="O241" s="220"/>
      <c r="P241" s="220"/>
      <c r="Q241" s="220"/>
      <c r="R241" s="220"/>
      <c r="S241" s="220"/>
    </row>
    <row r="242" spans="1:19" x14ac:dyDescent="0.25">
      <c r="A242" s="220"/>
      <c r="B242" s="220"/>
      <c r="C242" s="220"/>
      <c r="D242" s="220"/>
      <c r="E242" s="220"/>
      <c r="F242" s="220"/>
      <c r="G242" s="220"/>
      <c r="H242" s="220"/>
      <c r="I242" s="220"/>
      <c r="J242" s="220"/>
      <c r="K242" s="220"/>
      <c r="L242" s="220"/>
      <c r="M242" s="220"/>
      <c r="N242" s="220"/>
      <c r="O242" s="220"/>
      <c r="P242" s="220"/>
      <c r="Q242" s="220"/>
      <c r="R242" s="220"/>
      <c r="S242" s="220"/>
    </row>
    <row r="243" spans="1:19" x14ac:dyDescent="0.25">
      <c r="A243" s="220"/>
      <c r="B243" s="220"/>
      <c r="C243" s="220"/>
      <c r="D243" s="220"/>
      <c r="E243" s="220"/>
      <c r="F243" s="220"/>
      <c r="G243" s="220"/>
      <c r="H243" s="220"/>
      <c r="I243" s="220"/>
      <c r="J243" s="220"/>
      <c r="K243" s="220"/>
      <c r="L243" s="220"/>
      <c r="M243" s="220"/>
      <c r="N243" s="220"/>
      <c r="O243" s="220"/>
      <c r="P243" s="220"/>
      <c r="Q243" s="220"/>
      <c r="R243" s="220"/>
      <c r="S243" s="220"/>
    </row>
    <row r="244" spans="1:19" x14ac:dyDescent="0.25">
      <c r="A244" s="220"/>
      <c r="B244" s="220"/>
      <c r="C244" s="220"/>
      <c r="D244" s="220"/>
      <c r="E244" s="220"/>
      <c r="F244" s="220"/>
      <c r="G244" s="220"/>
      <c r="H244" s="220"/>
      <c r="I244" s="220"/>
      <c r="J244" s="220"/>
      <c r="K244" s="220"/>
      <c r="L244" s="220"/>
      <c r="M244" s="220"/>
      <c r="N244" s="220"/>
      <c r="O244" s="220"/>
      <c r="P244" s="220"/>
      <c r="Q244" s="220"/>
      <c r="R244" s="220"/>
      <c r="S244" s="220"/>
    </row>
    <row r="245" spans="1:19" x14ac:dyDescent="0.25">
      <c r="A245" s="220"/>
      <c r="B245" s="220"/>
      <c r="C245" s="220"/>
      <c r="D245" s="220"/>
      <c r="E245" s="220"/>
      <c r="F245" s="220"/>
      <c r="G245" s="220"/>
      <c r="H245" s="220"/>
      <c r="I245" s="220"/>
      <c r="J245" s="220"/>
      <c r="K245" s="220"/>
      <c r="L245" s="220"/>
      <c r="M245" s="220"/>
      <c r="N245" s="220"/>
      <c r="O245" s="220"/>
      <c r="P245" s="220"/>
      <c r="Q245" s="220"/>
      <c r="R245" s="220"/>
      <c r="S245" s="220"/>
    </row>
    <row r="246" spans="1:19" x14ac:dyDescent="0.25">
      <c r="A246" s="220"/>
      <c r="B246" s="220"/>
      <c r="C246" s="220"/>
      <c r="D246" s="220"/>
      <c r="E246" s="220"/>
      <c r="F246" s="220"/>
      <c r="G246" s="220"/>
      <c r="H246" s="220"/>
      <c r="I246" s="220"/>
      <c r="J246" s="220"/>
      <c r="K246" s="220"/>
      <c r="L246" s="220"/>
      <c r="M246" s="220"/>
      <c r="N246" s="220"/>
      <c r="O246" s="220"/>
      <c r="P246" s="220"/>
      <c r="Q246" s="220"/>
      <c r="R246" s="220"/>
      <c r="S246" s="220"/>
    </row>
    <row r="247" spans="1:19" x14ac:dyDescent="0.25">
      <c r="A247" s="220"/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0"/>
      <c r="P247" s="220"/>
      <c r="Q247" s="220"/>
      <c r="R247" s="220"/>
      <c r="S247" s="220"/>
    </row>
    <row r="248" spans="1:19" x14ac:dyDescent="0.25">
      <c r="A248" s="220"/>
      <c r="B248" s="220"/>
      <c r="C248" s="220"/>
      <c r="D248" s="220"/>
      <c r="E248" s="220"/>
      <c r="F248" s="220"/>
      <c r="G248" s="220"/>
      <c r="H248" s="220"/>
      <c r="I248" s="220"/>
      <c r="J248" s="220"/>
      <c r="K248" s="220"/>
      <c r="L248" s="220"/>
      <c r="M248" s="220"/>
      <c r="N248" s="220"/>
      <c r="O248" s="220"/>
      <c r="P248" s="220"/>
      <c r="Q248" s="220"/>
      <c r="R248" s="220"/>
      <c r="S248" s="220"/>
    </row>
    <row r="249" spans="1:19" x14ac:dyDescent="0.25">
      <c r="A249" s="220"/>
      <c r="B249" s="220"/>
      <c r="C249" s="220"/>
      <c r="D249" s="220"/>
      <c r="E249" s="220"/>
      <c r="F249" s="220"/>
      <c r="G249" s="220"/>
      <c r="H249" s="220"/>
      <c r="I249" s="220"/>
      <c r="J249" s="220"/>
      <c r="K249" s="220"/>
      <c r="L249" s="220"/>
      <c r="M249" s="220"/>
      <c r="N249" s="220"/>
      <c r="O249" s="220"/>
      <c r="P249" s="220"/>
      <c r="Q249" s="220"/>
      <c r="R249" s="220"/>
      <c r="S249" s="220"/>
    </row>
    <row r="250" spans="1:19" x14ac:dyDescent="0.25">
      <c r="A250" s="220"/>
      <c r="B250" s="220"/>
      <c r="C250" s="220"/>
      <c r="D250" s="220"/>
      <c r="E250" s="220"/>
      <c r="F250" s="220"/>
      <c r="G250" s="220"/>
      <c r="H250" s="220"/>
      <c r="I250" s="220"/>
      <c r="J250" s="220"/>
      <c r="K250" s="220"/>
      <c r="L250" s="220"/>
      <c r="M250" s="220"/>
      <c r="N250" s="220"/>
      <c r="O250" s="220"/>
      <c r="P250" s="220"/>
      <c r="Q250" s="220"/>
      <c r="R250" s="220"/>
      <c r="S250" s="220"/>
    </row>
    <row r="251" spans="1:19" x14ac:dyDescent="0.25">
      <c r="A251" s="220"/>
      <c r="B251" s="220"/>
      <c r="C251" s="220"/>
      <c r="D251" s="220"/>
      <c r="E251" s="220"/>
      <c r="F251" s="220"/>
      <c r="G251" s="220"/>
      <c r="H251" s="220"/>
      <c r="I251" s="220"/>
      <c r="J251" s="220"/>
      <c r="K251" s="220"/>
      <c r="L251" s="220"/>
      <c r="M251" s="220"/>
      <c r="N251" s="220"/>
      <c r="O251" s="220"/>
      <c r="P251" s="220"/>
      <c r="Q251" s="220"/>
      <c r="R251" s="220"/>
      <c r="S251" s="220"/>
    </row>
    <row r="252" spans="1:19" x14ac:dyDescent="0.25">
      <c r="A252" s="220"/>
      <c r="B252" s="220"/>
      <c r="C252" s="220"/>
      <c r="D252" s="220"/>
      <c r="E252" s="220"/>
      <c r="F252" s="220"/>
      <c r="G252" s="220"/>
      <c r="H252" s="220"/>
      <c r="I252" s="220"/>
      <c r="J252" s="220"/>
      <c r="K252" s="220"/>
      <c r="L252" s="220"/>
      <c r="M252" s="220"/>
      <c r="N252" s="220"/>
      <c r="O252" s="220"/>
      <c r="P252" s="220"/>
      <c r="Q252" s="220"/>
      <c r="R252" s="220"/>
      <c r="S252" s="220"/>
    </row>
    <row r="253" spans="1:19" x14ac:dyDescent="0.25">
      <c r="A253" s="220"/>
      <c r="B253" s="220"/>
      <c r="C253" s="220"/>
      <c r="D253" s="220"/>
      <c r="E253" s="220"/>
      <c r="F253" s="220"/>
      <c r="G253" s="220"/>
      <c r="H253" s="220"/>
      <c r="I253" s="220"/>
      <c r="J253" s="220"/>
      <c r="K253" s="220"/>
      <c r="L253" s="220"/>
      <c r="M253" s="220"/>
      <c r="N253" s="220"/>
      <c r="O253" s="220"/>
      <c r="P253" s="220"/>
      <c r="Q253" s="220"/>
      <c r="R253" s="220"/>
      <c r="S253" s="220"/>
    </row>
    <row r="254" spans="1:19" x14ac:dyDescent="0.25">
      <c r="A254" s="220"/>
      <c r="B254" s="220"/>
      <c r="C254" s="220"/>
      <c r="D254" s="220"/>
      <c r="E254" s="220"/>
      <c r="F254" s="220"/>
      <c r="G254" s="220"/>
      <c r="H254" s="220"/>
      <c r="I254" s="220"/>
      <c r="J254" s="220"/>
      <c r="K254" s="220"/>
      <c r="L254" s="220"/>
      <c r="M254" s="220"/>
      <c r="N254" s="220"/>
      <c r="O254" s="220"/>
      <c r="P254" s="220"/>
      <c r="Q254" s="220"/>
      <c r="R254" s="220"/>
      <c r="S254" s="220"/>
    </row>
    <row r="255" spans="1:19" x14ac:dyDescent="0.25">
      <c r="A255" s="220"/>
      <c r="B255" s="220"/>
      <c r="C255" s="220"/>
      <c r="D255" s="220"/>
      <c r="E255" s="220"/>
      <c r="F255" s="220"/>
      <c r="G255" s="220"/>
      <c r="H255" s="220"/>
      <c r="I255" s="220"/>
      <c r="J255" s="220"/>
      <c r="K255" s="220"/>
      <c r="L255" s="220"/>
      <c r="M255" s="220"/>
      <c r="N255" s="220"/>
      <c r="O255" s="220"/>
      <c r="P255" s="220"/>
      <c r="Q255" s="220"/>
      <c r="R255" s="220"/>
      <c r="S255" s="220"/>
    </row>
    <row r="256" spans="1:19" x14ac:dyDescent="0.25">
      <c r="A256" s="220"/>
      <c r="B256" s="220"/>
      <c r="C256" s="220"/>
      <c r="D256" s="220"/>
      <c r="E256" s="220"/>
      <c r="F256" s="220"/>
      <c r="G256" s="220"/>
      <c r="H256" s="220"/>
      <c r="I256" s="220"/>
      <c r="J256" s="220"/>
      <c r="K256" s="220"/>
      <c r="L256" s="220"/>
      <c r="M256" s="220"/>
      <c r="N256" s="220"/>
      <c r="O256" s="220"/>
      <c r="P256" s="220"/>
      <c r="Q256" s="220"/>
      <c r="R256" s="220"/>
      <c r="S256" s="220"/>
    </row>
    <row r="257" spans="1:19" x14ac:dyDescent="0.25">
      <c r="A257" s="220"/>
      <c r="B257" s="220"/>
      <c r="C257" s="220"/>
      <c r="D257" s="220"/>
      <c r="E257" s="220"/>
      <c r="F257" s="220"/>
      <c r="G257" s="220"/>
      <c r="H257" s="220"/>
      <c r="I257" s="220"/>
      <c r="J257" s="220"/>
      <c r="K257" s="220"/>
      <c r="L257" s="220"/>
      <c r="M257" s="220"/>
      <c r="N257" s="220"/>
      <c r="O257" s="220"/>
      <c r="P257" s="220"/>
      <c r="Q257" s="220"/>
      <c r="R257" s="220"/>
      <c r="S257" s="220"/>
    </row>
    <row r="258" spans="1:19" x14ac:dyDescent="0.25">
      <c r="A258" s="220"/>
      <c r="B258" s="220"/>
      <c r="C258" s="220"/>
      <c r="D258" s="220"/>
      <c r="E258" s="220"/>
      <c r="F258" s="220"/>
      <c r="G258" s="220"/>
      <c r="H258" s="220"/>
      <c r="I258" s="220"/>
      <c r="J258" s="220"/>
      <c r="K258" s="220"/>
      <c r="L258" s="220"/>
      <c r="M258" s="220"/>
      <c r="N258" s="220"/>
      <c r="O258" s="220"/>
      <c r="P258" s="220"/>
      <c r="Q258" s="220"/>
      <c r="R258" s="220"/>
      <c r="S258" s="220"/>
    </row>
    <row r="259" spans="1:19" x14ac:dyDescent="0.25">
      <c r="A259" s="220"/>
      <c r="B259" s="220"/>
      <c r="C259" s="220"/>
      <c r="D259" s="220"/>
      <c r="E259" s="220"/>
      <c r="F259" s="220"/>
      <c r="G259" s="220"/>
      <c r="H259" s="220"/>
      <c r="I259" s="220"/>
      <c r="J259" s="220"/>
      <c r="K259" s="220"/>
      <c r="L259" s="220"/>
      <c r="M259" s="220"/>
      <c r="N259" s="220"/>
      <c r="O259" s="220"/>
      <c r="P259" s="220"/>
      <c r="Q259" s="220"/>
      <c r="R259" s="220"/>
      <c r="S259" s="220"/>
    </row>
    <row r="260" spans="1:19" x14ac:dyDescent="0.25">
      <c r="A260" s="220"/>
      <c r="B260" s="220"/>
      <c r="C260" s="220"/>
      <c r="D260" s="220"/>
      <c r="E260" s="220"/>
      <c r="F260" s="220"/>
      <c r="G260" s="220"/>
      <c r="H260" s="220"/>
      <c r="I260" s="220"/>
      <c r="J260" s="220"/>
      <c r="K260" s="220"/>
      <c r="L260" s="220"/>
      <c r="M260" s="220"/>
      <c r="N260" s="220"/>
      <c r="O260" s="220"/>
      <c r="P260" s="220"/>
      <c r="Q260" s="220"/>
      <c r="R260" s="220"/>
      <c r="S260" s="220"/>
    </row>
    <row r="261" spans="1:19" x14ac:dyDescent="0.25">
      <c r="A261" s="220"/>
      <c r="B261" s="220"/>
      <c r="C261" s="220"/>
      <c r="D261" s="220"/>
      <c r="E261" s="220"/>
      <c r="F261" s="220"/>
      <c r="G261" s="220"/>
      <c r="H261" s="220"/>
      <c r="I261" s="220"/>
      <c r="J261" s="220"/>
      <c r="K261" s="220"/>
      <c r="L261" s="220"/>
      <c r="M261" s="220"/>
      <c r="N261" s="220"/>
      <c r="O261" s="220"/>
      <c r="P261" s="220"/>
      <c r="Q261" s="220"/>
      <c r="R261" s="220"/>
      <c r="S261" s="220"/>
    </row>
    <row r="262" spans="1:19" x14ac:dyDescent="0.25">
      <c r="A262" s="220"/>
      <c r="B262" s="220"/>
      <c r="C262" s="220"/>
      <c r="D262" s="220"/>
      <c r="E262" s="220"/>
      <c r="F262" s="220"/>
      <c r="G262" s="220"/>
      <c r="H262" s="220"/>
      <c r="I262" s="220"/>
      <c r="J262" s="220"/>
      <c r="K262" s="220"/>
      <c r="L262" s="220"/>
      <c r="M262" s="220"/>
      <c r="N262" s="220"/>
      <c r="O262" s="220"/>
      <c r="P262" s="220"/>
      <c r="Q262" s="220"/>
      <c r="R262" s="220"/>
      <c r="S262" s="220"/>
    </row>
    <row r="263" spans="1:19" x14ac:dyDescent="0.25">
      <c r="A263" s="220"/>
      <c r="B263" s="220"/>
      <c r="C263" s="220"/>
      <c r="D263" s="220"/>
      <c r="E263" s="220"/>
      <c r="F263" s="220"/>
      <c r="G263" s="220"/>
      <c r="H263" s="220"/>
      <c r="I263" s="220"/>
      <c r="J263" s="220"/>
      <c r="K263" s="220"/>
      <c r="L263" s="220"/>
      <c r="M263" s="220"/>
      <c r="N263" s="220"/>
      <c r="O263" s="220"/>
      <c r="P263" s="220"/>
      <c r="Q263" s="220"/>
      <c r="R263" s="220"/>
      <c r="S263" s="220"/>
    </row>
    <row r="264" spans="1:19" x14ac:dyDescent="0.25">
      <c r="A264" s="220"/>
      <c r="B264" s="220"/>
      <c r="C264" s="220"/>
      <c r="D264" s="220"/>
      <c r="E264" s="220"/>
      <c r="F264" s="220"/>
      <c r="G264" s="220"/>
      <c r="H264" s="220"/>
      <c r="I264" s="220"/>
      <c r="J264" s="220"/>
      <c r="K264" s="220"/>
      <c r="L264" s="220"/>
      <c r="M264" s="220"/>
      <c r="N264" s="220"/>
      <c r="O264" s="220"/>
      <c r="P264" s="220"/>
      <c r="Q264" s="220"/>
      <c r="R264" s="220"/>
      <c r="S264" s="220"/>
    </row>
    <row r="265" spans="1:19" x14ac:dyDescent="0.25">
      <c r="A265" s="220"/>
      <c r="B265" s="220"/>
      <c r="C265" s="220"/>
      <c r="D265" s="220"/>
      <c r="E265" s="220"/>
      <c r="F265" s="220"/>
      <c r="G265" s="220"/>
      <c r="H265" s="220"/>
      <c r="I265" s="220"/>
      <c r="J265" s="220"/>
      <c r="K265" s="220"/>
      <c r="L265" s="220"/>
      <c r="M265" s="220"/>
      <c r="N265" s="220"/>
      <c r="O265" s="220"/>
      <c r="P265" s="220"/>
      <c r="Q265" s="220"/>
      <c r="R265" s="220"/>
      <c r="S265" s="220"/>
    </row>
    <row r="266" spans="1:19" x14ac:dyDescent="0.25">
      <c r="A266" s="220"/>
      <c r="B266" s="220"/>
      <c r="C266" s="220"/>
      <c r="D266" s="220"/>
      <c r="E266" s="220"/>
      <c r="F266" s="220"/>
      <c r="G266" s="220"/>
      <c r="H266" s="220"/>
      <c r="I266" s="220"/>
      <c r="J266" s="220"/>
      <c r="K266" s="220"/>
      <c r="L266" s="220"/>
      <c r="M266" s="220"/>
      <c r="N266" s="220"/>
      <c r="O266" s="220"/>
      <c r="P266" s="220"/>
      <c r="Q266" s="220"/>
      <c r="R266" s="220"/>
      <c r="S266" s="220"/>
    </row>
    <row r="267" spans="1:19" x14ac:dyDescent="0.25">
      <c r="A267" s="220"/>
      <c r="B267" s="220"/>
      <c r="C267" s="220"/>
      <c r="D267" s="220"/>
      <c r="E267" s="220"/>
      <c r="F267" s="220"/>
      <c r="G267" s="220"/>
      <c r="H267" s="220"/>
      <c r="I267" s="220"/>
      <c r="J267" s="220"/>
      <c r="K267" s="220"/>
      <c r="L267" s="220"/>
      <c r="M267" s="220"/>
      <c r="N267" s="220"/>
      <c r="O267" s="220"/>
      <c r="P267" s="220"/>
      <c r="Q267" s="220"/>
      <c r="R267" s="220"/>
      <c r="S267" s="220"/>
    </row>
    <row r="268" spans="1:19" x14ac:dyDescent="0.25">
      <c r="A268" s="220"/>
      <c r="B268" s="220"/>
      <c r="C268" s="220"/>
      <c r="D268" s="220"/>
      <c r="E268" s="220"/>
      <c r="F268" s="220"/>
      <c r="G268" s="220"/>
      <c r="H268" s="220"/>
      <c r="I268" s="220"/>
      <c r="J268" s="220"/>
      <c r="K268" s="220"/>
      <c r="L268" s="220"/>
      <c r="M268" s="220"/>
      <c r="N268" s="220"/>
      <c r="O268" s="220"/>
      <c r="P268" s="220"/>
      <c r="Q268" s="220"/>
      <c r="R268" s="220"/>
      <c r="S268" s="220"/>
    </row>
    <row r="269" spans="1:19" x14ac:dyDescent="0.25">
      <c r="A269" s="220"/>
      <c r="B269" s="220"/>
      <c r="C269" s="220"/>
      <c r="D269" s="220"/>
      <c r="E269" s="220"/>
      <c r="F269" s="220"/>
      <c r="G269" s="220"/>
      <c r="H269" s="220"/>
      <c r="I269" s="220"/>
      <c r="J269" s="220"/>
      <c r="K269" s="220"/>
      <c r="L269" s="220"/>
      <c r="M269" s="220"/>
      <c r="N269" s="220"/>
      <c r="O269" s="220"/>
      <c r="P269" s="220"/>
      <c r="Q269" s="220"/>
      <c r="R269" s="220"/>
      <c r="S269" s="220"/>
    </row>
    <row r="270" spans="1:19" x14ac:dyDescent="0.25">
      <c r="A270" s="220"/>
      <c r="B270" s="220"/>
      <c r="C270" s="220"/>
      <c r="D270" s="220"/>
      <c r="E270" s="220"/>
      <c r="F270" s="220"/>
      <c r="G270" s="220"/>
      <c r="H270" s="220"/>
      <c r="I270" s="220"/>
      <c r="J270" s="220"/>
      <c r="K270" s="220"/>
      <c r="L270" s="220"/>
      <c r="M270" s="220"/>
      <c r="N270" s="220"/>
      <c r="O270" s="220"/>
      <c r="P270" s="220"/>
      <c r="Q270" s="220"/>
      <c r="R270" s="220"/>
      <c r="S270" s="220"/>
    </row>
    <row r="271" spans="1:19" x14ac:dyDescent="0.25">
      <c r="A271" s="220"/>
      <c r="B271" s="220"/>
      <c r="C271" s="220"/>
      <c r="D271" s="220"/>
      <c r="E271" s="220"/>
      <c r="F271" s="220"/>
      <c r="G271" s="220"/>
      <c r="H271" s="220"/>
      <c r="I271" s="220"/>
      <c r="J271" s="220"/>
      <c r="K271" s="220"/>
      <c r="L271" s="220"/>
      <c r="M271" s="220"/>
      <c r="N271" s="220"/>
      <c r="O271" s="220"/>
      <c r="P271" s="220"/>
      <c r="Q271" s="220"/>
      <c r="R271" s="220"/>
      <c r="S271" s="220"/>
    </row>
    <row r="272" spans="1:19" x14ac:dyDescent="0.25">
      <c r="A272" s="220"/>
      <c r="B272" s="220"/>
      <c r="C272" s="220"/>
      <c r="D272" s="220"/>
      <c r="E272" s="220"/>
      <c r="F272" s="220"/>
      <c r="G272" s="220"/>
      <c r="H272" s="220"/>
      <c r="I272" s="220"/>
      <c r="J272" s="220"/>
      <c r="K272" s="220"/>
      <c r="L272" s="220"/>
      <c r="M272" s="220"/>
      <c r="N272" s="220"/>
      <c r="O272" s="220"/>
      <c r="P272" s="220"/>
      <c r="Q272" s="220"/>
      <c r="R272" s="220"/>
      <c r="S272" s="220"/>
    </row>
    <row r="273" spans="1:19" x14ac:dyDescent="0.25">
      <c r="A273" s="220"/>
      <c r="B273" s="220"/>
      <c r="C273" s="220"/>
      <c r="D273" s="220"/>
      <c r="E273" s="220"/>
      <c r="F273" s="220"/>
      <c r="G273" s="220"/>
      <c r="H273" s="220"/>
      <c r="I273" s="220"/>
      <c r="J273" s="220"/>
      <c r="K273" s="220"/>
      <c r="L273" s="220"/>
      <c r="M273" s="220"/>
      <c r="N273" s="220"/>
      <c r="O273" s="220"/>
      <c r="P273" s="220"/>
      <c r="Q273" s="220"/>
      <c r="R273" s="220"/>
      <c r="S273" s="220"/>
    </row>
    <row r="274" spans="1:19" x14ac:dyDescent="0.25">
      <c r="A274" s="220"/>
      <c r="B274" s="220"/>
      <c r="C274" s="220"/>
      <c r="D274" s="220"/>
      <c r="E274" s="220"/>
      <c r="F274" s="220"/>
      <c r="G274" s="220"/>
      <c r="H274" s="220"/>
      <c r="I274" s="220"/>
      <c r="J274" s="220"/>
      <c r="K274" s="220"/>
      <c r="L274" s="220"/>
      <c r="M274" s="220"/>
      <c r="N274" s="220"/>
      <c r="O274" s="220"/>
      <c r="P274" s="220"/>
      <c r="Q274" s="220"/>
      <c r="R274" s="220"/>
      <c r="S274" s="220"/>
    </row>
    <row r="275" spans="1:19" x14ac:dyDescent="0.25">
      <c r="A275" s="220"/>
      <c r="B275" s="220"/>
      <c r="C275" s="220"/>
      <c r="D275" s="220"/>
      <c r="E275" s="220"/>
      <c r="F275" s="220"/>
      <c r="G275" s="220"/>
      <c r="H275" s="220"/>
      <c r="I275" s="220"/>
      <c r="J275" s="220"/>
      <c r="K275" s="220"/>
      <c r="L275" s="220"/>
      <c r="M275" s="220"/>
      <c r="N275" s="220"/>
      <c r="O275" s="220"/>
      <c r="P275" s="220"/>
      <c r="Q275" s="220"/>
      <c r="R275" s="220"/>
      <c r="S275" s="220"/>
    </row>
    <row r="276" spans="1:19" x14ac:dyDescent="0.25">
      <c r="A276" s="220"/>
      <c r="B276" s="220"/>
      <c r="C276" s="220"/>
      <c r="D276" s="220"/>
      <c r="E276" s="220"/>
      <c r="F276" s="220"/>
      <c r="G276" s="220"/>
      <c r="H276" s="220"/>
      <c r="I276" s="220"/>
      <c r="J276" s="220"/>
      <c r="K276" s="220"/>
      <c r="L276" s="220"/>
      <c r="M276" s="220"/>
      <c r="N276" s="220"/>
      <c r="O276" s="220"/>
      <c r="P276" s="220"/>
      <c r="Q276" s="220"/>
      <c r="R276" s="220"/>
      <c r="S276" s="220"/>
    </row>
    <row r="277" spans="1:19" x14ac:dyDescent="0.25">
      <c r="A277" s="220"/>
      <c r="B277" s="220"/>
      <c r="C277" s="220"/>
      <c r="D277" s="220"/>
      <c r="E277" s="220"/>
      <c r="F277" s="220"/>
      <c r="G277" s="220"/>
      <c r="H277" s="220"/>
      <c r="I277" s="220"/>
      <c r="J277" s="220"/>
      <c r="K277" s="220"/>
      <c r="L277" s="220"/>
      <c r="M277" s="220"/>
      <c r="N277" s="220"/>
      <c r="O277" s="220"/>
      <c r="P277" s="220"/>
      <c r="Q277" s="220"/>
      <c r="R277" s="220"/>
      <c r="S277" s="220"/>
    </row>
    <row r="278" spans="1:19" x14ac:dyDescent="0.25">
      <c r="A278" s="220"/>
      <c r="B278" s="220"/>
      <c r="C278" s="220"/>
      <c r="D278" s="220"/>
      <c r="E278" s="220"/>
      <c r="F278" s="220"/>
      <c r="G278" s="220"/>
      <c r="H278" s="220"/>
      <c r="I278" s="220"/>
      <c r="J278" s="220"/>
      <c r="K278" s="220"/>
      <c r="L278" s="220"/>
      <c r="M278" s="220"/>
      <c r="N278" s="220"/>
      <c r="O278" s="220"/>
      <c r="P278" s="220"/>
      <c r="Q278" s="220"/>
      <c r="R278" s="220"/>
      <c r="S278" s="220"/>
    </row>
    <row r="279" spans="1:19" x14ac:dyDescent="0.25">
      <c r="A279" s="220"/>
      <c r="B279" s="220"/>
      <c r="C279" s="220"/>
      <c r="D279" s="220"/>
      <c r="E279" s="220"/>
      <c r="F279" s="220"/>
      <c r="G279" s="220"/>
      <c r="H279" s="220"/>
      <c r="I279" s="220"/>
      <c r="J279" s="220"/>
      <c r="K279" s="220"/>
      <c r="L279" s="220"/>
      <c r="M279" s="220"/>
      <c r="N279" s="220"/>
      <c r="O279" s="220"/>
      <c r="P279" s="220"/>
      <c r="Q279" s="220"/>
      <c r="R279" s="220"/>
      <c r="S279" s="220"/>
    </row>
    <row r="280" spans="1:19" x14ac:dyDescent="0.25">
      <c r="A280" s="220"/>
      <c r="B280" s="220"/>
      <c r="C280" s="220"/>
      <c r="D280" s="220"/>
      <c r="E280" s="220"/>
      <c r="F280" s="220"/>
      <c r="G280" s="220"/>
      <c r="H280" s="220"/>
      <c r="I280" s="220"/>
      <c r="J280" s="220"/>
      <c r="K280" s="220"/>
      <c r="L280" s="220"/>
      <c r="M280" s="220"/>
      <c r="N280" s="220"/>
      <c r="O280" s="220"/>
      <c r="P280" s="220"/>
      <c r="Q280" s="220"/>
      <c r="R280" s="220"/>
      <c r="S280" s="220"/>
    </row>
    <row r="281" spans="1:19" x14ac:dyDescent="0.25">
      <c r="A281" s="220"/>
      <c r="B281" s="220"/>
      <c r="C281" s="220"/>
      <c r="D281" s="220"/>
      <c r="E281" s="220"/>
      <c r="F281" s="220"/>
      <c r="G281" s="220"/>
      <c r="H281" s="220"/>
      <c r="I281" s="220"/>
      <c r="J281" s="220"/>
      <c r="K281" s="220"/>
      <c r="L281" s="220"/>
      <c r="M281" s="220"/>
      <c r="N281" s="220"/>
      <c r="O281" s="220"/>
      <c r="P281" s="220"/>
      <c r="Q281" s="220"/>
      <c r="R281" s="220"/>
      <c r="S281" s="220"/>
    </row>
    <row r="282" spans="1:19" x14ac:dyDescent="0.25">
      <c r="A282" s="220"/>
      <c r="B282" s="220"/>
      <c r="C282" s="220"/>
      <c r="D282" s="220"/>
      <c r="E282" s="220"/>
      <c r="F282" s="220"/>
      <c r="G282" s="220"/>
      <c r="H282" s="220"/>
      <c r="I282" s="220"/>
      <c r="J282" s="220"/>
      <c r="K282" s="220"/>
      <c r="L282" s="220"/>
      <c r="M282" s="220"/>
      <c r="N282" s="220"/>
      <c r="O282" s="220"/>
      <c r="P282" s="220"/>
      <c r="Q282" s="220"/>
      <c r="R282" s="220"/>
      <c r="S282" s="220"/>
    </row>
    <row r="283" spans="1:19" x14ac:dyDescent="0.25">
      <c r="A283" s="220"/>
      <c r="B283" s="220"/>
      <c r="C283" s="220"/>
      <c r="D283" s="220"/>
      <c r="E283" s="220"/>
      <c r="F283" s="220"/>
      <c r="G283" s="220"/>
      <c r="H283" s="220"/>
      <c r="I283" s="220"/>
      <c r="J283" s="220"/>
      <c r="K283" s="220"/>
      <c r="L283" s="220"/>
      <c r="M283" s="220"/>
      <c r="N283" s="220"/>
      <c r="O283" s="220"/>
      <c r="P283" s="220"/>
      <c r="Q283" s="220"/>
      <c r="R283" s="220"/>
      <c r="S283" s="220"/>
    </row>
    <row r="284" spans="1:19" x14ac:dyDescent="0.25">
      <c r="A284" s="220"/>
      <c r="B284" s="220"/>
      <c r="C284" s="220"/>
      <c r="D284" s="220"/>
      <c r="E284" s="220"/>
      <c r="F284" s="220"/>
      <c r="G284" s="220"/>
      <c r="H284" s="220"/>
      <c r="I284" s="220"/>
      <c r="J284" s="220"/>
      <c r="K284" s="220"/>
      <c r="L284" s="220"/>
      <c r="M284" s="220"/>
      <c r="N284" s="220"/>
      <c r="O284" s="220"/>
      <c r="P284" s="220"/>
      <c r="Q284" s="220"/>
      <c r="R284" s="220"/>
      <c r="S284" s="220"/>
    </row>
    <row r="285" spans="1:19" x14ac:dyDescent="0.25">
      <c r="A285" s="220"/>
      <c r="B285" s="220"/>
      <c r="C285" s="220"/>
      <c r="D285" s="220"/>
      <c r="E285" s="220"/>
      <c r="F285" s="220"/>
      <c r="G285" s="220"/>
      <c r="H285" s="220"/>
      <c r="I285" s="220"/>
      <c r="J285" s="220"/>
      <c r="K285" s="220"/>
      <c r="L285" s="220"/>
      <c r="M285" s="220"/>
      <c r="N285" s="220"/>
      <c r="O285" s="220"/>
      <c r="P285" s="220"/>
      <c r="Q285" s="220"/>
      <c r="R285" s="220"/>
      <c r="S285" s="220"/>
    </row>
    <row r="286" spans="1:19" x14ac:dyDescent="0.25">
      <c r="A286" s="220"/>
      <c r="B286" s="220"/>
      <c r="C286" s="220"/>
      <c r="D286" s="220"/>
      <c r="E286" s="220"/>
      <c r="F286" s="220"/>
      <c r="G286" s="220"/>
      <c r="H286" s="220"/>
      <c r="I286" s="220"/>
      <c r="J286" s="220"/>
      <c r="K286" s="220"/>
      <c r="L286" s="220"/>
      <c r="M286" s="220"/>
      <c r="N286" s="220"/>
      <c r="O286" s="220"/>
      <c r="P286" s="220"/>
      <c r="Q286" s="220"/>
      <c r="R286" s="220"/>
      <c r="S286" s="220"/>
    </row>
    <row r="287" spans="1:19" x14ac:dyDescent="0.25">
      <c r="A287" s="220"/>
      <c r="B287" s="220"/>
      <c r="C287" s="220"/>
      <c r="D287" s="220"/>
      <c r="E287" s="220"/>
      <c r="F287" s="220"/>
      <c r="G287" s="220"/>
      <c r="H287" s="220"/>
      <c r="I287" s="220"/>
      <c r="J287" s="220"/>
      <c r="K287" s="220"/>
      <c r="L287" s="220"/>
      <c r="M287" s="220"/>
      <c r="N287" s="220"/>
      <c r="O287" s="220"/>
      <c r="P287" s="220"/>
      <c r="Q287" s="220"/>
      <c r="R287" s="220"/>
      <c r="S287" s="220"/>
    </row>
    <row r="288" spans="1:19" x14ac:dyDescent="0.25">
      <c r="A288" s="220"/>
      <c r="B288" s="220"/>
      <c r="C288" s="220"/>
      <c r="D288" s="220"/>
      <c r="E288" s="220"/>
      <c r="F288" s="220"/>
      <c r="G288" s="220"/>
      <c r="H288" s="220"/>
      <c r="I288" s="220"/>
      <c r="J288" s="220"/>
      <c r="K288" s="220"/>
      <c r="L288" s="220"/>
      <c r="M288" s="220"/>
      <c r="N288" s="220"/>
      <c r="O288" s="220"/>
      <c r="P288" s="220"/>
      <c r="Q288" s="220"/>
      <c r="R288" s="220"/>
      <c r="S288" s="220"/>
    </row>
    <row r="289" spans="1:19" x14ac:dyDescent="0.25">
      <c r="A289" s="220"/>
      <c r="B289" s="220"/>
      <c r="C289" s="220"/>
      <c r="D289" s="220"/>
      <c r="E289" s="220"/>
      <c r="F289" s="220"/>
      <c r="G289" s="220"/>
      <c r="H289" s="220"/>
      <c r="I289" s="220"/>
      <c r="J289" s="220"/>
      <c r="K289" s="220"/>
      <c r="L289" s="220"/>
      <c r="M289" s="220"/>
      <c r="N289" s="220"/>
      <c r="O289" s="220"/>
      <c r="P289" s="220"/>
      <c r="Q289" s="220"/>
      <c r="R289" s="220"/>
      <c r="S289" s="220"/>
    </row>
    <row r="290" spans="1:19" x14ac:dyDescent="0.25">
      <c r="A290" s="220"/>
      <c r="B290" s="220"/>
      <c r="C290" s="220"/>
      <c r="D290" s="220"/>
      <c r="E290" s="220"/>
      <c r="F290" s="220"/>
      <c r="G290" s="220"/>
      <c r="H290" s="220"/>
      <c r="I290" s="220"/>
      <c r="J290" s="220"/>
      <c r="K290" s="220"/>
      <c r="L290" s="220"/>
      <c r="M290" s="220"/>
      <c r="N290" s="220"/>
      <c r="O290" s="220"/>
      <c r="P290" s="220"/>
      <c r="Q290" s="220"/>
      <c r="R290" s="220"/>
      <c r="S290" s="220"/>
    </row>
    <row r="291" spans="1:19" x14ac:dyDescent="0.25">
      <c r="A291" s="220"/>
      <c r="B291" s="220"/>
      <c r="C291" s="220"/>
      <c r="D291" s="220"/>
      <c r="E291" s="220"/>
      <c r="F291" s="220"/>
      <c r="G291" s="220"/>
      <c r="H291" s="220"/>
      <c r="I291" s="220"/>
      <c r="J291" s="220"/>
      <c r="K291" s="220"/>
      <c r="L291" s="220"/>
      <c r="M291" s="220"/>
      <c r="N291" s="220"/>
      <c r="O291" s="220"/>
      <c r="P291" s="220"/>
      <c r="Q291" s="220"/>
      <c r="R291" s="220"/>
      <c r="S291" s="220"/>
    </row>
    <row r="292" spans="1:19" x14ac:dyDescent="0.25">
      <c r="A292" s="220"/>
      <c r="B292" s="220"/>
      <c r="C292" s="220"/>
      <c r="D292" s="220"/>
      <c r="E292" s="220"/>
      <c r="F292" s="220"/>
      <c r="G292" s="220"/>
      <c r="H292" s="220"/>
      <c r="I292" s="220"/>
      <c r="J292" s="220"/>
      <c r="K292" s="220"/>
      <c r="L292" s="220"/>
      <c r="M292" s="220"/>
      <c r="N292" s="220"/>
      <c r="O292" s="220"/>
      <c r="P292" s="220"/>
      <c r="Q292" s="220"/>
      <c r="R292" s="220"/>
      <c r="S292" s="220"/>
    </row>
    <row r="293" spans="1:19" x14ac:dyDescent="0.25">
      <c r="A293" s="220"/>
      <c r="B293" s="220"/>
      <c r="C293" s="220"/>
      <c r="D293" s="220"/>
      <c r="E293" s="220"/>
      <c r="F293" s="220"/>
      <c r="G293" s="220"/>
      <c r="H293" s="220"/>
      <c r="I293" s="220"/>
      <c r="J293" s="220"/>
      <c r="K293" s="220"/>
      <c r="L293" s="220"/>
      <c r="M293" s="220"/>
      <c r="N293" s="220"/>
      <c r="O293" s="220"/>
      <c r="P293" s="220"/>
      <c r="Q293" s="220"/>
      <c r="R293" s="220"/>
      <c r="S293" s="220"/>
    </row>
    <row r="294" spans="1:19" x14ac:dyDescent="0.25">
      <c r="A294" s="220"/>
      <c r="B294" s="220"/>
      <c r="C294" s="220"/>
      <c r="D294" s="220"/>
      <c r="E294" s="220"/>
      <c r="F294" s="220"/>
      <c r="G294" s="220"/>
      <c r="H294" s="220"/>
      <c r="I294" s="220"/>
      <c r="J294" s="220"/>
      <c r="K294" s="220"/>
      <c r="L294" s="220"/>
      <c r="M294" s="220"/>
      <c r="N294" s="220"/>
      <c r="O294" s="220"/>
      <c r="P294" s="220"/>
      <c r="Q294" s="220"/>
      <c r="R294" s="220"/>
      <c r="S294" s="220"/>
    </row>
    <row r="295" spans="1:19" x14ac:dyDescent="0.25">
      <c r="A295" s="220"/>
      <c r="B295" s="220"/>
      <c r="C295" s="220"/>
      <c r="D295" s="220"/>
      <c r="E295" s="220"/>
      <c r="F295" s="220"/>
      <c r="G295" s="220"/>
      <c r="H295" s="220"/>
      <c r="I295" s="220"/>
      <c r="J295" s="220"/>
      <c r="K295" s="220"/>
      <c r="L295" s="220"/>
      <c r="M295" s="220"/>
      <c r="N295" s="220"/>
      <c r="O295" s="220"/>
      <c r="P295" s="220"/>
      <c r="Q295" s="220"/>
      <c r="R295" s="220"/>
      <c r="S295" s="220"/>
    </row>
    <row r="296" spans="1:19" x14ac:dyDescent="0.25">
      <c r="A296" s="220"/>
      <c r="B296" s="220"/>
      <c r="C296" s="220"/>
      <c r="D296" s="220"/>
      <c r="E296" s="220"/>
      <c r="F296" s="220"/>
      <c r="G296" s="220"/>
      <c r="H296" s="220"/>
      <c r="I296" s="220"/>
      <c r="J296" s="220"/>
      <c r="K296" s="220"/>
      <c r="L296" s="220"/>
      <c r="M296" s="220"/>
      <c r="N296" s="220"/>
      <c r="O296" s="220"/>
      <c r="P296" s="220"/>
      <c r="Q296" s="220"/>
      <c r="R296" s="220"/>
      <c r="S296" s="220"/>
    </row>
    <row r="297" spans="1:19" x14ac:dyDescent="0.25">
      <c r="A297" s="220"/>
      <c r="B297" s="220"/>
      <c r="C297" s="220"/>
      <c r="D297" s="220"/>
      <c r="E297" s="220"/>
      <c r="F297" s="220"/>
      <c r="G297" s="220"/>
      <c r="H297" s="220"/>
      <c r="I297" s="220"/>
      <c r="J297" s="220"/>
      <c r="K297" s="220"/>
      <c r="L297" s="220"/>
      <c r="M297" s="220"/>
      <c r="N297" s="220"/>
      <c r="O297" s="220"/>
      <c r="P297" s="220"/>
      <c r="Q297" s="220"/>
      <c r="R297" s="220"/>
      <c r="S297" s="220"/>
    </row>
    <row r="298" spans="1:19" x14ac:dyDescent="0.25">
      <c r="A298" s="220"/>
      <c r="B298" s="220"/>
      <c r="C298" s="220"/>
      <c r="D298" s="220"/>
      <c r="E298" s="220"/>
      <c r="F298" s="220"/>
      <c r="G298" s="220"/>
      <c r="H298" s="220"/>
      <c r="I298" s="220"/>
      <c r="J298" s="220"/>
      <c r="K298" s="220"/>
      <c r="L298" s="220"/>
      <c r="M298" s="220"/>
      <c r="N298" s="220"/>
      <c r="O298" s="220"/>
      <c r="P298" s="220"/>
      <c r="Q298" s="220"/>
      <c r="R298" s="220"/>
      <c r="S298" s="220"/>
    </row>
    <row r="299" spans="1:19" x14ac:dyDescent="0.25">
      <c r="A299" s="220"/>
      <c r="B299" s="220"/>
      <c r="C299" s="220"/>
      <c r="D299" s="220"/>
      <c r="E299" s="220"/>
      <c r="F299" s="220"/>
      <c r="G299" s="220"/>
      <c r="H299" s="220"/>
      <c r="I299" s="220"/>
      <c r="J299" s="220"/>
      <c r="K299" s="220"/>
      <c r="L299" s="220"/>
      <c r="M299" s="220"/>
      <c r="N299" s="220"/>
      <c r="O299" s="220"/>
      <c r="P299" s="220"/>
      <c r="Q299" s="220"/>
      <c r="R299" s="220"/>
      <c r="S299" s="220"/>
    </row>
    <row r="300" spans="1:19" x14ac:dyDescent="0.25">
      <c r="A300" s="220"/>
      <c r="B300" s="220"/>
      <c r="C300" s="220"/>
      <c r="D300" s="220"/>
      <c r="E300" s="220"/>
      <c r="F300" s="220"/>
      <c r="G300" s="220"/>
      <c r="H300" s="220"/>
      <c r="I300" s="220"/>
      <c r="J300" s="220"/>
      <c r="K300" s="220"/>
      <c r="L300" s="220"/>
      <c r="M300" s="220"/>
      <c r="N300" s="220"/>
      <c r="O300" s="220"/>
      <c r="P300" s="220"/>
      <c r="Q300" s="220"/>
      <c r="R300" s="220"/>
      <c r="S300" s="220"/>
    </row>
    <row r="301" spans="1:19" x14ac:dyDescent="0.25">
      <c r="A301" s="220"/>
      <c r="B301" s="220"/>
      <c r="C301" s="220"/>
      <c r="D301" s="220"/>
      <c r="E301" s="220"/>
      <c r="F301" s="220"/>
      <c r="G301" s="220"/>
      <c r="H301" s="220"/>
      <c r="I301" s="220"/>
      <c r="J301" s="220"/>
      <c r="K301" s="220"/>
      <c r="L301" s="220"/>
      <c r="M301" s="220"/>
      <c r="N301" s="220"/>
      <c r="O301" s="220"/>
      <c r="P301" s="220"/>
      <c r="Q301" s="220"/>
      <c r="R301" s="220"/>
      <c r="S301" s="220"/>
    </row>
    <row r="302" spans="1:19" x14ac:dyDescent="0.25">
      <c r="A302" s="220"/>
      <c r="B302" s="220"/>
      <c r="C302" s="220"/>
      <c r="D302" s="220"/>
      <c r="E302" s="220"/>
      <c r="F302" s="220"/>
      <c r="G302" s="220"/>
      <c r="H302" s="220"/>
      <c r="I302" s="220"/>
      <c r="J302" s="220"/>
      <c r="K302" s="220"/>
      <c r="L302" s="220"/>
      <c r="M302" s="220"/>
      <c r="N302" s="220"/>
      <c r="O302" s="220"/>
      <c r="P302" s="220"/>
      <c r="Q302" s="220"/>
      <c r="R302" s="220"/>
      <c r="S302" s="220"/>
    </row>
    <row r="303" spans="1:19" x14ac:dyDescent="0.25">
      <c r="A303" s="220"/>
      <c r="B303" s="220"/>
      <c r="C303" s="220"/>
      <c r="D303" s="220"/>
      <c r="E303" s="220"/>
      <c r="F303" s="220"/>
      <c r="G303" s="220"/>
      <c r="H303" s="220"/>
      <c r="I303" s="220"/>
      <c r="J303" s="220"/>
      <c r="K303" s="220"/>
      <c r="L303" s="220"/>
      <c r="M303" s="220"/>
      <c r="N303" s="220"/>
      <c r="O303" s="220"/>
      <c r="P303" s="220"/>
      <c r="Q303" s="220"/>
      <c r="R303" s="220"/>
      <c r="S303" s="220"/>
    </row>
    <row r="304" spans="1:19" x14ac:dyDescent="0.25">
      <c r="A304" s="220"/>
      <c r="B304" s="220"/>
      <c r="C304" s="220"/>
      <c r="D304" s="220"/>
      <c r="E304" s="220"/>
      <c r="F304" s="220"/>
      <c r="G304" s="220"/>
      <c r="H304" s="220"/>
      <c r="I304" s="220"/>
      <c r="J304" s="220"/>
      <c r="K304" s="220"/>
      <c r="L304" s="220"/>
      <c r="M304" s="220"/>
      <c r="N304" s="220"/>
      <c r="O304" s="220"/>
      <c r="P304" s="220"/>
      <c r="Q304" s="220"/>
      <c r="R304" s="220"/>
      <c r="S304" s="220"/>
    </row>
    <row r="305" spans="1:19" x14ac:dyDescent="0.25">
      <c r="A305" s="220"/>
      <c r="B305" s="220"/>
      <c r="C305" s="220"/>
      <c r="D305" s="220"/>
      <c r="E305" s="220"/>
      <c r="F305" s="220"/>
      <c r="G305" s="220"/>
      <c r="H305" s="220"/>
      <c r="I305" s="220"/>
      <c r="J305" s="220"/>
      <c r="K305" s="220"/>
      <c r="L305" s="220"/>
      <c r="M305" s="220"/>
      <c r="N305" s="220"/>
      <c r="O305" s="220"/>
      <c r="P305" s="220"/>
      <c r="Q305" s="220"/>
      <c r="R305" s="220"/>
      <c r="S305" s="220"/>
    </row>
    <row r="306" spans="1:19" x14ac:dyDescent="0.25">
      <c r="A306" s="220"/>
      <c r="B306" s="220"/>
      <c r="C306" s="220"/>
      <c r="D306" s="220"/>
      <c r="E306" s="220"/>
      <c r="F306" s="220"/>
      <c r="G306" s="220"/>
      <c r="H306" s="220"/>
      <c r="I306" s="220"/>
      <c r="J306" s="220"/>
      <c r="K306" s="220"/>
      <c r="L306" s="220"/>
      <c r="M306" s="220"/>
      <c r="N306" s="220"/>
      <c r="O306" s="220"/>
      <c r="P306" s="220"/>
      <c r="Q306" s="220"/>
      <c r="R306" s="220"/>
      <c r="S306" s="220"/>
    </row>
    <row r="307" spans="1:19" x14ac:dyDescent="0.25">
      <c r="A307" s="220"/>
      <c r="B307" s="220"/>
      <c r="C307" s="220"/>
      <c r="D307" s="220"/>
      <c r="E307" s="220"/>
      <c r="F307" s="220"/>
      <c r="G307" s="220"/>
      <c r="H307" s="220"/>
      <c r="I307" s="220"/>
      <c r="J307" s="220"/>
      <c r="K307" s="220"/>
      <c r="L307" s="220"/>
      <c r="M307" s="220"/>
      <c r="N307" s="220"/>
      <c r="O307" s="220"/>
      <c r="P307" s="220"/>
      <c r="Q307" s="220"/>
      <c r="R307" s="220"/>
      <c r="S307" s="220"/>
    </row>
    <row r="308" spans="1:19" x14ac:dyDescent="0.25">
      <c r="A308" s="220"/>
      <c r="B308" s="220"/>
      <c r="C308" s="220"/>
      <c r="D308" s="220"/>
      <c r="E308" s="220"/>
      <c r="F308" s="220"/>
      <c r="G308" s="220"/>
      <c r="H308" s="220"/>
      <c r="I308" s="220"/>
      <c r="J308" s="220"/>
      <c r="K308" s="220"/>
      <c r="L308" s="220"/>
      <c r="M308" s="220"/>
      <c r="N308" s="220"/>
      <c r="O308" s="220"/>
      <c r="P308" s="220"/>
      <c r="Q308" s="220"/>
      <c r="R308" s="220"/>
      <c r="S308" s="220"/>
    </row>
    <row r="309" spans="1:19" x14ac:dyDescent="0.25">
      <c r="A309" s="220"/>
      <c r="B309" s="220"/>
      <c r="C309" s="220"/>
      <c r="D309" s="220"/>
      <c r="E309" s="220"/>
      <c r="F309" s="220"/>
      <c r="G309" s="220"/>
      <c r="H309" s="220"/>
      <c r="I309" s="220"/>
      <c r="J309" s="220"/>
      <c r="K309" s="220"/>
      <c r="L309" s="220"/>
      <c r="M309" s="220"/>
      <c r="N309" s="220"/>
      <c r="O309" s="220"/>
      <c r="P309" s="220"/>
      <c r="Q309" s="220"/>
      <c r="R309" s="220"/>
      <c r="S309" s="220"/>
    </row>
    <row r="310" spans="1:19" x14ac:dyDescent="0.25">
      <c r="A310" s="220"/>
      <c r="B310" s="220"/>
      <c r="C310" s="220"/>
      <c r="D310" s="220"/>
      <c r="E310" s="220"/>
      <c r="F310" s="220"/>
      <c r="G310" s="220"/>
      <c r="H310" s="220"/>
      <c r="I310" s="220"/>
      <c r="J310" s="220"/>
      <c r="K310" s="220"/>
      <c r="L310" s="220"/>
      <c r="M310" s="220"/>
      <c r="N310" s="220"/>
      <c r="O310" s="220"/>
      <c r="P310" s="220"/>
      <c r="Q310" s="220"/>
      <c r="R310" s="220"/>
      <c r="S310" s="220"/>
    </row>
    <row r="311" spans="1:19" x14ac:dyDescent="0.25">
      <c r="A311" s="220"/>
      <c r="B311" s="220"/>
      <c r="C311" s="220"/>
      <c r="D311" s="220"/>
      <c r="E311" s="220"/>
      <c r="F311" s="220"/>
      <c r="G311" s="220"/>
      <c r="H311" s="220"/>
      <c r="I311" s="220"/>
      <c r="J311" s="220"/>
      <c r="K311" s="220"/>
      <c r="L311" s="220"/>
      <c r="M311" s="220"/>
      <c r="N311" s="220"/>
      <c r="O311" s="220"/>
      <c r="P311" s="220"/>
      <c r="Q311" s="220"/>
      <c r="R311" s="220"/>
      <c r="S311" s="220"/>
    </row>
    <row r="312" spans="1:19" x14ac:dyDescent="0.25">
      <c r="A312" s="220"/>
      <c r="B312" s="220"/>
      <c r="C312" s="220"/>
      <c r="D312" s="220"/>
      <c r="E312" s="220"/>
      <c r="F312" s="220"/>
      <c r="G312" s="220"/>
      <c r="H312" s="220"/>
      <c r="I312" s="220"/>
      <c r="J312" s="220"/>
      <c r="K312" s="220"/>
      <c r="L312" s="220"/>
      <c r="M312" s="220"/>
      <c r="N312" s="220"/>
      <c r="O312" s="220"/>
      <c r="P312" s="220"/>
      <c r="Q312" s="220"/>
      <c r="R312" s="220"/>
      <c r="S312" s="220"/>
    </row>
    <row r="313" spans="1:19" x14ac:dyDescent="0.25">
      <c r="A313" s="220"/>
      <c r="B313" s="220"/>
      <c r="C313" s="220"/>
      <c r="D313" s="220"/>
      <c r="E313" s="220"/>
      <c r="F313" s="220"/>
      <c r="G313" s="220"/>
      <c r="H313" s="220"/>
      <c r="I313" s="220"/>
      <c r="J313" s="220"/>
      <c r="K313" s="220"/>
      <c r="L313" s="220"/>
      <c r="M313" s="220"/>
      <c r="N313" s="220"/>
      <c r="O313" s="220"/>
      <c r="P313" s="220"/>
      <c r="Q313" s="220"/>
      <c r="R313" s="220"/>
      <c r="S313" s="220"/>
    </row>
    <row r="314" spans="1:19" x14ac:dyDescent="0.25">
      <c r="A314" s="220"/>
      <c r="B314" s="220"/>
      <c r="C314" s="220"/>
      <c r="D314" s="220"/>
      <c r="E314" s="220"/>
      <c r="F314" s="220"/>
      <c r="G314" s="220"/>
      <c r="H314" s="220"/>
      <c r="I314" s="220"/>
      <c r="J314" s="220"/>
      <c r="K314" s="220"/>
      <c r="L314" s="220"/>
      <c r="M314" s="220"/>
      <c r="N314" s="220"/>
      <c r="O314" s="220"/>
      <c r="P314" s="220"/>
      <c r="Q314" s="220"/>
      <c r="R314" s="220"/>
      <c r="S314" s="220"/>
    </row>
    <row r="315" spans="1:19" x14ac:dyDescent="0.25">
      <c r="A315" s="220"/>
      <c r="B315" s="220"/>
      <c r="C315" s="220"/>
      <c r="D315" s="220"/>
      <c r="E315" s="220"/>
      <c r="F315" s="220"/>
      <c r="G315" s="220"/>
      <c r="H315" s="220"/>
      <c r="I315" s="220"/>
      <c r="J315" s="220"/>
      <c r="K315" s="220"/>
      <c r="L315" s="220"/>
      <c r="M315" s="220"/>
      <c r="N315" s="220"/>
      <c r="O315" s="220"/>
      <c r="P315" s="220"/>
      <c r="Q315" s="220"/>
      <c r="R315" s="220"/>
      <c r="S315" s="220"/>
    </row>
    <row r="316" spans="1:19" x14ac:dyDescent="0.25">
      <c r="A316" s="220"/>
      <c r="B316" s="220"/>
      <c r="C316" s="220"/>
      <c r="D316" s="220"/>
      <c r="E316" s="220"/>
      <c r="F316" s="220"/>
      <c r="G316" s="220"/>
      <c r="H316" s="220"/>
      <c r="I316" s="220"/>
      <c r="J316" s="220"/>
      <c r="K316" s="220"/>
      <c r="L316" s="220"/>
      <c r="M316" s="220"/>
      <c r="N316" s="220"/>
      <c r="O316" s="220"/>
      <c r="P316" s="220"/>
      <c r="Q316" s="220"/>
      <c r="R316" s="220"/>
      <c r="S316" s="220"/>
    </row>
    <row r="317" spans="1:19" x14ac:dyDescent="0.25">
      <c r="A317" s="220"/>
      <c r="B317" s="220"/>
      <c r="C317" s="220"/>
      <c r="D317" s="220"/>
      <c r="E317" s="220"/>
      <c r="F317" s="220"/>
      <c r="G317" s="220"/>
      <c r="H317" s="220"/>
      <c r="I317" s="220"/>
      <c r="J317" s="220"/>
      <c r="K317" s="220"/>
      <c r="L317" s="220"/>
      <c r="M317" s="220"/>
      <c r="N317" s="220"/>
      <c r="O317" s="220"/>
      <c r="P317" s="220"/>
      <c r="Q317" s="220"/>
      <c r="R317" s="220"/>
      <c r="S317" s="220"/>
    </row>
    <row r="318" spans="1:19" x14ac:dyDescent="0.25">
      <c r="A318" s="220"/>
      <c r="B318" s="220"/>
      <c r="C318" s="220"/>
      <c r="D318" s="220"/>
      <c r="E318" s="220"/>
      <c r="F318" s="220"/>
      <c r="G318" s="220"/>
      <c r="H318" s="220"/>
      <c r="I318" s="220"/>
      <c r="J318" s="220"/>
      <c r="K318" s="220"/>
      <c r="L318" s="220"/>
      <c r="M318" s="220"/>
      <c r="N318" s="220"/>
      <c r="O318" s="220"/>
      <c r="P318" s="220"/>
      <c r="Q318" s="220"/>
      <c r="R318" s="220"/>
      <c r="S318" s="220"/>
    </row>
    <row r="319" spans="1:19" x14ac:dyDescent="0.25">
      <c r="A319" s="220"/>
      <c r="B319" s="220"/>
      <c r="C319" s="220"/>
      <c r="D319" s="220"/>
      <c r="E319" s="220"/>
      <c r="F319" s="220"/>
      <c r="G319" s="220"/>
      <c r="H319" s="220"/>
      <c r="I319" s="220"/>
      <c r="J319" s="220"/>
      <c r="K319" s="220"/>
      <c r="L319" s="220"/>
      <c r="M319" s="220"/>
      <c r="N319" s="220"/>
      <c r="O319" s="220"/>
      <c r="P319" s="220"/>
      <c r="Q319" s="220"/>
      <c r="R319" s="220"/>
      <c r="S319" s="220"/>
    </row>
    <row r="320" spans="1:19" x14ac:dyDescent="0.25">
      <c r="A320" s="220"/>
      <c r="B320" s="220"/>
      <c r="C320" s="220"/>
      <c r="D320" s="220"/>
      <c r="E320" s="220"/>
      <c r="F320" s="220"/>
      <c r="G320" s="220"/>
      <c r="H320" s="220"/>
      <c r="I320" s="220"/>
      <c r="J320" s="220"/>
      <c r="K320" s="220"/>
      <c r="L320" s="220"/>
      <c r="M320" s="220"/>
      <c r="N320" s="220"/>
      <c r="O320" s="220"/>
      <c r="P320" s="220"/>
      <c r="Q320" s="220"/>
      <c r="R320" s="220"/>
      <c r="S320" s="220"/>
    </row>
    <row r="321" spans="1:19" x14ac:dyDescent="0.25">
      <c r="A321" s="220"/>
      <c r="B321" s="220"/>
      <c r="C321" s="220"/>
      <c r="D321" s="220"/>
      <c r="E321" s="220"/>
      <c r="F321" s="220"/>
      <c r="G321" s="220"/>
      <c r="H321" s="220"/>
      <c r="I321" s="220"/>
      <c r="J321" s="220"/>
      <c r="K321" s="220"/>
      <c r="L321" s="220"/>
      <c r="M321" s="220"/>
      <c r="N321" s="220"/>
      <c r="O321" s="220"/>
      <c r="P321" s="220"/>
      <c r="Q321" s="220"/>
      <c r="R321" s="220"/>
      <c r="S321" s="220"/>
    </row>
    <row r="322" spans="1:19" x14ac:dyDescent="0.25">
      <c r="A322" s="220"/>
      <c r="B322" s="220"/>
      <c r="C322" s="220"/>
      <c r="D322" s="220"/>
      <c r="E322" s="220"/>
      <c r="F322" s="220"/>
      <c r="G322" s="220"/>
      <c r="H322" s="220"/>
      <c r="I322" s="220"/>
      <c r="J322" s="220"/>
      <c r="K322" s="220"/>
      <c r="L322" s="220"/>
      <c r="M322" s="220"/>
      <c r="N322" s="220"/>
      <c r="O322" s="220"/>
      <c r="P322" s="220"/>
      <c r="Q322" s="220"/>
      <c r="R322" s="220"/>
      <c r="S322" s="220"/>
    </row>
    <row r="323" spans="1:19" x14ac:dyDescent="0.25">
      <c r="A323" s="220"/>
      <c r="B323" s="220"/>
      <c r="C323" s="220"/>
      <c r="D323" s="220"/>
      <c r="E323" s="220"/>
      <c r="F323" s="220"/>
      <c r="G323" s="220"/>
      <c r="H323" s="220"/>
      <c r="I323" s="220"/>
      <c r="J323" s="220"/>
      <c r="K323" s="220"/>
      <c r="L323" s="220"/>
      <c r="M323" s="220"/>
      <c r="N323" s="220"/>
      <c r="O323" s="220"/>
      <c r="P323" s="220"/>
      <c r="Q323" s="220"/>
      <c r="R323" s="220"/>
      <c r="S323" s="220"/>
    </row>
    <row r="324" spans="1:19" x14ac:dyDescent="0.25">
      <c r="A324" s="220"/>
      <c r="B324" s="220"/>
      <c r="C324" s="220"/>
      <c r="D324" s="220"/>
      <c r="E324" s="220"/>
      <c r="F324" s="220"/>
      <c r="G324" s="220"/>
      <c r="H324" s="220"/>
      <c r="I324" s="220"/>
      <c r="J324" s="220"/>
      <c r="K324" s="220"/>
      <c r="L324" s="220"/>
      <c r="M324" s="220"/>
      <c r="N324" s="220"/>
      <c r="O324" s="220"/>
      <c r="P324" s="220"/>
      <c r="Q324" s="220"/>
      <c r="R324" s="220"/>
      <c r="S324" s="220"/>
    </row>
    <row r="325" spans="1:19" x14ac:dyDescent="0.25">
      <c r="A325" s="220"/>
      <c r="B325" s="220"/>
      <c r="C325" s="220"/>
      <c r="D325" s="220"/>
      <c r="E325" s="220"/>
      <c r="F325" s="220"/>
      <c r="G325" s="220"/>
      <c r="H325" s="220"/>
      <c r="I325" s="220"/>
      <c r="J325" s="220"/>
      <c r="K325" s="220"/>
      <c r="L325" s="220"/>
      <c r="M325" s="220"/>
      <c r="N325" s="220"/>
      <c r="O325" s="220"/>
      <c r="P325" s="220"/>
      <c r="Q325" s="220"/>
      <c r="R325" s="220"/>
      <c r="S325" s="220"/>
    </row>
    <row r="326" spans="1:19" x14ac:dyDescent="0.25">
      <c r="A326" s="220"/>
      <c r="B326" s="220"/>
      <c r="C326" s="220"/>
      <c r="D326" s="220"/>
      <c r="E326" s="220"/>
      <c r="F326" s="220"/>
      <c r="G326" s="220"/>
      <c r="H326" s="220"/>
      <c r="I326" s="220"/>
      <c r="J326" s="220"/>
      <c r="K326" s="220"/>
      <c r="L326" s="220"/>
      <c r="M326" s="220"/>
      <c r="N326" s="220"/>
      <c r="O326" s="220"/>
      <c r="P326" s="220"/>
      <c r="Q326" s="220"/>
      <c r="R326" s="220"/>
      <c r="S326" s="220"/>
    </row>
    <row r="327" spans="1:19" x14ac:dyDescent="0.25">
      <c r="A327" s="220"/>
      <c r="B327" s="220"/>
      <c r="C327" s="220"/>
      <c r="D327" s="220"/>
      <c r="E327" s="220"/>
      <c r="F327" s="220"/>
      <c r="G327" s="220"/>
      <c r="H327" s="220"/>
      <c r="I327" s="220"/>
      <c r="J327" s="220"/>
      <c r="K327" s="220"/>
      <c r="L327" s="220"/>
      <c r="M327" s="220"/>
      <c r="N327" s="220"/>
      <c r="O327" s="220"/>
      <c r="P327" s="220"/>
      <c r="Q327" s="220"/>
      <c r="R327" s="220"/>
      <c r="S327" s="220"/>
    </row>
    <row r="328" spans="1:19" x14ac:dyDescent="0.25">
      <c r="A328" s="220"/>
      <c r="B328" s="220"/>
      <c r="C328" s="220"/>
      <c r="D328" s="220"/>
      <c r="E328" s="220"/>
      <c r="F328" s="220"/>
      <c r="G328" s="220"/>
      <c r="H328" s="220"/>
      <c r="I328" s="220"/>
      <c r="J328" s="220"/>
      <c r="K328" s="220"/>
      <c r="L328" s="220"/>
      <c r="M328" s="220"/>
      <c r="N328" s="220"/>
      <c r="O328" s="220"/>
      <c r="P328" s="220"/>
      <c r="Q328" s="220"/>
      <c r="R328" s="220"/>
      <c r="S328" s="220"/>
    </row>
    <row r="329" spans="1:19" x14ac:dyDescent="0.25">
      <c r="A329" s="220"/>
      <c r="B329" s="220"/>
      <c r="C329" s="220"/>
      <c r="D329" s="220"/>
      <c r="E329" s="220"/>
      <c r="F329" s="220"/>
      <c r="G329" s="220"/>
      <c r="H329" s="220"/>
      <c r="I329" s="220"/>
      <c r="J329" s="220"/>
      <c r="K329" s="220"/>
      <c r="L329" s="220"/>
      <c r="M329" s="220"/>
      <c r="N329" s="220"/>
      <c r="O329" s="220"/>
      <c r="P329" s="220"/>
      <c r="Q329" s="220"/>
      <c r="R329" s="220"/>
      <c r="S329" s="220"/>
    </row>
    <row r="330" spans="1:19" x14ac:dyDescent="0.25">
      <c r="A330" s="220"/>
      <c r="B330" s="220"/>
      <c r="C330" s="220"/>
      <c r="D330" s="220"/>
      <c r="E330" s="220"/>
      <c r="F330" s="220"/>
      <c r="G330" s="220"/>
      <c r="H330" s="220"/>
      <c r="I330" s="220"/>
      <c r="J330" s="220"/>
      <c r="K330" s="220"/>
      <c r="L330" s="220"/>
      <c r="M330" s="220"/>
      <c r="N330" s="220"/>
      <c r="O330" s="220"/>
      <c r="P330" s="220"/>
      <c r="Q330" s="220"/>
      <c r="R330" s="220"/>
      <c r="S330" s="220"/>
    </row>
    <row r="331" spans="1:19" x14ac:dyDescent="0.25">
      <c r="A331" s="220"/>
      <c r="B331" s="220"/>
      <c r="C331" s="220"/>
      <c r="D331" s="220"/>
      <c r="E331" s="220"/>
      <c r="F331" s="220"/>
      <c r="G331" s="220"/>
      <c r="H331" s="220"/>
      <c r="I331" s="220"/>
      <c r="J331" s="220"/>
      <c r="K331" s="220"/>
      <c r="L331" s="220"/>
      <c r="M331" s="220"/>
      <c r="N331" s="220"/>
      <c r="O331" s="220"/>
      <c r="P331" s="220"/>
      <c r="Q331" s="220"/>
      <c r="R331" s="220"/>
      <c r="S331" s="220"/>
    </row>
    <row r="332" spans="1:19" x14ac:dyDescent="0.25">
      <c r="A332" s="220"/>
      <c r="B332" s="220"/>
      <c r="C332" s="220"/>
      <c r="D332" s="220"/>
      <c r="E332" s="220"/>
      <c r="F332" s="220"/>
      <c r="G332" s="220"/>
      <c r="H332" s="220"/>
      <c r="I332" s="220"/>
      <c r="J332" s="220"/>
      <c r="K332" s="220"/>
      <c r="L332" s="220"/>
      <c r="M332" s="220"/>
      <c r="N332" s="220"/>
      <c r="O332" s="220"/>
      <c r="P332" s="220"/>
      <c r="Q332" s="220"/>
      <c r="R332" s="220"/>
      <c r="S332" s="220"/>
    </row>
    <row r="333" spans="1:19" x14ac:dyDescent="0.25">
      <c r="A333" s="220"/>
      <c r="B333" s="220"/>
      <c r="C333" s="220"/>
      <c r="D333" s="220"/>
      <c r="E333" s="220"/>
      <c r="F333" s="220"/>
      <c r="G333" s="220"/>
      <c r="H333" s="220"/>
      <c r="I333" s="220"/>
      <c r="J333" s="220"/>
      <c r="K333" s="220"/>
      <c r="L333" s="220"/>
      <c r="M333" s="220"/>
      <c r="N333" s="220"/>
      <c r="O333" s="220"/>
      <c r="P333" s="220"/>
      <c r="Q333" s="220"/>
      <c r="R333" s="220"/>
      <c r="S333" s="220"/>
    </row>
    <row r="334" spans="1:19" x14ac:dyDescent="0.25">
      <c r="A334" s="220"/>
      <c r="B334" s="220"/>
      <c r="C334" s="220"/>
      <c r="D334" s="220"/>
      <c r="E334" s="220"/>
      <c r="F334" s="220"/>
      <c r="G334" s="220"/>
      <c r="H334" s="220"/>
      <c r="I334" s="220"/>
      <c r="J334" s="220"/>
      <c r="K334" s="220"/>
      <c r="L334" s="220"/>
      <c r="M334" s="220"/>
      <c r="N334" s="220"/>
      <c r="O334" s="220"/>
      <c r="P334" s="220"/>
      <c r="Q334" s="220"/>
      <c r="R334" s="220"/>
      <c r="S334" s="220"/>
    </row>
    <row r="335" spans="1:19" x14ac:dyDescent="0.25">
      <c r="A335" s="220"/>
      <c r="B335" s="220"/>
      <c r="C335" s="220"/>
      <c r="D335" s="220"/>
      <c r="E335" s="220"/>
      <c r="F335" s="220"/>
      <c r="G335" s="220"/>
      <c r="H335" s="220"/>
      <c r="I335" s="220"/>
      <c r="J335" s="220"/>
      <c r="K335" s="220"/>
      <c r="L335" s="220"/>
      <c r="M335" s="220"/>
      <c r="N335" s="220"/>
      <c r="O335" s="220"/>
      <c r="P335" s="220"/>
      <c r="Q335" s="220"/>
      <c r="R335" s="220"/>
      <c r="S335" s="220"/>
    </row>
    <row r="336" spans="1:19" x14ac:dyDescent="0.25">
      <c r="A336" s="220"/>
      <c r="B336" s="220"/>
      <c r="C336" s="220"/>
      <c r="D336" s="220"/>
      <c r="E336" s="220"/>
      <c r="F336" s="220"/>
      <c r="G336" s="220"/>
      <c r="H336" s="220"/>
      <c r="I336" s="220"/>
      <c r="J336" s="220"/>
      <c r="K336" s="220"/>
      <c r="L336" s="220"/>
      <c r="M336" s="220"/>
      <c r="N336" s="220"/>
      <c r="O336" s="220"/>
      <c r="P336" s="220"/>
      <c r="Q336" s="220"/>
      <c r="R336" s="220"/>
      <c r="S336" s="220"/>
    </row>
    <row r="337" spans="1:19" x14ac:dyDescent="0.25">
      <c r="A337" s="220"/>
      <c r="B337" s="220"/>
      <c r="C337" s="220"/>
      <c r="D337" s="220"/>
      <c r="E337" s="220"/>
      <c r="F337" s="220"/>
      <c r="G337" s="220"/>
      <c r="H337" s="220"/>
      <c r="I337" s="220"/>
      <c r="J337" s="220"/>
      <c r="K337" s="220"/>
      <c r="L337" s="220"/>
      <c r="M337" s="220"/>
      <c r="N337" s="220"/>
      <c r="O337" s="220"/>
      <c r="P337" s="220"/>
      <c r="Q337" s="220"/>
      <c r="R337" s="220"/>
      <c r="S337" s="220"/>
    </row>
    <row r="338" spans="1:19" x14ac:dyDescent="0.25">
      <c r="A338" s="220"/>
      <c r="B338" s="220"/>
      <c r="C338" s="220"/>
      <c r="D338" s="220"/>
      <c r="E338" s="220"/>
      <c r="F338" s="220"/>
      <c r="G338" s="220"/>
      <c r="H338" s="220"/>
      <c r="I338" s="220"/>
      <c r="J338" s="220"/>
      <c r="K338" s="220"/>
      <c r="L338" s="220"/>
      <c r="M338" s="220"/>
      <c r="N338" s="220"/>
      <c r="O338" s="220"/>
      <c r="P338" s="220"/>
      <c r="Q338" s="220"/>
      <c r="R338" s="220"/>
      <c r="S338" s="220"/>
    </row>
    <row r="339" spans="1:19" x14ac:dyDescent="0.25">
      <c r="A339" s="220"/>
      <c r="B339" s="220"/>
      <c r="C339" s="220"/>
      <c r="D339" s="220"/>
      <c r="E339" s="220"/>
      <c r="F339" s="220"/>
      <c r="G339" s="220"/>
      <c r="H339" s="220"/>
      <c r="I339" s="220"/>
      <c r="J339" s="220"/>
      <c r="K339" s="220"/>
      <c r="L339" s="220"/>
      <c r="M339" s="220"/>
      <c r="N339" s="220"/>
      <c r="O339" s="220"/>
      <c r="P339" s="220"/>
      <c r="Q339" s="220"/>
      <c r="R339" s="220"/>
      <c r="S339" s="220"/>
    </row>
    <row r="340" spans="1:19" x14ac:dyDescent="0.25">
      <c r="A340" s="220"/>
      <c r="B340" s="220"/>
      <c r="C340" s="220"/>
      <c r="D340" s="220"/>
      <c r="E340" s="220"/>
      <c r="F340" s="220"/>
      <c r="G340" s="220"/>
      <c r="H340" s="220"/>
      <c r="I340" s="220"/>
      <c r="J340" s="220"/>
      <c r="K340" s="220"/>
      <c r="L340" s="220"/>
      <c r="M340" s="220"/>
      <c r="N340" s="220"/>
      <c r="O340" s="220"/>
      <c r="P340" s="220"/>
      <c r="Q340" s="220"/>
      <c r="R340" s="220"/>
      <c r="S340" s="220"/>
    </row>
    <row r="341" spans="1:19" x14ac:dyDescent="0.25">
      <c r="A341" s="220"/>
      <c r="B341" s="220"/>
      <c r="C341" s="220"/>
      <c r="D341" s="220"/>
      <c r="E341" s="220"/>
      <c r="F341" s="220"/>
      <c r="G341" s="220"/>
      <c r="H341" s="220"/>
      <c r="I341" s="220"/>
      <c r="J341" s="220"/>
      <c r="K341" s="220"/>
      <c r="L341" s="220"/>
      <c r="M341" s="220"/>
      <c r="N341" s="220"/>
      <c r="O341" s="220"/>
      <c r="P341" s="220"/>
      <c r="Q341" s="220"/>
      <c r="R341" s="220"/>
      <c r="S341" s="220"/>
    </row>
    <row r="342" spans="1:19" x14ac:dyDescent="0.25">
      <c r="A342" s="220"/>
      <c r="B342" s="220"/>
      <c r="C342" s="220"/>
      <c r="D342" s="220"/>
      <c r="E342" s="220"/>
      <c r="F342" s="220"/>
      <c r="G342" s="220"/>
      <c r="H342" s="220"/>
      <c r="I342" s="220"/>
      <c r="J342" s="220"/>
      <c r="K342" s="220"/>
      <c r="L342" s="220"/>
      <c r="M342" s="220"/>
      <c r="N342" s="220"/>
      <c r="O342" s="220"/>
      <c r="P342" s="220"/>
      <c r="Q342" s="220"/>
      <c r="R342" s="220"/>
      <c r="S342" s="220"/>
    </row>
    <row r="343" spans="1:19" x14ac:dyDescent="0.25">
      <c r="A343" s="220"/>
      <c r="B343" s="220"/>
      <c r="C343" s="220"/>
      <c r="D343" s="220"/>
      <c r="E343" s="220"/>
      <c r="F343" s="220"/>
      <c r="G343" s="220"/>
      <c r="H343" s="220"/>
      <c r="I343" s="220"/>
      <c r="J343" s="220"/>
      <c r="K343" s="220"/>
      <c r="L343" s="220"/>
      <c r="M343" s="220"/>
      <c r="N343" s="220"/>
      <c r="O343" s="220"/>
      <c r="P343" s="220"/>
      <c r="Q343" s="220"/>
      <c r="R343" s="220"/>
      <c r="S343" s="220"/>
    </row>
    <row r="344" spans="1:19" x14ac:dyDescent="0.25">
      <c r="A344" s="220"/>
      <c r="B344" s="220"/>
      <c r="C344" s="220"/>
      <c r="D344" s="220"/>
      <c r="E344" s="220"/>
      <c r="F344" s="220"/>
      <c r="G344" s="220"/>
      <c r="H344" s="220"/>
      <c r="I344" s="220"/>
      <c r="J344" s="220"/>
      <c r="K344" s="220"/>
      <c r="L344" s="220"/>
      <c r="M344" s="220"/>
      <c r="N344" s="220"/>
      <c r="O344" s="220"/>
      <c r="P344" s="220"/>
      <c r="Q344" s="220"/>
      <c r="R344" s="220"/>
      <c r="S344" s="220"/>
    </row>
    <row r="345" spans="1:19" x14ac:dyDescent="0.25">
      <c r="A345" s="220"/>
      <c r="B345" s="220"/>
      <c r="C345" s="220"/>
      <c r="D345" s="220"/>
      <c r="E345" s="220"/>
      <c r="F345" s="220"/>
      <c r="G345" s="220"/>
      <c r="H345" s="220"/>
      <c r="I345" s="220"/>
      <c r="J345" s="220"/>
      <c r="K345" s="220"/>
      <c r="L345" s="220"/>
      <c r="M345" s="220"/>
      <c r="N345" s="220"/>
      <c r="O345" s="220"/>
      <c r="P345" s="220"/>
      <c r="Q345" s="220"/>
      <c r="R345" s="220"/>
      <c r="S345" s="220"/>
    </row>
    <row r="346" spans="1:19" x14ac:dyDescent="0.25">
      <c r="A346" s="220"/>
      <c r="B346" s="220"/>
      <c r="C346" s="220"/>
      <c r="D346" s="220"/>
      <c r="E346" s="220"/>
      <c r="F346" s="220"/>
      <c r="G346" s="220"/>
      <c r="H346" s="220"/>
      <c r="I346" s="220"/>
      <c r="J346" s="220"/>
      <c r="K346" s="220"/>
      <c r="L346" s="220"/>
      <c r="M346" s="220"/>
      <c r="N346" s="220"/>
      <c r="O346" s="220"/>
      <c r="P346" s="220"/>
      <c r="Q346" s="220"/>
      <c r="R346" s="220"/>
      <c r="S346" s="220"/>
    </row>
    <row r="347" spans="1:19" x14ac:dyDescent="0.25">
      <c r="A347" s="220"/>
      <c r="B347" s="220"/>
      <c r="C347" s="220"/>
      <c r="D347" s="220"/>
      <c r="E347" s="220"/>
      <c r="F347" s="220"/>
      <c r="G347" s="220"/>
      <c r="H347" s="220"/>
      <c r="I347" s="220"/>
      <c r="J347" s="220"/>
      <c r="K347" s="220"/>
      <c r="L347" s="220"/>
      <c r="M347" s="220"/>
      <c r="N347" s="220"/>
      <c r="O347" s="220"/>
      <c r="P347" s="220"/>
      <c r="Q347" s="220"/>
      <c r="R347" s="220"/>
      <c r="S347" s="220"/>
    </row>
    <row r="348" spans="1:19" x14ac:dyDescent="0.25">
      <c r="A348" s="220"/>
      <c r="B348" s="220"/>
      <c r="C348" s="220"/>
      <c r="D348" s="220"/>
      <c r="E348" s="220"/>
      <c r="F348" s="220"/>
      <c r="G348" s="220"/>
      <c r="H348" s="220"/>
      <c r="I348" s="220"/>
      <c r="J348" s="220"/>
      <c r="K348" s="220"/>
      <c r="L348" s="220"/>
      <c r="M348" s="220"/>
      <c r="N348" s="220"/>
      <c r="O348" s="220"/>
      <c r="P348" s="220"/>
      <c r="Q348" s="220"/>
      <c r="R348" s="220"/>
      <c r="S348" s="220"/>
    </row>
    <row r="349" spans="1:19" x14ac:dyDescent="0.25">
      <c r="A349" s="220"/>
      <c r="B349" s="220"/>
      <c r="C349" s="220"/>
      <c r="D349" s="220"/>
      <c r="E349" s="220"/>
      <c r="F349" s="220"/>
      <c r="G349" s="220"/>
      <c r="H349" s="220"/>
      <c r="I349" s="220"/>
      <c r="J349" s="220"/>
      <c r="K349" s="220"/>
      <c r="L349" s="220"/>
      <c r="M349" s="220"/>
      <c r="N349" s="220"/>
      <c r="O349" s="220"/>
      <c r="P349" s="220"/>
      <c r="Q349" s="220"/>
      <c r="R349" s="220"/>
      <c r="S349" s="220"/>
    </row>
    <row r="350" spans="1:19" x14ac:dyDescent="0.25">
      <c r="A350" s="220"/>
      <c r="B350" s="220"/>
      <c r="C350" s="220"/>
      <c r="D350" s="220"/>
      <c r="E350" s="220"/>
      <c r="F350" s="220"/>
      <c r="G350" s="220"/>
      <c r="H350" s="220"/>
      <c r="I350" s="220"/>
      <c r="J350" s="220"/>
      <c r="K350" s="220"/>
      <c r="L350" s="220"/>
      <c r="M350" s="220"/>
      <c r="N350" s="220"/>
      <c r="O350" s="220"/>
      <c r="P350" s="220"/>
      <c r="Q350" s="220"/>
      <c r="R350" s="220"/>
      <c r="S350" s="220"/>
    </row>
    <row r="351" spans="1:19" x14ac:dyDescent="0.25">
      <c r="A351" s="220"/>
      <c r="B351" s="220"/>
      <c r="C351" s="220"/>
      <c r="D351" s="220"/>
      <c r="E351" s="220"/>
      <c r="F351" s="220"/>
      <c r="G351" s="220"/>
      <c r="H351" s="220"/>
      <c r="I351" s="220"/>
      <c r="J351" s="220"/>
      <c r="K351" s="220"/>
      <c r="L351" s="220"/>
      <c r="M351" s="220"/>
      <c r="N351" s="220"/>
      <c r="O351" s="220"/>
      <c r="P351" s="220"/>
      <c r="Q351" s="220"/>
      <c r="R351" s="220"/>
      <c r="S351" s="220"/>
    </row>
    <row r="352" spans="1:19" x14ac:dyDescent="0.25">
      <c r="A352" s="220"/>
      <c r="B352" s="220"/>
      <c r="C352" s="220"/>
      <c r="D352" s="220"/>
      <c r="E352" s="220"/>
      <c r="F352" s="220"/>
      <c r="G352" s="220"/>
      <c r="H352" s="220"/>
      <c r="I352" s="220"/>
      <c r="J352" s="220"/>
      <c r="K352" s="220"/>
      <c r="L352" s="220"/>
      <c r="M352" s="220"/>
      <c r="N352" s="220"/>
      <c r="O352" s="220"/>
      <c r="P352" s="220"/>
      <c r="Q352" s="220"/>
      <c r="R352" s="220"/>
      <c r="S352" s="220"/>
    </row>
    <row r="353" spans="1:19" x14ac:dyDescent="0.25">
      <c r="A353" s="220"/>
      <c r="B353" s="220"/>
      <c r="C353" s="220"/>
      <c r="D353" s="220"/>
      <c r="E353" s="220"/>
      <c r="F353" s="220"/>
      <c r="G353" s="220"/>
      <c r="H353" s="220"/>
      <c r="I353" s="220"/>
      <c r="J353" s="220"/>
      <c r="K353" s="220"/>
      <c r="L353" s="220"/>
      <c r="M353" s="220"/>
      <c r="N353" s="220"/>
      <c r="O353" s="220"/>
      <c r="P353" s="220"/>
      <c r="Q353" s="220"/>
      <c r="R353" s="220"/>
      <c r="S353" s="220"/>
    </row>
    <row r="354" spans="1:19" x14ac:dyDescent="0.25">
      <c r="A354" s="220"/>
      <c r="B354" s="220"/>
      <c r="C354" s="220"/>
      <c r="D354" s="220"/>
      <c r="E354" s="220"/>
      <c r="F354" s="220"/>
      <c r="G354" s="220"/>
      <c r="H354" s="220"/>
      <c r="I354" s="220"/>
      <c r="J354" s="220"/>
      <c r="K354" s="220"/>
      <c r="L354" s="220"/>
      <c r="M354" s="220"/>
      <c r="N354" s="220"/>
      <c r="O354" s="220"/>
      <c r="P354" s="220"/>
      <c r="Q354" s="220"/>
      <c r="R354" s="220"/>
      <c r="S354" s="220"/>
    </row>
    <row r="355" spans="1:19" x14ac:dyDescent="0.25">
      <c r="A355" s="220"/>
      <c r="B355" s="220"/>
      <c r="C355" s="220"/>
      <c r="D355" s="220"/>
      <c r="E355" s="220"/>
      <c r="F355" s="220"/>
      <c r="G355" s="220"/>
      <c r="H355" s="220"/>
      <c r="I355" s="220"/>
      <c r="J355" s="220"/>
      <c r="K355" s="220"/>
      <c r="L355" s="220"/>
      <c r="M355" s="220"/>
      <c r="N355" s="220"/>
      <c r="O355" s="220"/>
      <c r="P355" s="220"/>
      <c r="Q355" s="220"/>
      <c r="R355" s="220"/>
      <c r="S355" s="220"/>
    </row>
    <row r="356" spans="1:19" x14ac:dyDescent="0.25">
      <c r="A356" s="220"/>
      <c r="B356" s="220"/>
      <c r="C356" s="220"/>
      <c r="D356" s="220"/>
      <c r="E356" s="220"/>
      <c r="F356" s="220"/>
      <c r="G356" s="220"/>
      <c r="H356" s="220"/>
      <c r="I356" s="220"/>
      <c r="J356" s="220"/>
      <c r="K356" s="220"/>
      <c r="L356" s="220"/>
      <c r="M356" s="220"/>
      <c r="N356" s="220"/>
      <c r="O356" s="220"/>
      <c r="P356" s="220"/>
      <c r="Q356" s="220"/>
      <c r="R356" s="220"/>
      <c r="S356" s="220"/>
    </row>
    <row r="357" spans="1:19" x14ac:dyDescent="0.25">
      <c r="A357" s="220"/>
      <c r="B357" s="220"/>
      <c r="C357" s="220"/>
      <c r="D357" s="220"/>
      <c r="E357" s="220"/>
      <c r="F357" s="220"/>
      <c r="G357" s="220"/>
      <c r="H357" s="220"/>
      <c r="I357" s="220"/>
      <c r="J357" s="220"/>
      <c r="K357" s="220"/>
      <c r="L357" s="220"/>
      <c r="M357" s="220"/>
      <c r="N357" s="220"/>
      <c r="O357" s="220"/>
      <c r="P357" s="220"/>
      <c r="Q357" s="220"/>
      <c r="R357" s="220"/>
      <c r="S357" s="220"/>
    </row>
    <row r="358" spans="1:19" x14ac:dyDescent="0.25">
      <c r="A358" s="220"/>
      <c r="B358" s="220"/>
      <c r="C358" s="220"/>
      <c r="D358" s="220"/>
      <c r="E358" s="220"/>
      <c r="F358" s="220"/>
      <c r="G358" s="220"/>
      <c r="H358" s="220"/>
      <c r="I358" s="220"/>
      <c r="J358" s="220"/>
      <c r="K358" s="220"/>
      <c r="L358" s="220"/>
      <c r="M358" s="220"/>
      <c r="N358" s="220"/>
      <c r="O358" s="220"/>
      <c r="P358" s="220"/>
      <c r="Q358" s="220"/>
      <c r="R358" s="220"/>
      <c r="S358" s="220"/>
    </row>
    <row r="359" spans="1:19" x14ac:dyDescent="0.25">
      <c r="A359" s="220"/>
      <c r="B359" s="220"/>
      <c r="C359" s="220"/>
      <c r="D359" s="220"/>
      <c r="E359" s="220"/>
      <c r="F359" s="220"/>
      <c r="G359" s="220"/>
      <c r="H359" s="220"/>
      <c r="I359" s="220"/>
      <c r="J359" s="220"/>
      <c r="K359" s="220"/>
      <c r="L359" s="220"/>
      <c r="M359" s="220"/>
      <c r="N359" s="220"/>
      <c r="O359" s="220"/>
      <c r="P359" s="220"/>
      <c r="Q359" s="220"/>
      <c r="R359" s="220"/>
      <c r="S359" s="220"/>
    </row>
    <row r="360" spans="1:19" x14ac:dyDescent="0.25">
      <c r="A360" s="220"/>
      <c r="B360" s="220"/>
      <c r="C360" s="220"/>
      <c r="D360" s="220"/>
      <c r="E360" s="220"/>
      <c r="F360" s="220"/>
      <c r="G360" s="220"/>
      <c r="H360" s="220"/>
      <c r="I360" s="220"/>
      <c r="J360" s="220"/>
      <c r="K360" s="220"/>
      <c r="L360" s="220"/>
      <c r="M360" s="220"/>
      <c r="N360" s="220"/>
      <c r="O360" s="220"/>
      <c r="P360" s="220"/>
      <c r="Q360" s="220"/>
      <c r="R360" s="220"/>
      <c r="S360" s="220"/>
    </row>
    <row r="361" spans="1:19" x14ac:dyDescent="0.25">
      <c r="A361" s="220"/>
      <c r="B361" s="220"/>
      <c r="C361" s="220"/>
      <c r="D361" s="220"/>
      <c r="E361" s="220"/>
      <c r="F361" s="220"/>
      <c r="G361" s="220"/>
      <c r="H361" s="220"/>
      <c r="I361" s="220"/>
      <c r="J361" s="220"/>
      <c r="K361" s="220"/>
      <c r="L361" s="220"/>
      <c r="M361" s="220"/>
      <c r="N361" s="220"/>
      <c r="O361" s="220"/>
      <c r="P361" s="220"/>
      <c r="Q361" s="220"/>
      <c r="R361" s="220"/>
      <c r="S361" s="220"/>
    </row>
    <row r="362" spans="1:19" x14ac:dyDescent="0.25">
      <c r="A362" s="220"/>
      <c r="B362" s="220"/>
      <c r="C362" s="220"/>
      <c r="D362" s="220"/>
      <c r="E362" s="220"/>
      <c r="F362" s="220"/>
      <c r="G362" s="220"/>
      <c r="H362" s="220"/>
      <c r="I362" s="220"/>
      <c r="J362" s="220"/>
      <c r="K362" s="220"/>
      <c r="L362" s="220"/>
      <c r="M362" s="220"/>
      <c r="N362" s="220"/>
      <c r="O362" s="220"/>
      <c r="P362" s="220"/>
      <c r="Q362" s="220"/>
      <c r="R362" s="220"/>
      <c r="S362" s="220"/>
    </row>
    <row r="363" spans="1:19" x14ac:dyDescent="0.25">
      <c r="A363" s="220"/>
      <c r="B363" s="220"/>
      <c r="C363" s="220"/>
      <c r="D363" s="220"/>
      <c r="E363" s="220"/>
      <c r="F363" s="220"/>
      <c r="G363" s="220"/>
      <c r="H363" s="220"/>
      <c r="I363" s="220"/>
      <c r="J363" s="220"/>
      <c r="K363" s="220"/>
      <c r="L363" s="220"/>
      <c r="M363" s="220"/>
      <c r="N363" s="220"/>
      <c r="O363" s="220"/>
      <c r="P363" s="220"/>
      <c r="Q363" s="220"/>
      <c r="R363" s="220"/>
      <c r="S363" s="220"/>
    </row>
    <row r="364" spans="1:19" x14ac:dyDescent="0.25">
      <c r="A364" s="220"/>
      <c r="B364" s="220"/>
      <c r="C364" s="220"/>
      <c r="D364" s="220"/>
      <c r="E364" s="220"/>
      <c r="F364" s="220"/>
      <c r="G364" s="220"/>
      <c r="H364" s="220"/>
      <c r="I364" s="220"/>
      <c r="J364" s="220"/>
      <c r="K364" s="220"/>
      <c r="L364" s="220"/>
      <c r="M364" s="220"/>
      <c r="N364" s="220"/>
      <c r="O364" s="220"/>
      <c r="P364" s="220"/>
      <c r="Q364" s="220"/>
      <c r="R364" s="220"/>
      <c r="S364" s="220"/>
    </row>
    <row r="365" spans="1:19" x14ac:dyDescent="0.25">
      <c r="A365" s="220"/>
      <c r="B365" s="220"/>
      <c r="C365" s="220"/>
      <c r="D365" s="220"/>
      <c r="E365" s="220"/>
      <c r="F365" s="220"/>
      <c r="G365" s="220"/>
      <c r="H365" s="220"/>
      <c r="I365" s="220"/>
      <c r="J365" s="220"/>
      <c r="K365" s="220"/>
      <c r="L365" s="220"/>
      <c r="M365" s="220"/>
      <c r="N365" s="220"/>
      <c r="O365" s="220"/>
      <c r="P365" s="220"/>
      <c r="Q365" s="220"/>
      <c r="R365" s="220"/>
      <c r="S365" s="220"/>
    </row>
    <row r="366" spans="1:19" x14ac:dyDescent="0.25">
      <c r="A366" s="220"/>
      <c r="B366" s="220"/>
      <c r="C366" s="220"/>
      <c r="D366" s="220"/>
      <c r="E366" s="220"/>
      <c r="F366" s="220"/>
      <c r="G366" s="220"/>
      <c r="H366" s="220"/>
      <c r="I366" s="220"/>
      <c r="J366" s="220"/>
      <c r="K366" s="220"/>
      <c r="L366" s="220"/>
      <c r="M366" s="220"/>
      <c r="N366" s="220"/>
      <c r="O366" s="220"/>
      <c r="P366" s="220"/>
      <c r="Q366" s="220"/>
      <c r="R366" s="220"/>
      <c r="S366" s="220"/>
    </row>
    <row r="367" spans="1:19" x14ac:dyDescent="0.25">
      <c r="A367" s="220"/>
      <c r="B367" s="220"/>
      <c r="C367" s="220"/>
      <c r="D367" s="220"/>
      <c r="E367" s="220"/>
      <c r="F367" s="220"/>
      <c r="G367" s="220"/>
      <c r="H367" s="220"/>
      <c r="I367" s="220"/>
      <c r="J367" s="220"/>
      <c r="K367" s="220"/>
      <c r="L367" s="220"/>
      <c r="M367" s="220"/>
      <c r="N367" s="220"/>
      <c r="O367" s="220"/>
      <c r="P367" s="220"/>
      <c r="Q367" s="220"/>
      <c r="R367" s="220"/>
      <c r="S367" s="220"/>
    </row>
    <row r="368" spans="1:19" x14ac:dyDescent="0.25">
      <c r="A368" s="220"/>
      <c r="B368" s="220"/>
      <c r="C368" s="220"/>
      <c r="D368" s="220"/>
      <c r="E368" s="220"/>
      <c r="F368" s="220"/>
      <c r="G368" s="220"/>
      <c r="H368" s="220"/>
      <c r="I368" s="220"/>
      <c r="J368" s="220"/>
      <c r="K368" s="220"/>
      <c r="L368" s="220"/>
      <c r="M368" s="220"/>
      <c r="N368" s="220"/>
      <c r="O368" s="220"/>
      <c r="P368" s="220"/>
      <c r="Q368" s="220"/>
      <c r="R368" s="220"/>
      <c r="S368" s="220"/>
    </row>
    <row r="369" spans="1:19" x14ac:dyDescent="0.25">
      <c r="A369" s="220"/>
      <c r="B369" s="220"/>
      <c r="C369" s="220"/>
      <c r="D369" s="220"/>
      <c r="E369" s="220"/>
      <c r="F369" s="220"/>
      <c r="G369" s="220"/>
      <c r="H369" s="220"/>
      <c r="I369" s="220"/>
      <c r="J369" s="220"/>
      <c r="K369" s="220"/>
      <c r="L369" s="220"/>
      <c r="M369" s="220"/>
      <c r="N369" s="220"/>
      <c r="O369" s="220"/>
      <c r="P369" s="220"/>
      <c r="Q369" s="220"/>
      <c r="R369" s="220"/>
      <c r="S369" s="220"/>
    </row>
    <row r="370" spans="1:19" x14ac:dyDescent="0.25">
      <c r="A370" s="220"/>
      <c r="B370" s="220"/>
      <c r="C370" s="220"/>
      <c r="D370" s="220"/>
      <c r="E370" s="220"/>
      <c r="F370" s="220"/>
      <c r="G370" s="220"/>
      <c r="H370" s="220"/>
      <c r="I370" s="220"/>
      <c r="J370" s="220"/>
      <c r="K370" s="220"/>
      <c r="L370" s="220"/>
      <c r="M370" s="220"/>
      <c r="N370" s="220"/>
      <c r="O370" s="220"/>
      <c r="P370" s="220"/>
      <c r="Q370" s="220"/>
      <c r="R370" s="220"/>
      <c r="S370" s="220"/>
    </row>
    <row r="371" spans="1:19" x14ac:dyDescent="0.25">
      <c r="A371" s="220"/>
      <c r="B371" s="220"/>
      <c r="C371" s="220"/>
      <c r="D371" s="220"/>
      <c r="E371" s="220"/>
      <c r="F371" s="220"/>
      <c r="G371" s="220"/>
      <c r="H371" s="220"/>
      <c r="I371" s="220"/>
      <c r="J371" s="220"/>
      <c r="K371" s="220"/>
      <c r="L371" s="220"/>
      <c r="M371" s="220"/>
      <c r="N371" s="220"/>
      <c r="O371" s="220"/>
      <c r="P371" s="220"/>
      <c r="Q371" s="220"/>
      <c r="R371" s="220"/>
      <c r="S371" s="220"/>
    </row>
    <row r="372" spans="1:19" x14ac:dyDescent="0.25">
      <c r="A372" s="220"/>
      <c r="B372" s="220"/>
      <c r="C372" s="220"/>
      <c r="D372" s="220"/>
      <c r="E372" s="220"/>
      <c r="F372" s="220"/>
      <c r="G372" s="220"/>
      <c r="H372" s="220"/>
      <c r="I372" s="220"/>
      <c r="J372" s="220"/>
      <c r="K372" s="220"/>
      <c r="L372" s="220"/>
      <c r="M372" s="220"/>
      <c r="N372" s="220"/>
      <c r="O372" s="220"/>
      <c r="P372" s="220"/>
      <c r="Q372" s="220"/>
      <c r="R372" s="220"/>
      <c r="S372" s="220"/>
    </row>
    <row r="373" spans="1:19" x14ac:dyDescent="0.25">
      <c r="A373" s="220"/>
      <c r="B373" s="220"/>
      <c r="C373" s="220"/>
      <c r="D373" s="220"/>
      <c r="E373" s="220"/>
      <c r="F373" s="220"/>
      <c r="G373" s="220"/>
      <c r="H373" s="220"/>
      <c r="I373" s="220"/>
      <c r="J373" s="220"/>
      <c r="K373" s="220"/>
      <c r="L373" s="220"/>
      <c r="M373" s="220"/>
      <c r="N373" s="220"/>
      <c r="O373" s="220"/>
      <c r="P373" s="220"/>
      <c r="Q373" s="220"/>
      <c r="R373" s="220"/>
      <c r="S373" s="220"/>
    </row>
    <row r="374" spans="1:19" x14ac:dyDescent="0.25">
      <c r="A374" s="220"/>
      <c r="B374" s="220"/>
      <c r="C374" s="220"/>
      <c r="D374" s="220"/>
      <c r="E374" s="220"/>
      <c r="F374" s="220"/>
      <c r="G374" s="220"/>
      <c r="H374" s="220"/>
      <c r="I374" s="220"/>
      <c r="J374" s="220"/>
      <c r="K374" s="220"/>
      <c r="L374" s="220"/>
      <c r="M374" s="220"/>
      <c r="N374" s="220"/>
      <c r="O374" s="220"/>
      <c r="P374" s="220"/>
      <c r="Q374" s="220"/>
      <c r="R374" s="220"/>
      <c r="S374" s="220"/>
    </row>
    <row r="375" spans="1:19" x14ac:dyDescent="0.25">
      <c r="A375" s="220"/>
      <c r="B375" s="220"/>
      <c r="C375" s="220"/>
      <c r="D375" s="220"/>
      <c r="E375" s="220"/>
      <c r="F375" s="220"/>
      <c r="G375" s="220"/>
      <c r="H375" s="220"/>
      <c r="I375" s="220"/>
      <c r="J375" s="220"/>
      <c r="K375" s="220"/>
      <c r="L375" s="220"/>
      <c r="M375" s="220"/>
      <c r="N375" s="220"/>
      <c r="O375" s="220"/>
      <c r="P375" s="220"/>
      <c r="Q375" s="220"/>
      <c r="R375" s="220"/>
      <c r="S375" s="220"/>
    </row>
    <row r="376" spans="1:19" x14ac:dyDescent="0.25">
      <c r="A376" s="220"/>
      <c r="B376" s="220"/>
      <c r="C376" s="220"/>
      <c r="D376" s="220"/>
      <c r="E376" s="220"/>
      <c r="F376" s="220"/>
      <c r="G376" s="220"/>
      <c r="H376" s="220"/>
      <c r="I376" s="220"/>
      <c r="J376" s="220"/>
      <c r="K376" s="220"/>
      <c r="L376" s="220"/>
      <c r="M376" s="220"/>
      <c r="N376" s="220"/>
      <c r="O376" s="220"/>
      <c r="P376" s="220"/>
      <c r="Q376" s="220"/>
      <c r="R376" s="220"/>
      <c r="S376" s="220"/>
    </row>
    <row r="377" spans="1:19" x14ac:dyDescent="0.25">
      <c r="A377" s="220"/>
      <c r="B377" s="220"/>
      <c r="C377" s="220"/>
      <c r="D377" s="220"/>
      <c r="E377" s="220"/>
      <c r="F377" s="220"/>
      <c r="G377" s="220"/>
      <c r="H377" s="220"/>
      <c r="I377" s="220"/>
      <c r="J377" s="220"/>
      <c r="K377" s="220"/>
      <c r="L377" s="220"/>
      <c r="M377" s="220"/>
      <c r="N377" s="220"/>
      <c r="O377" s="220"/>
      <c r="P377" s="220"/>
      <c r="Q377" s="220"/>
      <c r="R377" s="220"/>
      <c r="S377" s="220"/>
    </row>
    <row r="378" spans="1:19" x14ac:dyDescent="0.25">
      <c r="A378" s="220"/>
      <c r="B378" s="220"/>
      <c r="C378" s="220"/>
      <c r="D378" s="220"/>
      <c r="E378" s="220"/>
      <c r="F378" s="220"/>
      <c r="G378" s="220"/>
      <c r="H378" s="220"/>
      <c r="I378" s="220"/>
      <c r="J378" s="220"/>
      <c r="K378" s="220"/>
      <c r="L378" s="220"/>
      <c r="M378" s="220"/>
      <c r="N378" s="220"/>
      <c r="O378" s="220"/>
      <c r="P378" s="220"/>
      <c r="Q378" s="220"/>
      <c r="R378" s="220"/>
      <c r="S378" s="220"/>
    </row>
    <row r="379" spans="1:19" x14ac:dyDescent="0.25">
      <c r="A379" s="220"/>
      <c r="B379" s="220"/>
      <c r="C379" s="220"/>
      <c r="D379" s="220"/>
      <c r="E379" s="220"/>
      <c r="F379" s="220"/>
      <c r="G379" s="220"/>
      <c r="H379" s="220"/>
      <c r="I379" s="220"/>
      <c r="J379" s="220"/>
      <c r="K379" s="220"/>
      <c r="L379" s="220"/>
      <c r="M379" s="220"/>
      <c r="N379" s="220"/>
      <c r="O379" s="220"/>
      <c r="P379" s="220"/>
      <c r="Q379" s="220"/>
      <c r="R379" s="220"/>
      <c r="S379" s="220"/>
    </row>
    <row r="380" spans="1:19" x14ac:dyDescent="0.25">
      <c r="A380" s="220"/>
      <c r="B380" s="220"/>
      <c r="C380" s="220"/>
      <c r="D380" s="220"/>
      <c r="E380" s="220"/>
      <c r="F380" s="220"/>
      <c r="G380" s="220"/>
      <c r="H380" s="220"/>
      <c r="I380" s="220"/>
      <c r="J380" s="220"/>
      <c r="K380" s="220"/>
      <c r="L380" s="220"/>
      <c r="M380" s="220"/>
      <c r="N380" s="220"/>
      <c r="O380" s="220"/>
      <c r="P380" s="220"/>
      <c r="Q380" s="220"/>
      <c r="R380" s="220"/>
      <c r="S380" s="220"/>
    </row>
    <row r="381" spans="1:19" x14ac:dyDescent="0.25">
      <c r="A381" s="220"/>
      <c r="B381" s="220"/>
      <c r="C381" s="220"/>
      <c r="D381" s="220"/>
      <c r="E381" s="220"/>
      <c r="F381" s="220"/>
      <c r="G381" s="220"/>
      <c r="H381" s="220"/>
      <c r="I381" s="220"/>
      <c r="J381" s="220"/>
      <c r="K381" s="220"/>
      <c r="L381" s="220"/>
      <c r="M381" s="220"/>
      <c r="N381" s="220"/>
      <c r="O381" s="220"/>
      <c r="P381" s="220"/>
      <c r="Q381" s="220"/>
      <c r="R381" s="220"/>
      <c r="S381" s="220"/>
    </row>
    <row r="382" spans="1:19" x14ac:dyDescent="0.25">
      <c r="A382" s="220"/>
      <c r="B382" s="220"/>
      <c r="C382" s="220"/>
      <c r="D382" s="220"/>
      <c r="E382" s="220"/>
      <c r="F382" s="220"/>
      <c r="G382" s="220"/>
      <c r="H382" s="220"/>
      <c r="I382" s="220"/>
      <c r="J382" s="220"/>
      <c r="K382" s="220"/>
      <c r="L382" s="220"/>
      <c r="M382" s="220"/>
      <c r="N382" s="220"/>
      <c r="O382" s="220"/>
      <c r="P382" s="220"/>
      <c r="Q382" s="220"/>
      <c r="R382" s="220"/>
      <c r="S382" s="220"/>
    </row>
    <row r="383" spans="1:19" x14ac:dyDescent="0.25">
      <c r="A383" s="220"/>
      <c r="B383" s="220"/>
      <c r="C383" s="220"/>
      <c r="D383" s="220"/>
      <c r="E383" s="220"/>
      <c r="F383" s="220"/>
      <c r="G383" s="220"/>
      <c r="H383" s="220"/>
      <c r="I383" s="220"/>
      <c r="J383" s="220"/>
      <c r="K383" s="220"/>
      <c r="L383" s="220"/>
      <c r="M383" s="220"/>
      <c r="N383" s="220"/>
      <c r="O383" s="220"/>
      <c r="P383" s="220"/>
      <c r="Q383" s="220"/>
      <c r="R383" s="220"/>
      <c r="S383" s="220"/>
    </row>
    <row r="384" spans="1:19" x14ac:dyDescent="0.25">
      <c r="A384" s="220"/>
      <c r="B384" s="220"/>
      <c r="C384" s="220"/>
      <c r="D384" s="220"/>
      <c r="E384" s="220"/>
      <c r="F384" s="220"/>
      <c r="G384" s="220"/>
      <c r="H384" s="220"/>
      <c r="I384" s="220"/>
      <c r="J384" s="220"/>
      <c r="K384" s="220"/>
      <c r="L384" s="220"/>
      <c r="M384" s="220"/>
      <c r="N384" s="220"/>
      <c r="O384" s="220"/>
      <c r="P384" s="220"/>
      <c r="Q384" s="220"/>
      <c r="R384" s="220"/>
      <c r="S384" s="220"/>
    </row>
    <row r="385" spans="1:19" x14ac:dyDescent="0.25">
      <c r="A385" s="220"/>
      <c r="B385" s="220"/>
      <c r="C385" s="220"/>
      <c r="D385" s="220"/>
      <c r="E385" s="220"/>
      <c r="F385" s="220"/>
      <c r="G385" s="220"/>
      <c r="H385" s="220"/>
      <c r="I385" s="220"/>
      <c r="J385" s="220"/>
      <c r="K385" s="220"/>
      <c r="L385" s="220"/>
      <c r="M385" s="220"/>
      <c r="N385" s="220"/>
      <c r="O385" s="220"/>
      <c r="P385" s="220"/>
      <c r="Q385" s="220"/>
      <c r="R385" s="220"/>
      <c r="S385" s="220"/>
    </row>
    <row r="386" spans="1:19" x14ac:dyDescent="0.25">
      <c r="A386" s="220"/>
      <c r="B386" s="220"/>
      <c r="C386" s="220"/>
      <c r="D386" s="220"/>
      <c r="E386" s="220"/>
      <c r="F386" s="220"/>
      <c r="G386" s="220"/>
      <c r="H386" s="220"/>
      <c r="I386" s="220"/>
      <c r="J386" s="220"/>
      <c r="K386" s="220"/>
      <c r="L386" s="220"/>
      <c r="M386" s="220"/>
      <c r="N386" s="220"/>
      <c r="O386" s="220"/>
      <c r="P386" s="220"/>
      <c r="Q386" s="220"/>
      <c r="R386" s="220"/>
      <c r="S386" s="220"/>
    </row>
    <row r="387" spans="1:19" x14ac:dyDescent="0.25">
      <c r="A387" s="220"/>
      <c r="B387" s="220"/>
      <c r="C387" s="220"/>
      <c r="D387" s="220"/>
      <c r="E387" s="220"/>
      <c r="F387" s="220"/>
      <c r="G387" s="220"/>
      <c r="H387" s="220"/>
      <c r="I387" s="220"/>
      <c r="J387" s="220"/>
      <c r="K387" s="220"/>
      <c r="L387" s="220"/>
      <c r="M387" s="220"/>
      <c r="N387" s="220"/>
      <c r="O387" s="220"/>
      <c r="P387" s="220"/>
      <c r="Q387" s="220"/>
      <c r="R387" s="220"/>
      <c r="S387" s="220"/>
    </row>
    <row r="388" spans="1:19" x14ac:dyDescent="0.25">
      <c r="A388" s="220"/>
      <c r="B388" s="220"/>
      <c r="C388" s="220"/>
      <c r="D388" s="220"/>
      <c r="E388" s="220"/>
      <c r="F388" s="220"/>
      <c r="G388" s="220"/>
      <c r="H388" s="220"/>
      <c r="I388" s="220"/>
      <c r="J388" s="220"/>
      <c r="K388" s="220"/>
      <c r="L388" s="220"/>
      <c r="M388" s="220"/>
      <c r="N388" s="220"/>
      <c r="O388" s="220"/>
      <c r="P388" s="220"/>
      <c r="Q388" s="220"/>
      <c r="R388" s="220"/>
      <c r="S388" s="220"/>
    </row>
    <row r="389" spans="1:19" x14ac:dyDescent="0.25">
      <c r="A389" s="220"/>
      <c r="B389" s="220"/>
      <c r="C389" s="220"/>
      <c r="D389" s="220"/>
      <c r="E389" s="220"/>
      <c r="F389" s="220"/>
      <c r="G389" s="220"/>
      <c r="H389" s="220"/>
      <c r="I389" s="220"/>
      <c r="J389" s="220"/>
      <c r="K389" s="220"/>
      <c r="L389" s="220"/>
      <c r="M389" s="220"/>
      <c r="N389" s="220"/>
      <c r="O389" s="220"/>
      <c r="P389" s="220"/>
      <c r="Q389" s="220"/>
      <c r="R389" s="220"/>
      <c r="S389" s="220"/>
    </row>
    <row r="390" spans="1:19" x14ac:dyDescent="0.25">
      <c r="A390" s="220"/>
      <c r="B390" s="220"/>
      <c r="C390" s="220"/>
      <c r="D390" s="220"/>
      <c r="E390" s="220"/>
      <c r="F390" s="220"/>
      <c r="G390" s="220"/>
      <c r="H390" s="220"/>
      <c r="I390" s="220"/>
      <c r="J390" s="220"/>
      <c r="K390" s="220"/>
      <c r="L390" s="220"/>
      <c r="M390" s="220"/>
      <c r="N390" s="220"/>
      <c r="O390" s="220"/>
      <c r="P390" s="220"/>
      <c r="Q390" s="220"/>
      <c r="R390" s="220"/>
      <c r="S390" s="220"/>
    </row>
    <row r="391" spans="1:19" x14ac:dyDescent="0.25">
      <c r="A391" s="220"/>
      <c r="B391" s="220"/>
      <c r="C391" s="220"/>
      <c r="D391" s="220"/>
      <c r="E391" s="220"/>
      <c r="F391" s="220"/>
      <c r="G391" s="220"/>
      <c r="H391" s="220"/>
      <c r="I391" s="220"/>
      <c r="J391" s="220"/>
      <c r="K391" s="220"/>
      <c r="L391" s="220"/>
      <c r="M391" s="220"/>
      <c r="N391" s="220"/>
      <c r="O391" s="220"/>
      <c r="P391" s="220"/>
      <c r="Q391" s="220"/>
      <c r="R391" s="220"/>
      <c r="S391" s="220"/>
    </row>
    <row r="392" spans="1:19" x14ac:dyDescent="0.25">
      <c r="A392" s="220"/>
      <c r="B392" s="220"/>
      <c r="C392" s="220"/>
      <c r="D392" s="220"/>
      <c r="E392" s="220"/>
      <c r="F392" s="220"/>
      <c r="G392" s="220"/>
      <c r="H392" s="220"/>
      <c r="I392" s="220"/>
      <c r="J392" s="220"/>
      <c r="K392" s="220"/>
      <c r="L392" s="220"/>
      <c r="M392" s="220"/>
      <c r="N392" s="220"/>
      <c r="O392" s="220"/>
      <c r="P392" s="220"/>
      <c r="Q392" s="220"/>
      <c r="R392" s="220"/>
      <c r="S392" s="220"/>
    </row>
    <row r="393" spans="1:19" x14ac:dyDescent="0.25">
      <c r="A393" s="220"/>
      <c r="B393" s="220"/>
      <c r="C393" s="220"/>
      <c r="D393" s="220"/>
      <c r="E393" s="220"/>
      <c r="F393" s="220"/>
      <c r="G393" s="220"/>
      <c r="H393" s="220"/>
      <c r="I393" s="220"/>
      <c r="J393" s="220"/>
      <c r="K393" s="220"/>
      <c r="L393" s="220"/>
      <c r="M393" s="220"/>
      <c r="N393" s="220"/>
      <c r="O393" s="220"/>
      <c r="P393" s="220"/>
      <c r="Q393" s="220"/>
      <c r="R393" s="220"/>
      <c r="S393" s="220"/>
    </row>
    <row r="394" spans="1:19" x14ac:dyDescent="0.25">
      <c r="A394" s="220"/>
      <c r="B394" s="220"/>
      <c r="C394" s="220"/>
      <c r="D394" s="220"/>
      <c r="E394" s="220"/>
      <c r="F394" s="220"/>
      <c r="G394" s="220"/>
      <c r="H394" s="220"/>
      <c r="I394" s="220"/>
      <c r="J394" s="220"/>
      <c r="K394" s="220"/>
      <c r="L394" s="220"/>
      <c r="M394" s="220"/>
      <c r="N394" s="220"/>
      <c r="O394" s="220"/>
      <c r="P394" s="220"/>
      <c r="Q394" s="220"/>
      <c r="R394" s="220"/>
      <c r="S394" s="220"/>
    </row>
    <row r="395" spans="1:19" x14ac:dyDescent="0.25">
      <c r="A395" s="220"/>
      <c r="B395" s="220"/>
      <c r="C395" s="220"/>
      <c r="D395" s="220"/>
      <c r="E395" s="220"/>
      <c r="F395" s="220"/>
      <c r="G395" s="220"/>
      <c r="H395" s="220"/>
      <c r="I395" s="220"/>
      <c r="J395" s="220"/>
      <c r="K395" s="220"/>
      <c r="L395" s="220"/>
      <c r="M395" s="220"/>
      <c r="N395" s="220"/>
      <c r="O395" s="220"/>
      <c r="P395" s="220"/>
      <c r="Q395" s="220"/>
      <c r="R395" s="220"/>
      <c r="S395" s="220"/>
    </row>
    <row r="396" spans="1:19" x14ac:dyDescent="0.25">
      <c r="A396" s="220"/>
      <c r="B396" s="220"/>
      <c r="C396" s="220"/>
      <c r="D396" s="220"/>
      <c r="E396" s="220"/>
      <c r="F396" s="220"/>
      <c r="G396" s="220"/>
      <c r="H396" s="220"/>
      <c r="I396" s="220"/>
      <c r="J396" s="220"/>
      <c r="K396" s="220"/>
      <c r="L396" s="220"/>
      <c r="M396" s="220"/>
      <c r="N396" s="220"/>
      <c r="O396" s="220"/>
      <c r="P396" s="220"/>
      <c r="Q396" s="220"/>
      <c r="R396" s="220"/>
      <c r="S396" s="220"/>
    </row>
    <row r="397" spans="1:19" x14ac:dyDescent="0.25">
      <c r="A397" s="220"/>
      <c r="B397" s="220"/>
      <c r="C397" s="220"/>
      <c r="D397" s="220"/>
      <c r="E397" s="220"/>
      <c r="F397" s="220"/>
      <c r="G397" s="220"/>
      <c r="H397" s="220"/>
      <c r="I397" s="220"/>
      <c r="J397" s="220"/>
      <c r="K397" s="220"/>
      <c r="L397" s="220"/>
      <c r="M397" s="220"/>
      <c r="N397" s="220"/>
      <c r="O397" s="220"/>
      <c r="P397" s="220"/>
      <c r="Q397" s="220"/>
      <c r="R397" s="220"/>
      <c r="S397" s="220"/>
    </row>
    <row r="398" spans="1:19" x14ac:dyDescent="0.25">
      <c r="A398" s="220"/>
      <c r="B398" s="220"/>
      <c r="C398" s="220"/>
      <c r="D398" s="220"/>
      <c r="E398" s="220"/>
      <c r="F398" s="220"/>
      <c r="G398" s="220"/>
      <c r="H398" s="220"/>
      <c r="I398" s="220"/>
      <c r="J398" s="220"/>
      <c r="K398" s="220"/>
      <c r="L398" s="220"/>
      <c r="M398" s="220"/>
      <c r="N398" s="220"/>
      <c r="O398" s="220"/>
      <c r="P398" s="220"/>
      <c r="Q398" s="220"/>
      <c r="R398" s="220"/>
      <c r="S398" s="220"/>
    </row>
    <row r="399" spans="1:19" x14ac:dyDescent="0.25">
      <c r="A399" s="220"/>
      <c r="B399" s="220"/>
      <c r="C399" s="220"/>
      <c r="D399" s="220"/>
      <c r="E399" s="220"/>
      <c r="F399" s="220"/>
      <c r="G399" s="220"/>
      <c r="H399" s="220"/>
      <c r="I399" s="220"/>
      <c r="J399" s="220"/>
      <c r="K399" s="220"/>
      <c r="L399" s="220"/>
      <c r="M399" s="220"/>
      <c r="N399" s="220"/>
      <c r="O399" s="220"/>
      <c r="P399" s="220"/>
      <c r="Q399" s="220"/>
      <c r="R399" s="220"/>
      <c r="S399" s="220"/>
    </row>
    <row r="400" spans="1:19" x14ac:dyDescent="0.25">
      <c r="A400" s="220"/>
      <c r="B400" s="220"/>
      <c r="C400" s="220"/>
      <c r="D400" s="220"/>
      <c r="E400" s="220"/>
      <c r="F400" s="220"/>
      <c r="G400" s="220"/>
      <c r="H400" s="220"/>
      <c r="I400" s="220"/>
      <c r="J400" s="220"/>
      <c r="K400" s="220"/>
      <c r="L400" s="220"/>
      <c r="M400" s="220"/>
      <c r="N400" s="220"/>
      <c r="O400" s="220"/>
      <c r="P400" s="220"/>
      <c r="Q400" s="220"/>
      <c r="R400" s="220"/>
      <c r="S400" s="220"/>
    </row>
    <row r="401" spans="1:19" x14ac:dyDescent="0.25">
      <c r="A401" s="220"/>
      <c r="B401" s="220"/>
      <c r="C401" s="220"/>
      <c r="D401" s="220"/>
      <c r="E401" s="220"/>
      <c r="F401" s="220"/>
      <c r="G401" s="220"/>
      <c r="H401" s="220"/>
      <c r="I401" s="220"/>
      <c r="J401" s="220"/>
      <c r="K401" s="220"/>
      <c r="L401" s="220"/>
      <c r="M401" s="220"/>
      <c r="N401" s="220"/>
      <c r="O401" s="220"/>
      <c r="P401" s="220"/>
      <c r="Q401" s="220"/>
      <c r="R401" s="220"/>
      <c r="S401" s="220"/>
    </row>
    <row r="402" spans="1:19" x14ac:dyDescent="0.25">
      <c r="A402" s="220"/>
      <c r="B402" s="220"/>
      <c r="C402" s="220"/>
      <c r="D402" s="220"/>
      <c r="E402" s="220"/>
      <c r="F402" s="220"/>
      <c r="G402" s="220"/>
      <c r="H402" s="220"/>
      <c r="I402" s="220"/>
      <c r="J402" s="220"/>
      <c r="K402" s="220"/>
      <c r="L402" s="220"/>
      <c r="M402" s="220"/>
      <c r="N402" s="220"/>
      <c r="O402" s="220"/>
      <c r="P402" s="220"/>
      <c r="Q402" s="220"/>
      <c r="R402" s="220"/>
      <c r="S402" s="220"/>
    </row>
    <row r="403" spans="1:19" x14ac:dyDescent="0.25">
      <c r="A403" s="220"/>
      <c r="B403" s="220"/>
      <c r="C403" s="220"/>
      <c r="D403" s="220"/>
      <c r="E403" s="220"/>
      <c r="F403" s="220"/>
      <c r="G403" s="220"/>
      <c r="H403" s="220"/>
      <c r="I403" s="220"/>
      <c r="J403" s="220"/>
      <c r="K403" s="220"/>
      <c r="L403" s="220"/>
      <c r="M403" s="220"/>
      <c r="N403" s="220"/>
      <c r="O403" s="220"/>
      <c r="P403" s="220"/>
      <c r="Q403" s="220"/>
      <c r="R403" s="220"/>
      <c r="S403" s="220"/>
    </row>
    <row r="404" spans="1:19" x14ac:dyDescent="0.25">
      <c r="A404" s="220"/>
      <c r="B404" s="220"/>
      <c r="C404" s="220"/>
      <c r="D404" s="220"/>
      <c r="E404" s="220"/>
      <c r="F404" s="220"/>
      <c r="G404" s="220"/>
      <c r="H404" s="220"/>
      <c r="I404" s="220"/>
      <c r="J404" s="220"/>
      <c r="K404" s="220"/>
      <c r="L404" s="220"/>
      <c r="M404" s="220"/>
      <c r="N404" s="220"/>
      <c r="O404" s="220"/>
      <c r="P404" s="220"/>
      <c r="Q404" s="220"/>
      <c r="R404" s="220"/>
      <c r="S404" s="220"/>
    </row>
    <row r="405" spans="1:19" x14ac:dyDescent="0.25">
      <c r="A405" s="220"/>
      <c r="B405" s="220"/>
      <c r="C405" s="220"/>
      <c r="D405" s="220"/>
      <c r="E405" s="220"/>
      <c r="F405" s="220"/>
      <c r="G405" s="220"/>
      <c r="H405" s="220"/>
      <c r="I405" s="220"/>
      <c r="J405" s="220"/>
      <c r="K405" s="220"/>
      <c r="L405" s="220"/>
      <c r="M405" s="220"/>
      <c r="N405" s="220"/>
      <c r="O405" s="220"/>
      <c r="P405" s="220"/>
      <c r="Q405" s="220"/>
      <c r="R405" s="220"/>
      <c r="S405" s="220"/>
    </row>
    <row r="406" spans="1:19" x14ac:dyDescent="0.25">
      <c r="A406" s="220"/>
      <c r="B406" s="220"/>
      <c r="C406" s="220"/>
      <c r="D406" s="220"/>
      <c r="E406" s="220"/>
      <c r="F406" s="220"/>
      <c r="G406" s="220"/>
      <c r="H406" s="220"/>
      <c r="I406" s="220"/>
      <c r="J406" s="220"/>
      <c r="K406" s="220"/>
      <c r="L406" s="220"/>
      <c r="M406" s="220"/>
      <c r="N406" s="220"/>
      <c r="O406" s="220"/>
      <c r="P406" s="220"/>
      <c r="Q406" s="220"/>
      <c r="R406" s="220"/>
      <c r="S406" s="220"/>
    </row>
    <row r="407" spans="1:19" x14ac:dyDescent="0.25">
      <c r="A407" s="220"/>
      <c r="B407" s="220"/>
      <c r="C407" s="220"/>
      <c r="D407" s="220"/>
      <c r="E407" s="220"/>
      <c r="F407" s="220"/>
      <c r="G407" s="220"/>
      <c r="H407" s="220"/>
      <c r="I407" s="220"/>
      <c r="J407" s="220"/>
      <c r="K407" s="220"/>
      <c r="L407" s="220"/>
      <c r="M407" s="220"/>
      <c r="N407" s="220"/>
      <c r="O407" s="220"/>
      <c r="P407" s="220"/>
      <c r="Q407" s="220"/>
      <c r="R407" s="220"/>
      <c r="S407" s="220"/>
    </row>
    <row r="408" spans="1:19" x14ac:dyDescent="0.25">
      <c r="A408" s="220"/>
      <c r="B408" s="220"/>
      <c r="C408" s="220"/>
      <c r="D408" s="220"/>
      <c r="E408" s="220"/>
      <c r="F408" s="220"/>
      <c r="G408" s="220"/>
      <c r="H408" s="220"/>
      <c r="I408" s="220"/>
      <c r="J408" s="220"/>
      <c r="K408" s="220"/>
      <c r="L408" s="220"/>
      <c r="M408" s="220"/>
      <c r="N408" s="220"/>
      <c r="O408" s="220"/>
      <c r="P408" s="220"/>
      <c r="Q408" s="220"/>
      <c r="R408" s="220"/>
      <c r="S408" s="220"/>
    </row>
    <row r="409" spans="1:19" x14ac:dyDescent="0.25">
      <c r="A409" s="220"/>
      <c r="B409" s="220"/>
      <c r="C409" s="220"/>
      <c r="D409" s="220"/>
      <c r="E409" s="220"/>
      <c r="F409" s="220"/>
      <c r="G409" s="220"/>
      <c r="H409" s="220"/>
      <c r="I409" s="220"/>
      <c r="J409" s="220"/>
      <c r="K409" s="220"/>
      <c r="L409" s="220"/>
      <c r="M409" s="220"/>
      <c r="N409" s="220"/>
      <c r="O409" s="220"/>
      <c r="P409" s="220"/>
      <c r="Q409" s="220"/>
      <c r="R409" s="220"/>
      <c r="S409" s="220"/>
    </row>
    <row r="410" spans="1:19" x14ac:dyDescent="0.25">
      <c r="A410" s="220"/>
      <c r="B410" s="220"/>
      <c r="C410" s="220"/>
      <c r="D410" s="220"/>
      <c r="E410" s="220"/>
      <c r="F410" s="220"/>
      <c r="G410" s="220"/>
      <c r="H410" s="220"/>
      <c r="I410" s="220"/>
      <c r="J410" s="220"/>
      <c r="K410" s="220"/>
      <c r="L410" s="220"/>
      <c r="M410" s="220"/>
      <c r="N410" s="220"/>
      <c r="O410" s="220"/>
      <c r="P410" s="220"/>
      <c r="Q410" s="220"/>
      <c r="R410" s="220"/>
      <c r="S410" s="220"/>
    </row>
    <row r="411" spans="1:19" x14ac:dyDescent="0.25">
      <c r="A411" s="220"/>
      <c r="B411" s="220"/>
      <c r="C411" s="220"/>
      <c r="D411" s="220"/>
      <c r="E411" s="220"/>
      <c r="F411" s="220"/>
      <c r="G411" s="220"/>
      <c r="H411" s="220"/>
      <c r="I411" s="220"/>
      <c r="J411" s="220"/>
      <c r="K411" s="220"/>
      <c r="L411" s="220"/>
      <c r="M411" s="220"/>
      <c r="N411" s="220"/>
      <c r="O411" s="220"/>
      <c r="P411" s="220"/>
      <c r="Q411" s="220"/>
      <c r="R411" s="220"/>
      <c r="S411" s="220"/>
    </row>
    <row r="412" spans="1:19" x14ac:dyDescent="0.25">
      <c r="A412" s="220"/>
      <c r="B412" s="220"/>
      <c r="C412" s="220"/>
      <c r="D412" s="220"/>
      <c r="E412" s="220"/>
      <c r="F412" s="220"/>
      <c r="G412" s="220"/>
      <c r="H412" s="220"/>
      <c r="I412" s="220"/>
      <c r="J412" s="220"/>
      <c r="K412" s="220"/>
      <c r="L412" s="220"/>
      <c r="M412" s="220"/>
      <c r="N412" s="220"/>
      <c r="O412" s="220"/>
      <c r="P412" s="220"/>
      <c r="Q412" s="220"/>
      <c r="R412" s="220"/>
      <c r="S412" s="220"/>
    </row>
    <row r="413" spans="1:19" x14ac:dyDescent="0.25">
      <c r="A413" s="220"/>
      <c r="B413" s="220"/>
      <c r="C413" s="220"/>
      <c r="D413" s="220"/>
      <c r="E413" s="220"/>
      <c r="F413" s="220"/>
      <c r="G413" s="220"/>
      <c r="H413" s="220"/>
      <c r="I413" s="220"/>
      <c r="J413" s="220"/>
      <c r="K413" s="220"/>
      <c r="L413" s="220"/>
      <c r="M413" s="220"/>
      <c r="N413" s="220"/>
      <c r="O413" s="220"/>
      <c r="P413" s="220"/>
      <c r="Q413" s="220"/>
      <c r="R413" s="220"/>
      <c r="S413" s="220"/>
    </row>
    <row r="414" spans="1:19" x14ac:dyDescent="0.25">
      <c r="A414" s="220"/>
      <c r="B414" s="220"/>
      <c r="C414" s="220"/>
      <c r="D414" s="220"/>
      <c r="E414" s="220"/>
      <c r="F414" s="220"/>
      <c r="G414" s="220"/>
      <c r="H414" s="220"/>
      <c r="I414" s="220"/>
      <c r="J414" s="220"/>
      <c r="K414" s="220"/>
      <c r="L414" s="220"/>
      <c r="M414" s="220"/>
      <c r="N414" s="220"/>
      <c r="O414" s="220"/>
      <c r="P414" s="220"/>
      <c r="Q414" s="220"/>
      <c r="R414" s="220"/>
      <c r="S414" s="220"/>
    </row>
    <row r="415" spans="1:19" x14ac:dyDescent="0.25">
      <c r="A415" s="220"/>
      <c r="B415" s="220"/>
      <c r="C415" s="220"/>
      <c r="D415" s="220"/>
      <c r="E415" s="220"/>
      <c r="F415" s="220"/>
      <c r="G415" s="220"/>
      <c r="H415" s="220"/>
      <c r="I415" s="220"/>
      <c r="J415" s="220"/>
      <c r="K415" s="220"/>
      <c r="L415" s="220"/>
      <c r="M415" s="220"/>
      <c r="N415" s="220"/>
      <c r="O415" s="220"/>
      <c r="P415" s="220"/>
      <c r="Q415" s="220"/>
      <c r="R415" s="220"/>
      <c r="S415" s="220"/>
    </row>
    <row r="416" spans="1:19" x14ac:dyDescent="0.25">
      <c r="A416" s="220"/>
      <c r="B416" s="220"/>
      <c r="C416" s="220"/>
      <c r="D416" s="220"/>
      <c r="E416" s="220"/>
      <c r="F416" s="220"/>
      <c r="G416" s="220"/>
      <c r="H416" s="220"/>
      <c r="I416" s="220"/>
      <c r="J416" s="220"/>
      <c r="K416" s="220"/>
      <c r="L416" s="220"/>
      <c r="M416" s="220"/>
      <c r="N416" s="220"/>
      <c r="O416" s="220"/>
      <c r="P416" s="220"/>
      <c r="Q416" s="220"/>
      <c r="R416" s="220"/>
      <c r="S416" s="220"/>
    </row>
    <row r="417" spans="1:19" x14ac:dyDescent="0.25">
      <c r="A417" s="220"/>
      <c r="B417" s="220"/>
      <c r="C417" s="220"/>
      <c r="D417" s="220"/>
      <c r="E417" s="220"/>
      <c r="F417" s="220"/>
      <c r="G417" s="220"/>
      <c r="H417" s="220"/>
      <c r="I417" s="220"/>
      <c r="J417" s="220"/>
      <c r="K417" s="220"/>
      <c r="L417" s="220"/>
      <c r="M417" s="220"/>
      <c r="N417" s="220"/>
      <c r="O417" s="220"/>
      <c r="P417" s="220"/>
      <c r="Q417" s="220"/>
      <c r="R417" s="220"/>
      <c r="S417" s="220"/>
    </row>
    <row r="418" spans="1:19" x14ac:dyDescent="0.25">
      <c r="A418" s="220"/>
      <c r="B418" s="220"/>
      <c r="C418" s="220"/>
      <c r="D418" s="220"/>
      <c r="E418" s="220"/>
      <c r="F418" s="220"/>
      <c r="G418" s="220"/>
      <c r="H418" s="220"/>
      <c r="I418" s="220"/>
      <c r="J418" s="220"/>
      <c r="K418" s="220"/>
      <c r="L418" s="220"/>
      <c r="M418" s="220"/>
      <c r="N418" s="220"/>
      <c r="O418" s="220"/>
      <c r="P418" s="220"/>
      <c r="Q418" s="220"/>
      <c r="R418" s="220"/>
      <c r="S418" s="220"/>
    </row>
    <row r="419" spans="1:19" x14ac:dyDescent="0.25">
      <c r="A419" s="220"/>
      <c r="B419" s="220"/>
      <c r="C419" s="220"/>
      <c r="D419" s="220"/>
      <c r="E419" s="220"/>
      <c r="F419" s="220"/>
      <c r="G419" s="220"/>
      <c r="H419" s="220"/>
      <c r="I419" s="220"/>
      <c r="J419" s="220"/>
      <c r="K419" s="220"/>
      <c r="L419" s="220"/>
      <c r="M419" s="220"/>
      <c r="N419" s="220"/>
      <c r="O419" s="220"/>
      <c r="P419" s="220"/>
      <c r="Q419" s="220"/>
      <c r="R419" s="220"/>
      <c r="S419" s="220"/>
    </row>
    <row r="420" spans="1:19" x14ac:dyDescent="0.25">
      <c r="A420" s="220"/>
      <c r="B420" s="220"/>
      <c r="C420" s="220"/>
      <c r="D420" s="220"/>
      <c r="E420" s="220"/>
      <c r="F420" s="220"/>
      <c r="G420" s="220"/>
      <c r="H420" s="220"/>
      <c r="I420" s="220"/>
      <c r="J420" s="220"/>
      <c r="K420" s="220"/>
      <c r="L420" s="220"/>
      <c r="M420" s="220"/>
      <c r="N420" s="220"/>
      <c r="O420" s="220"/>
      <c r="P420" s="220"/>
      <c r="Q420" s="220"/>
      <c r="R420" s="220"/>
      <c r="S420" s="220"/>
    </row>
    <row r="421" spans="1:19" x14ac:dyDescent="0.25">
      <c r="A421" s="220"/>
      <c r="B421" s="220"/>
      <c r="C421" s="220"/>
      <c r="D421" s="220"/>
      <c r="E421" s="220"/>
      <c r="F421" s="220"/>
      <c r="G421" s="220"/>
      <c r="H421" s="220"/>
      <c r="I421" s="220"/>
      <c r="J421" s="220"/>
      <c r="K421" s="220"/>
      <c r="L421" s="220"/>
      <c r="M421" s="220"/>
      <c r="N421" s="220"/>
      <c r="O421" s="220"/>
      <c r="P421" s="220"/>
      <c r="Q421" s="220"/>
      <c r="R421" s="220"/>
      <c r="S421" s="220"/>
    </row>
    <row r="422" spans="1:19" x14ac:dyDescent="0.25">
      <c r="A422" s="220"/>
      <c r="B422" s="220"/>
      <c r="C422" s="220"/>
      <c r="D422" s="220"/>
      <c r="E422" s="220"/>
      <c r="F422" s="220"/>
      <c r="G422" s="220"/>
      <c r="H422" s="220"/>
      <c r="I422" s="220"/>
      <c r="J422" s="220"/>
      <c r="K422" s="220"/>
      <c r="L422" s="220"/>
      <c r="M422" s="220"/>
      <c r="N422" s="220"/>
      <c r="O422" s="220"/>
      <c r="P422" s="220"/>
      <c r="Q422" s="220"/>
      <c r="R422" s="220"/>
      <c r="S422" s="220"/>
    </row>
    <row r="423" spans="1:19" x14ac:dyDescent="0.25">
      <c r="A423" s="220"/>
      <c r="B423" s="220"/>
      <c r="C423" s="220"/>
      <c r="D423" s="220"/>
      <c r="E423" s="220"/>
      <c r="F423" s="220"/>
      <c r="G423" s="220"/>
      <c r="H423" s="220"/>
      <c r="I423" s="220"/>
      <c r="J423" s="220"/>
      <c r="K423" s="220"/>
      <c r="L423" s="220"/>
      <c r="M423" s="220"/>
      <c r="N423" s="220"/>
      <c r="O423" s="220"/>
      <c r="P423" s="220"/>
      <c r="Q423" s="220"/>
      <c r="R423" s="220"/>
      <c r="S423" s="220"/>
    </row>
    <row r="424" spans="1:19" x14ac:dyDescent="0.25">
      <c r="A424" s="220"/>
      <c r="B424" s="220"/>
      <c r="C424" s="220"/>
      <c r="D424" s="220"/>
      <c r="E424" s="220"/>
      <c r="F424" s="220"/>
      <c r="G424" s="220"/>
      <c r="H424" s="220"/>
      <c r="I424" s="220"/>
      <c r="J424" s="220"/>
      <c r="K424" s="220"/>
      <c r="L424" s="220"/>
      <c r="M424" s="220"/>
      <c r="N424" s="220"/>
      <c r="O424" s="220"/>
      <c r="P424" s="220"/>
      <c r="Q424" s="220"/>
      <c r="R424" s="220"/>
      <c r="S424" s="220"/>
    </row>
    <row r="425" spans="1:19" x14ac:dyDescent="0.25">
      <c r="A425" s="220"/>
      <c r="B425" s="220"/>
      <c r="C425" s="220"/>
      <c r="D425" s="220"/>
      <c r="E425" s="220"/>
      <c r="F425" s="220"/>
      <c r="G425" s="220"/>
      <c r="H425" s="220"/>
      <c r="I425" s="220"/>
      <c r="J425" s="220"/>
      <c r="K425" s="220"/>
      <c r="L425" s="220"/>
      <c r="M425" s="220"/>
      <c r="N425" s="220"/>
      <c r="O425" s="220"/>
      <c r="P425" s="220"/>
      <c r="Q425" s="220"/>
      <c r="R425" s="220"/>
      <c r="S425" s="220"/>
    </row>
    <row r="426" spans="1:19" x14ac:dyDescent="0.25">
      <c r="A426" s="220"/>
      <c r="B426" s="220"/>
      <c r="C426" s="220"/>
      <c r="D426" s="220"/>
      <c r="E426" s="220"/>
      <c r="F426" s="220"/>
      <c r="G426" s="220"/>
      <c r="H426" s="220"/>
      <c r="I426" s="220"/>
      <c r="J426" s="220"/>
      <c r="K426" s="220"/>
      <c r="L426" s="220"/>
      <c r="M426" s="220"/>
      <c r="N426" s="220"/>
      <c r="O426" s="220"/>
      <c r="P426" s="220"/>
      <c r="Q426" s="220"/>
      <c r="R426" s="220"/>
      <c r="S426" s="220"/>
    </row>
    <row r="427" spans="1:19" x14ac:dyDescent="0.25">
      <c r="A427" s="220"/>
      <c r="B427" s="220"/>
      <c r="C427" s="220"/>
      <c r="D427" s="220"/>
      <c r="E427" s="220"/>
      <c r="F427" s="220"/>
      <c r="G427" s="220"/>
      <c r="H427" s="220"/>
      <c r="I427" s="220"/>
      <c r="J427" s="220"/>
      <c r="K427" s="220"/>
      <c r="L427" s="220"/>
      <c r="M427" s="220"/>
      <c r="N427" s="220"/>
      <c r="O427" s="220"/>
      <c r="P427" s="220"/>
      <c r="Q427" s="220"/>
      <c r="R427" s="220"/>
      <c r="S427" s="220"/>
    </row>
    <row r="428" spans="1:19" x14ac:dyDescent="0.25">
      <c r="A428" s="220"/>
      <c r="B428" s="220"/>
      <c r="C428" s="220"/>
      <c r="D428" s="220"/>
      <c r="E428" s="220"/>
      <c r="F428" s="220"/>
      <c r="G428" s="220"/>
      <c r="H428" s="220"/>
      <c r="I428" s="220"/>
      <c r="J428" s="220"/>
      <c r="K428" s="220"/>
      <c r="L428" s="220"/>
      <c r="M428" s="220"/>
      <c r="N428" s="220"/>
      <c r="O428" s="220"/>
      <c r="P428" s="220"/>
      <c r="Q428" s="220"/>
      <c r="R428" s="220"/>
      <c r="S428" s="220"/>
    </row>
    <row r="429" spans="1:19" x14ac:dyDescent="0.25">
      <c r="A429" s="220"/>
      <c r="B429" s="220"/>
      <c r="C429" s="220"/>
      <c r="D429" s="220"/>
      <c r="E429" s="220"/>
      <c r="F429" s="220"/>
      <c r="G429" s="220"/>
      <c r="H429" s="220"/>
      <c r="I429" s="220"/>
      <c r="J429" s="220"/>
      <c r="K429" s="220"/>
      <c r="L429" s="220"/>
      <c r="M429" s="220"/>
      <c r="N429" s="220"/>
      <c r="O429" s="220"/>
      <c r="P429" s="220"/>
      <c r="Q429" s="220"/>
      <c r="R429" s="220"/>
      <c r="S429" s="220"/>
    </row>
    <row r="430" spans="1:19" x14ac:dyDescent="0.25">
      <c r="A430" s="220"/>
      <c r="B430" s="220"/>
      <c r="C430" s="220"/>
      <c r="D430" s="220"/>
      <c r="E430" s="220"/>
      <c r="F430" s="220"/>
      <c r="G430" s="220"/>
      <c r="H430" s="220"/>
      <c r="I430" s="220"/>
      <c r="J430" s="220"/>
      <c r="K430" s="220"/>
      <c r="L430" s="220"/>
      <c r="M430" s="220"/>
      <c r="N430" s="220"/>
      <c r="O430" s="220"/>
      <c r="P430" s="220"/>
      <c r="Q430" s="220"/>
      <c r="R430" s="220"/>
      <c r="S430" s="220"/>
    </row>
    <row r="431" spans="1:19" x14ac:dyDescent="0.25">
      <c r="A431" s="220"/>
      <c r="B431" s="220"/>
      <c r="C431" s="220"/>
      <c r="D431" s="220"/>
      <c r="E431" s="220"/>
      <c r="F431" s="220"/>
      <c r="G431" s="220"/>
      <c r="H431" s="220"/>
      <c r="I431" s="220"/>
      <c r="J431" s="220"/>
      <c r="K431" s="220"/>
      <c r="L431" s="220"/>
      <c r="M431" s="220"/>
      <c r="N431" s="220"/>
      <c r="O431" s="220"/>
      <c r="P431" s="220"/>
      <c r="Q431" s="220"/>
      <c r="R431" s="220"/>
      <c r="S431" s="220"/>
    </row>
    <row r="432" spans="1:19" x14ac:dyDescent="0.25">
      <c r="A432" s="220"/>
      <c r="B432" s="220"/>
      <c r="C432" s="220"/>
      <c r="D432" s="220"/>
      <c r="E432" s="220"/>
      <c r="F432" s="220"/>
      <c r="G432" s="220"/>
      <c r="H432" s="220"/>
      <c r="I432" s="220"/>
      <c r="J432" s="220"/>
      <c r="K432" s="220"/>
      <c r="L432" s="220"/>
      <c r="M432" s="220"/>
      <c r="N432" s="220"/>
      <c r="O432" s="220"/>
      <c r="P432" s="220"/>
      <c r="Q432" s="220"/>
      <c r="R432" s="220"/>
      <c r="S432" s="220"/>
    </row>
    <row r="433" spans="1:19" x14ac:dyDescent="0.25">
      <c r="A433" s="220"/>
      <c r="B433" s="220"/>
      <c r="C433" s="220"/>
      <c r="D433" s="220"/>
      <c r="E433" s="220"/>
      <c r="F433" s="220"/>
      <c r="G433" s="220"/>
      <c r="H433" s="220"/>
      <c r="I433" s="220"/>
      <c r="J433" s="220"/>
      <c r="K433" s="220"/>
      <c r="L433" s="220"/>
      <c r="M433" s="220"/>
      <c r="N433" s="220"/>
      <c r="O433" s="220"/>
      <c r="P433" s="220"/>
      <c r="Q433" s="220"/>
      <c r="R433" s="220"/>
      <c r="S433" s="220"/>
    </row>
    <row r="434" spans="1:19" x14ac:dyDescent="0.25">
      <c r="A434" s="220"/>
      <c r="B434" s="220"/>
      <c r="C434" s="220"/>
      <c r="D434" s="220"/>
      <c r="E434" s="220"/>
      <c r="F434" s="220"/>
      <c r="G434" s="220"/>
      <c r="H434" s="220"/>
      <c r="I434" s="220"/>
      <c r="J434" s="220"/>
      <c r="K434" s="220"/>
      <c r="L434" s="220"/>
      <c r="M434" s="220"/>
      <c r="N434" s="220"/>
      <c r="O434" s="220"/>
      <c r="P434" s="220"/>
      <c r="Q434" s="220"/>
      <c r="R434" s="220"/>
      <c r="S434" s="220"/>
    </row>
    <row r="435" spans="1:19" x14ac:dyDescent="0.25">
      <c r="A435" s="220"/>
      <c r="B435" s="220"/>
      <c r="C435" s="220"/>
      <c r="D435" s="220"/>
      <c r="E435" s="220"/>
      <c r="F435" s="220"/>
      <c r="G435" s="220"/>
      <c r="H435" s="220"/>
      <c r="I435" s="220"/>
      <c r="J435" s="220"/>
      <c r="K435" s="220"/>
      <c r="L435" s="220"/>
      <c r="M435" s="220"/>
      <c r="N435" s="220"/>
      <c r="O435" s="220"/>
      <c r="P435" s="220"/>
      <c r="Q435" s="220"/>
      <c r="R435" s="220"/>
      <c r="S435" s="220"/>
    </row>
    <row r="436" spans="1:19" x14ac:dyDescent="0.25">
      <c r="A436" s="220"/>
      <c r="B436" s="220"/>
      <c r="C436" s="220"/>
      <c r="D436" s="220"/>
      <c r="E436" s="220"/>
      <c r="F436" s="220"/>
      <c r="G436" s="220"/>
      <c r="H436" s="220"/>
      <c r="I436" s="220"/>
      <c r="J436" s="220"/>
      <c r="K436" s="220"/>
      <c r="L436" s="220"/>
      <c r="M436" s="220"/>
      <c r="N436" s="220"/>
      <c r="O436" s="220"/>
      <c r="P436" s="220"/>
      <c r="Q436" s="220"/>
      <c r="R436" s="220"/>
      <c r="S436" s="220"/>
    </row>
    <row r="437" spans="1:19" x14ac:dyDescent="0.25">
      <c r="A437" s="220"/>
      <c r="B437" s="220"/>
      <c r="C437" s="220"/>
      <c r="D437" s="220"/>
      <c r="E437" s="220"/>
      <c r="F437" s="220"/>
      <c r="G437" s="220"/>
      <c r="H437" s="220"/>
      <c r="I437" s="220"/>
      <c r="J437" s="220"/>
      <c r="K437" s="220"/>
      <c r="L437" s="220"/>
      <c r="M437" s="220"/>
      <c r="N437" s="220"/>
      <c r="O437" s="220"/>
      <c r="P437" s="220"/>
      <c r="Q437" s="220"/>
      <c r="R437" s="220"/>
      <c r="S437" s="220"/>
    </row>
    <row r="438" spans="1:19" x14ac:dyDescent="0.25">
      <c r="A438" s="220"/>
      <c r="B438" s="220"/>
      <c r="C438" s="220"/>
      <c r="D438" s="220"/>
      <c r="E438" s="220"/>
      <c r="F438" s="220"/>
      <c r="G438" s="220"/>
      <c r="H438" s="220"/>
      <c r="I438" s="220"/>
      <c r="J438" s="220"/>
      <c r="K438" s="220"/>
      <c r="L438" s="220"/>
      <c r="M438" s="220"/>
      <c r="N438" s="220"/>
      <c r="O438" s="220"/>
      <c r="P438" s="220"/>
      <c r="Q438" s="220"/>
      <c r="R438" s="220"/>
      <c r="S438" s="220"/>
    </row>
    <row r="439" spans="1:19" x14ac:dyDescent="0.25">
      <c r="A439" s="220"/>
      <c r="B439" s="220"/>
      <c r="C439" s="220"/>
      <c r="D439" s="220"/>
      <c r="E439" s="220"/>
      <c r="F439" s="220"/>
      <c r="G439" s="220"/>
      <c r="H439" s="220"/>
      <c r="I439" s="220"/>
      <c r="J439" s="220"/>
      <c r="K439" s="220"/>
      <c r="L439" s="220"/>
      <c r="M439" s="220"/>
      <c r="N439" s="220"/>
      <c r="O439" s="220"/>
      <c r="P439" s="220"/>
      <c r="Q439" s="220"/>
      <c r="R439" s="220"/>
      <c r="S439" s="220"/>
    </row>
    <row r="440" spans="1:19" x14ac:dyDescent="0.25">
      <c r="A440" s="220"/>
      <c r="B440" s="220"/>
      <c r="C440" s="220"/>
      <c r="D440" s="220"/>
      <c r="E440" s="220"/>
      <c r="F440" s="220"/>
      <c r="G440" s="220"/>
      <c r="H440" s="220"/>
      <c r="I440" s="220"/>
      <c r="J440" s="220"/>
      <c r="K440" s="220"/>
      <c r="L440" s="220"/>
      <c r="M440" s="220"/>
      <c r="N440" s="220"/>
      <c r="O440" s="220"/>
      <c r="P440" s="220"/>
      <c r="Q440" s="220"/>
      <c r="R440" s="220"/>
      <c r="S440" s="220"/>
    </row>
    <row r="441" spans="1:19" x14ac:dyDescent="0.25">
      <c r="A441" s="220"/>
      <c r="B441" s="220"/>
      <c r="C441" s="220"/>
      <c r="D441" s="220"/>
      <c r="E441" s="220"/>
      <c r="F441" s="220"/>
      <c r="G441" s="220"/>
      <c r="H441" s="220"/>
      <c r="I441" s="220"/>
      <c r="J441" s="220"/>
      <c r="K441" s="220"/>
      <c r="L441" s="220"/>
      <c r="M441" s="220"/>
      <c r="N441" s="220"/>
      <c r="O441" s="220"/>
      <c r="P441" s="220"/>
      <c r="Q441" s="220"/>
      <c r="R441" s="220"/>
      <c r="S441" s="220"/>
    </row>
    <row r="442" spans="1:19" x14ac:dyDescent="0.25">
      <c r="A442" s="220"/>
      <c r="B442" s="220"/>
      <c r="C442" s="220"/>
      <c r="D442" s="220"/>
      <c r="E442" s="220"/>
      <c r="F442" s="220"/>
      <c r="G442" s="220"/>
      <c r="H442" s="220"/>
      <c r="I442" s="220"/>
      <c r="J442" s="220"/>
      <c r="K442" s="220"/>
      <c r="L442" s="220"/>
      <c r="M442" s="220"/>
      <c r="N442" s="220"/>
      <c r="O442" s="220"/>
      <c r="P442" s="220"/>
      <c r="Q442" s="220"/>
      <c r="R442" s="220"/>
      <c r="S442" s="220"/>
    </row>
    <row r="443" spans="1:19" x14ac:dyDescent="0.25">
      <c r="A443" s="220"/>
      <c r="B443" s="220"/>
      <c r="C443" s="220"/>
      <c r="D443" s="220"/>
      <c r="E443" s="220"/>
      <c r="F443" s="220"/>
      <c r="G443" s="220"/>
      <c r="H443" s="220"/>
      <c r="I443" s="220"/>
      <c r="J443" s="220"/>
      <c r="K443" s="220"/>
      <c r="L443" s="220"/>
      <c r="M443" s="220"/>
      <c r="N443" s="220"/>
      <c r="O443" s="220"/>
      <c r="P443" s="220"/>
      <c r="Q443" s="220"/>
      <c r="R443" s="220"/>
      <c r="S443" s="220"/>
    </row>
    <row r="444" spans="1:19" x14ac:dyDescent="0.25">
      <c r="A444" s="220"/>
      <c r="B444" s="220"/>
      <c r="C444" s="220"/>
      <c r="D444" s="220"/>
      <c r="E444" s="220"/>
      <c r="F444" s="220"/>
      <c r="G444" s="220"/>
      <c r="H444" s="220"/>
      <c r="I444" s="220"/>
      <c r="J444" s="220"/>
      <c r="K444" s="220"/>
      <c r="L444" s="220"/>
      <c r="M444" s="220"/>
      <c r="N444" s="220"/>
      <c r="O444" s="220"/>
      <c r="P444" s="220"/>
      <c r="Q444" s="220"/>
      <c r="R444" s="220"/>
      <c r="S444" s="220"/>
    </row>
    <row r="445" spans="1:19" x14ac:dyDescent="0.25">
      <c r="A445" s="220"/>
      <c r="B445" s="220"/>
      <c r="C445" s="220"/>
      <c r="D445" s="220"/>
      <c r="E445" s="220"/>
      <c r="F445" s="220"/>
      <c r="G445" s="220"/>
      <c r="H445" s="220"/>
      <c r="I445" s="220"/>
      <c r="J445" s="220"/>
      <c r="K445" s="220"/>
      <c r="L445" s="220"/>
      <c r="M445" s="220"/>
      <c r="N445" s="220"/>
      <c r="O445" s="220"/>
      <c r="P445" s="220"/>
      <c r="Q445" s="220"/>
      <c r="R445" s="220"/>
      <c r="S445" s="220"/>
    </row>
    <row r="446" spans="1:19" x14ac:dyDescent="0.25">
      <c r="A446" s="220"/>
      <c r="B446" s="220"/>
      <c r="C446" s="220"/>
      <c r="D446" s="220"/>
      <c r="E446" s="220"/>
      <c r="F446" s="220"/>
      <c r="G446" s="220"/>
      <c r="H446" s="220"/>
      <c r="I446" s="220"/>
      <c r="J446" s="220"/>
      <c r="K446" s="220"/>
      <c r="L446" s="220"/>
      <c r="M446" s="220"/>
      <c r="N446" s="220"/>
      <c r="O446" s="220"/>
      <c r="P446" s="220"/>
      <c r="Q446" s="220"/>
      <c r="R446" s="220"/>
      <c r="S446" s="220"/>
    </row>
    <row r="447" spans="1:19" x14ac:dyDescent="0.25">
      <c r="A447" s="220"/>
      <c r="B447" s="220"/>
      <c r="C447" s="220"/>
      <c r="D447" s="220"/>
      <c r="E447" s="220"/>
      <c r="F447" s="220"/>
      <c r="G447" s="220"/>
      <c r="H447" s="220"/>
      <c r="I447" s="220"/>
      <c r="J447" s="220"/>
      <c r="K447" s="220"/>
      <c r="L447" s="220"/>
      <c r="M447" s="220"/>
      <c r="N447" s="220"/>
      <c r="O447" s="220"/>
      <c r="P447" s="220"/>
      <c r="Q447" s="220"/>
      <c r="R447" s="220"/>
      <c r="S447" s="220"/>
    </row>
    <row r="448" spans="1:19" x14ac:dyDescent="0.25">
      <c r="A448" s="220"/>
      <c r="B448" s="220"/>
      <c r="C448" s="220"/>
      <c r="D448" s="220"/>
      <c r="E448" s="220"/>
      <c r="F448" s="220"/>
      <c r="G448" s="220"/>
      <c r="H448" s="220"/>
      <c r="I448" s="220"/>
      <c r="J448" s="220"/>
      <c r="K448" s="220"/>
      <c r="L448" s="220"/>
      <c r="M448" s="220"/>
      <c r="N448" s="220"/>
      <c r="O448" s="220"/>
      <c r="P448" s="220"/>
      <c r="Q448" s="220"/>
      <c r="R448" s="220"/>
      <c r="S448" s="220"/>
    </row>
    <row r="449" spans="1:19" x14ac:dyDescent="0.25">
      <c r="A449" s="220"/>
      <c r="B449" s="220"/>
      <c r="C449" s="220"/>
      <c r="D449" s="220"/>
      <c r="E449" s="220"/>
      <c r="F449" s="220"/>
      <c r="G449" s="220"/>
      <c r="H449" s="220"/>
      <c r="I449" s="220"/>
      <c r="J449" s="220"/>
      <c r="K449" s="220"/>
      <c r="L449" s="220"/>
      <c r="M449" s="220"/>
      <c r="N449" s="220"/>
      <c r="O449" s="220"/>
      <c r="P449" s="220"/>
      <c r="Q449" s="220"/>
      <c r="R449" s="220"/>
      <c r="S449" s="220"/>
    </row>
    <row r="450" spans="1:19" x14ac:dyDescent="0.25">
      <c r="A450" s="220"/>
      <c r="B450" s="220"/>
      <c r="C450" s="220"/>
      <c r="D450" s="220"/>
      <c r="E450" s="220"/>
      <c r="F450" s="220"/>
      <c r="G450" s="220"/>
      <c r="H450" s="220"/>
      <c r="I450" s="220"/>
      <c r="J450" s="220"/>
      <c r="K450" s="220"/>
      <c r="L450" s="220"/>
      <c r="M450" s="220"/>
      <c r="N450" s="220"/>
      <c r="O450" s="220"/>
      <c r="P450" s="220"/>
      <c r="Q450" s="220"/>
      <c r="R450" s="220"/>
      <c r="S450" s="220"/>
    </row>
    <row r="451" spans="1:19" x14ac:dyDescent="0.25">
      <c r="A451" s="220"/>
      <c r="B451" s="220"/>
      <c r="C451" s="220"/>
      <c r="D451" s="220"/>
      <c r="E451" s="220"/>
      <c r="F451" s="220"/>
      <c r="G451" s="220"/>
      <c r="H451" s="220"/>
      <c r="I451" s="220"/>
      <c r="J451" s="220"/>
      <c r="K451" s="220"/>
      <c r="L451" s="220"/>
      <c r="M451" s="220"/>
      <c r="N451" s="220"/>
      <c r="O451" s="220"/>
      <c r="P451" s="220"/>
      <c r="Q451" s="220"/>
      <c r="R451" s="220"/>
      <c r="S451" s="220"/>
    </row>
    <row r="452" spans="1:19" x14ac:dyDescent="0.25">
      <c r="A452" s="220"/>
      <c r="B452" s="220"/>
      <c r="C452" s="220"/>
      <c r="D452" s="220"/>
      <c r="E452" s="220"/>
      <c r="F452" s="220"/>
      <c r="G452" s="220"/>
      <c r="H452" s="220"/>
      <c r="I452" s="220"/>
      <c r="J452" s="220"/>
      <c r="K452" s="220"/>
      <c r="L452" s="220"/>
      <c r="M452" s="220"/>
      <c r="N452" s="220"/>
      <c r="O452" s="220"/>
      <c r="P452" s="220"/>
      <c r="Q452" s="220"/>
      <c r="R452" s="220"/>
      <c r="S452" s="220"/>
    </row>
    <row r="453" spans="1:19" x14ac:dyDescent="0.25">
      <c r="A453" s="220"/>
      <c r="B453" s="220"/>
      <c r="C453" s="220"/>
      <c r="D453" s="220"/>
      <c r="E453" s="220"/>
      <c r="F453" s="220"/>
      <c r="G453" s="220"/>
      <c r="H453" s="220"/>
      <c r="I453" s="220"/>
      <c r="J453" s="220"/>
      <c r="K453" s="220"/>
      <c r="L453" s="220"/>
      <c r="M453" s="220"/>
      <c r="N453" s="220"/>
      <c r="O453" s="220"/>
      <c r="P453" s="220"/>
      <c r="Q453" s="220"/>
      <c r="R453" s="220"/>
      <c r="S453" s="220"/>
    </row>
    <row r="454" spans="1:19" x14ac:dyDescent="0.25">
      <c r="A454" s="220"/>
      <c r="B454" s="220"/>
      <c r="C454" s="220"/>
      <c r="D454" s="220"/>
      <c r="E454" s="220"/>
      <c r="F454" s="220"/>
      <c r="G454" s="220"/>
      <c r="H454" s="220"/>
      <c r="I454" s="220"/>
      <c r="J454" s="220"/>
      <c r="K454" s="220"/>
      <c r="L454" s="220"/>
      <c r="M454" s="220"/>
      <c r="N454" s="220"/>
      <c r="O454" s="220"/>
      <c r="P454" s="220"/>
      <c r="Q454" s="220"/>
      <c r="R454" s="220"/>
      <c r="S454" s="220"/>
    </row>
    <row r="455" spans="1:19" x14ac:dyDescent="0.25">
      <c r="A455" s="220"/>
      <c r="B455" s="220"/>
      <c r="C455" s="220"/>
      <c r="D455" s="220"/>
      <c r="E455" s="220"/>
      <c r="F455" s="220"/>
      <c r="G455" s="220"/>
      <c r="H455" s="220"/>
      <c r="I455" s="220"/>
      <c r="J455" s="220"/>
      <c r="K455" s="220"/>
      <c r="L455" s="220"/>
      <c r="M455" s="220"/>
      <c r="N455" s="220"/>
      <c r="O455" s="220"/>
      <c r="P455" s="220"/>
      <c r="Q455" s="220"/>
      <c r="R455" s="220"/>
      <c r="S455" s="220"/>
    </row>
    <row r="456" spans="1:19" x14ac:dyDescent="0.25">
      <c r="A456" s="220"/>
      <c r="B456" s="220"/>
      <c r="C456" s="220"/>
      <c r="D456" s="220"/>
      <c r="E456" s="220"/>
      <c r="F456" s="220"/>
      <c r="G456" s="220"/>
      <c r="H456" s="220"/>
      <c r="I456" s="220"/>
      <c r="J456" s="220"/>
      <c r="K456" s="220"/>
      <c r="L456" s="220"/>
      <c r="M456" s="220"/>
      <c r="N456" s="220"/>
      <c r="O456" s="220"/>
      <c r="P456" s="220"/>
      <c r="Q456" s="220"/>
      <c r="R456" s="220"/>
      <c r="S456" s="220"/>
    </row>
    <row r="457" spans="1:19" x14ac:dyDescent="0.25">
      <c r="A457" s="220"/>
      <c r="B457" s="220"/>
      <c r="C457" s="220"/>
      <c r="D457" s="220"/>
      <c r="E457" s="220"/>
      <c r="F457" s="220"/>
      <c r="G457" s="220"/>
      <c r="H457" s="220"/>
      <c r="I457" s="220"/>
      <c r="J457" s="220"/>
      <c r="K457" s="220"/>
      <c r="L457" s="220"/>
      <c r="M457" s="220"/>
      <c r="N457" s="220"/>
      <c r="O457" s="220"/>
      <c r="P457" s="220"/>
      <c r="Q457" s="220"/>
      <c r="R457" s="220"/>
      <c r="S457" s="220"/>
    </row>
    <row r="458" spans="1:19" x14ac:dyDescent="0.25">
      <c r="A458" s="220"/>
      <c r="B458" s="220"/>
      <c r="C458" s="220"/>
      <c r="D458" s="220"/>
      <c r="E458" s="220"/>
      <c r="F458" s="220"/>
      <c r="G458" s="220"/>
      <c r="H458" s="220"/>
      <c r="I458" s="220"/>
      <c r="J458" s="220"/>
      <c r="K458" s="220"/>
      <c r="L458" s="220"/>
      <c r="M458" s="220"/>
      <c r="N458" s="220"/>
      <c r="O458" s="220"/>
      <c r="P458" s="220"/>
      <c r="Q458" s="220"/>
      <c r="R458" s="220"/>
      <c r="S458" s="220"/>
    </row>
    <row r="459" spans="1:19" x14ac:dyDescent="0.25">
      <c r="A459" s="220"/>
      <c r="B459" s="220"/>
      <c r="C459" s="220"/>
      <c r="D459" s="220"/>
      <c r="E459" s="220"/>
      <c r="F459" s="220"/>
      <c r="G459" s="220"/>
      <c r="H459" s="220"/>
      <c r="I459" s="220"/>
      <c r="J459" s="220"/>
      <c r="K459" s="220"/>
      <c r="L459" s="220"/>
      <c r="M459" s="220"/>
      <c r="N459" s="220"/>
      <c r="O459" s="220"/>
      <c r="P459" s="220"/>
      <c r="Q459" s="220"/>
      <c r="R459" s="220"/>
      <c r="S459" s="220"/>
    </row>
    <row r="460" spans="1:19" x14ac:dyDescent="0.25">
      <c r="A460" s="220"/>
      <c r="B460" s="220"/>
      <c r="C460" s="220"/>
      <c r="D460" s="220"/>
      <c r="E460" s="220"/>
      <c r="F460" s="220"/>
      <c r="G460" s="220"/>
      <c r="H460" s="220"/>
      <c r="I460" s="220"/>
      <c r="J460" s="220"/>
      <c r="K460" s="220"/>
      <c r="L460" s="220"/>
      <c r="M460" s="220"/>
      <c r="N460" s="220"/>
      <c r="O460" s="220"/>
      <c r="P460" s="220"/>
      <c r="Q460" s="220"/>
      <c r="R460" s="220"/>
      <c r="S460" s="220"/>
    </row>
    <row r="461" spans="1:19" x14ac:dyDescent="0.25">
      <c r="A461" s="220"/>
      <c r="B461" s="220"/>
      <c r="C461" s="220"/>
      <c r="D461" s="220"/>
      <c r="E461" s="220"/>
      <c r="F461" s="220"/>
      <c r="G461" s="220"/>
      <c r="H461" s="220"/>
      <c r="I461" s="220"/>
      <c r="J461" s="220"/>
      <c r="K461" s="220"/>
      <c r="L461" s="220"/>
      <c r="M461" s="220"/>
      <c r="N461" s="220"/>
      <c r="O461" s="220"/>
      <c r="P461" s="220"/>
      <c r="Q461" s="220"/>
      <c r="R461" s="220"/>
      <c r="S461" s="220"/>
    </row>
    <row r="462" spans="1:19" x14ac:dyDescent="0.25">
      <c r="A462" s="220"/>
      <c r="B462" s="220"/>
      <c r="C462" s="220"/>
      <c r="D462" s="220"/>
      <c r="E462" s="220"/>
      <c r="F462" s="220"/>
      <c r="G462" s="220"/>
      <c r="H462" s="220"/>
      <c r="I462" s="220"/>
      <c r="J462" s="220"/>
      <c r="K462" s="220"/>
      <c r="L462" s="220"/>
      <c r="M462" s="220"/>
      <c r="N462" s="220"/>
      <c r="O462" s="220"/>
      <c r="P462" s="220"/>
      <c r="Q462" s="220"/>
      <c r="R462" s="220"/>
      <c r="S462" s="220"/>
    </row>
    <row r="463" spans="1:19" x14ac:dyDescent="0.25">
      <c r="A463" s="220"/>
      <c r="B463" s="220"/>
      <c r="C463" s="220"/>
      <c r="D463" s="220"/>
      <c r="E463" s="220"/>
      <c r="F463" s="220"/>
      <c r="G463" s="220"/>
      <c r="H463" s="220"/>
      <c r="I463" s="220"/>
      <c r="J463" s="220"/>
      <c r="K463" s="220"/>
      <c r="L463" s="220"/>
      <c r="M463" s="220"/>
      <c r="N463" s="220"/>
      <c r="O463" s="220"/>
      <c r="P463" s="220"/>
      <c r="Q463" s="220"/>
      <c r="R463" s="220"/>
      <c r="S463" s="220"/>
    </row>
    <row r="464" spans="1:19" x14ac:dyDescent="0.25">
      <c r="A464" s="220"/>
      <c r="B464" s="220"/>
      <c r="C464" s="220"/>
      <c r="D464" s="220"/>
      <c r="E464" s="220"/>
      <c r="F464" s="220"/>
      <c r="G464" s="220"/>
      <c r="H464" s="220"/>
      <c r="I464" s="220"/>
      <c r="J464" s="220"/>
      <c r="K464" s="220"/>
      <c r="L464" s="220"/>
      <c r="M464" s="220"/>
      <c r="N464" s="220"/>
      <c r="O464" s="220"/>
      <c r="P464" s="220"/>
      <c r="Q464" s="220"/>
      <c r="R464" s="220"/>
      <c r="S464" s="220"/>
    </row>
    <row r="465" spans="1:19" x14ac:dyDescent="0.25">
      <c r="A465" s="220"/>
      <c r="B465" s="220"/>
      <c r="C465" s="220"/>
      <c r="D465" s="220"/>
      <c r="E465" s="220"/>
      <c r="F465" s="220"/>
      <c r="G465" s="220"/>
      <c r="H465" s="220"/>
      <c r="I465" s="220"/>
      <c r="J465" s="220"/>
      <c r="K465" s="220"/>
      <c r="L465" s="220"/>
      <c r="M465" s="220"/>
      <c r="N465" s="220"/>
      <c r="O465" s="220"/>
      <c r="P465" s="220"/>
      <c r="Q465" s="220"/>
      <c r="R465" s="220"/>
      <c r="S465" s="220"/>
    </row>
    <row r="466" spans="1:19" x14ac:dyDescent="0.25">
      <c r="A466" s="220"/>
      <c r="B466" s="220"/>
      <c r="C466" s="220"/>
      <c r="D466" s="220"/>
      <c r="E466" s="220"/>
      <c r="F466" s="220"/>
      <c r="G466" s="220"/>
      <c r="H466" s="220"/>
      <c r="I466" s="220"/>
      <c r="J466" s="220"/>
      <c r="K466" s="220"/>
      <c r="L466" s="220"/>
      <c r="M466" s="220"/>
      <c r="N466" s="220"/>
      <c r="O466" s="220"/>
      <c r="P466" s="220"/>
      <c r="Q466" s="220"/>
      <c r="R466" s="220"/>
      <c r="S466" s="220"/>
    </row>
    <row r="467" spans="1:19" x14ac:dyDescent="0.25">
      <c r="A467" s="220"/>
      <c r="B467" s="220"/>
      <c r="C467" s="220"/>
      <c r="D467" s="220"/>
      <c r="E467" s="220"/>
      <c r="F467" s="220"/>
      <c r="G467" s="220"/>
      <c r="H467" s="220"/>
      <c r="I467" s="220"/>
      <c r="J467" s="220"/>
      <c r="K467" s="220"/>
      <c r="L467" s="220"/>
      <c r="M467" s="220"/>
      <c r="N467" s="220"/>
      <c r="O467" s="220"/>
      <c r="P467" s="220"/>
      <c r="Q467" s="220"/>
      <c r="R467" s="220"/>
      <c r="S467" s="220"/>
    </row>
    <row r="468" spans="1:19" x14ac:dyDescent="0.25">
      <c r="A468" s="220"/>
      <c r="B468" s="220"/>
      <c r="C468" s="220"/>
      <c r="D468" s="220"/>
      <c r="E468" s="220"/>
      <c r="F468" s="220"/>
      <c r="G468" s="220"/>
      <c r="H468" s="220"/>
      <c r="I468" s="220"/>
      <c r="J468" s="220"/>
      <c r="K468" s="220"/>
      <c r="L468" s="220"/>
      <c r="M468" s="220"/>
      <c r="N468" s="220"/>
      <c r="O468" s="220"/>
      <c r="P468" s="220"/>
      <c r="Q468" s="220"/>
      <c r="R468" s="220"/>
      <c r="S468" s="220"/>
    </row>
    <row r="469" spans="1:19" x14ac:dyDescent="0.25">
      <c r="A469" s="220"/>
      <c r="B469" s="220"/>
      <c r="C469" s="220"/>
      <c r="D469" s="220"/>
      <c r="E469" s="220"/>
      <c r="F469" s="220"/>
      <c r="G469" s="220"/>
      <c r="H469" s="220"/>
      <c r="I469" s="220"/>
      <c r="J469" s="220"/>
      <c r="K469" s="220"/>
      <c r="L469" s="220"/>
      <c r="M469" s="220"/>
      <c r="N469" s="220"/>
      <c r="O469" s="220"/>
      <c r="P469" s="220"/>
      <c r="Q469" s="220"/>
      <c r="R469" s="220"/>
      <c r="S469" s="220"/>
    </row>
    <row r="470" spans="1:19" x14ac:dyDescent="0.25">
      <c r="A470" s="220"/>
      <c r="B470" s="220"/>
      <c r="C470" s="220"/>
      <c r="D470" s="220"/>
      <c r="E470" s="220"/>
      <c r="F470" s="220"/>
      <c r="G470" s="220"/>
      <c r="H470" s="220"/>
      <c r="I470" s="220"/>
      <c r="J470" s="220"/>
      <c r="K470" s="220"/>
      <c r="L470" s="220"/>
      <c r="M470" s="220"/>
      <c r="N470" s="220"/>
      <c r="O470" s="220"/>
      <c r="P470" s="220"/>
      <c r="Q470" s="220"/>
      <c r="R470" s="220"/>
      <c r="S470" s="220"/>
    </row>
    <row r="471" spans="1:19" x14ac:dyDescent="0.25">
      <c r="A471" s="220"/>
      <c r="B471" s="220"/>
      <c r="C471" s="220"/>
      <c r="D471" s="220"/>
      <c r="E471" s="220"/>
      <c r="F471" s="220"/>
      <c r="G471" s="220"/>
      <c r="H471" s="220"/>
      <c r="I471" s="220"/>
      <c r="J471" s="220"/>
      <c r="K471" s="220"/>
      <c r="L471" s="220"/>
      <c r="M471" s="220"/>
      <c r="N471" s="220"/>
      <c r="O471" s="220"/>
      <c r="P471" s="220"/>
      <c r="Q471" s="220"/>
      <c r="R471" s="220"/>
      <c r="S471" s="220"/>
    </row>
    <row r="472" spans="1:19" x14ac:dyDescent="0.25">
      <c r="A472" s="220"/>
      <c r="B472" s="220"/>
      <c r="C472" s="220"/>
      <c r="D472" s="220"/>
      <c r="E472" s="220"/>
      <c r="F472" s="220"/>
      <c r="G472" s="220"/>
      <c r="H472" s="220"/>
      <c r="I472" s="220"/>
      <c r="J472" s="220"/>
      <c r="K472" s="220"/>
      <c r="L472" s="220"/>
      <c r="M472" s="220"/>
      <c r="N472" s="220"/>
      <c r="O472" s="220"/>
      <c r="P472" s="220"/>
      <c r="Q472" s="220"/>
      <c r="R472" s="220"/>
      <c r="S472" s="220"/>
    </row>
    <row r="473" spans="1:19" x14ac:dyDescent="0.25">
      <c r="A473" s="220"/>
      <c r="B473" s="220"/>
      <c r="C473" s="220"/>
      <c r="D473" s="220"/>
      <c r="E473" s="220"/>
      <c r="F473" s="220"/>
      <c r="G473" s="220"/>
      <c r="H473" s="220"/>
      <c r="I473" s="220"/>
      <c r="J473" s="220"/>
      <c r="K473" s="220"/>
      <c r="L473" s="220"/>
      <c r="M473" s="220"/>
      <c r="N473" s="220"/>
      <c r="O473" s="220"/>
      <c r="P473" s="220"/>
      <c r="Q473" s="220"/>
      <c r="R473" s="220"/>
      <c r="S473" s="220"/>
    </row>
    <row r="474" spans="1:19" x14ac:dyDescent="0.25">
      <c r="A474" s="220"/>
      <c r="B474" s="220"/>
      <c r="C474" s="220"/>
      <c r="D474" s="220"/>
      <c r="E474" s="220"/>
      <c r="F474" s="220"/>
      <c r="G474" s="220"/>
      <c r="H474" s="220"/>
      <c r="I474" s="220"/>
      <c r="J474" s="220"/>
      <c r="K474" s="220"/>
      <c r="L474" s="220"/>
      <c r="M474" s="220"/>
      <c r="N474" s="220"/>
      <c r="O474" s="220"/>
      <c r="P474" s="220"/>
      <c r="Q474" s="220"/>
      <c r="R474" s="220"/>
      <c r="S474" s="220"/>
    </row>
    <row r="475" spans="1:19" x14ac:dyDescent="0.25">
      <c r="A475" s="220"/>
      <c r="B475" s="220"/>
      <c r="C475" s="220"/>
      <c r="D475" s="220"/>
      <c r="E475" s="220"/>
      <c r="F475" s="220"/>
      <c r="G475" s="220"/>
      <c r="H475" s="220"/>
      <c r="I475" s="220"/>
      <c r="J475" s="220"/>
      <c r="K475" s="220"/>
      <c r="L475" s="220"/>
      <c r="M475" s="220"/>
      <c r="N475" s="220"/>
      <c r="O475" s="220"/>
      <c r="P475" s="220"/>
      <c r="Q475" s="220"/>
      <c r="R475" s="220"/>
      <c r="S475" s="220"/>
    </row>
    <row r="476" spans="1:19" x14ac:dyDescent="0.25">
      <c r="A476" s="220"/>
      <c r="B476" s="220"/>
      <c r="C476" s="220"/>
      <c r="D476" s="220"/>
      <c r="E476" s="220"/>
      <c r="F476" s="220"/>
      <c r="G476" s="220"/>
      <c r="H476" s="220"/>
      <c r="I476" s="220"/>
      <c r="J476" s="220"/>
      <c r="K476" s="220"/>
      <c r="L476" s="220"/>
      <c r="M476" s="220"/>
      <c r="N476" s="220"/>
      <c r="O476" s="220"/>
      <c r="P476" s="220"/>
      <c r="Q476" s="220"/>
      <c r="R476" s="220"/>
      <c r="S476" s="220"/>
    </row>
    <row r="477" spans="1:19" x14ac:dyDescent="0.25">
      <c r="A477" s="220"/>
      <c r="B477" s="220"/>
      <c r="C477" s="220"/>
      <c r="D477" s="220"/>
      <c r="E477" s="220"/>
      <c r="F477" s="220"/>
      <c r="G477" s="220"/>
      <c r="H477" s="220"/>
      <c r="I477" s="220"/>
      <c r="J477" s="220"/>
      <c r="K477" s="220"/>
      <c r="L477" s="220"/>
      <c r="M477" s="220"/>
      <c r="N477" s="220"/>
      <c r="O477" s="220"/>
      <c r="P477" s="220"/>
      <c r="Q477" s="220"/>
      <c r="R477" s="220"/>
      <c r="S477" s="220"/>
    </row>
    <row r="478" spans="1:19" x14ac:dyDescent="0.25">
      <c r="A478" s="220"/>
      <c r="B478" s="220"/>
      <c r="C478" s="220"/>
      <c r="D478" s="220"/>
      <c r="E478" s="220"/>
      <c r="F478" s="220"/>
      <c r="G478" s="220"/>
      <c r="H478" s="220"/>
      <c r="I478" s="220"/>
      <c r="J478" s="220"/>
      <c r="K478" s="220"/>
      <c r="L478" s="220"/>
      <c r="M478" s="220"/>
      <c r="N478" s="220"/>
      <c r="O478" s="220"/>
      <c r="P478" s="220"/>
      <c r="Q478" s="220"/>
      <c r="R478" s="220"/>
      <c r="S478" s="220"/>
    </row>
    <row r="479" spans="1:19" x14ac:dyDescent="0.25">
      <c r="A479" s="220"/>
      <c r="B479" s="220"/>
      <c r="C479" s="220"/>
      <c r="D479" s="220"/>
      <c r="E479" s="220"/>
      <c r="F479" s="220"/>
      <c r="G479" s="220"/>
      <c r="H479" s="220"/>
      <c r="I479" s="220"/>
      <c r="J479" s="220"/>
      <c r="K479" s="220"/>
      <c r="L479" s="220"/>
      <c r="M479" s="220"/>
      <c r="N479" s="220"/>
      <c r="O479" s="220"/>
      <c r="P479" s="220"/>
      <c r="Q479" s="220"/>
      <c r="R479" s="220"/>
      <c r="S479" s="220"/>
    </row>
    <row r="480" spans="1:19" x14ac:dyDescent="0.25">
      <c r="A480" s="220"/>
      <c r="B480" s="220"/>
      <c r="C480" s="220"/>
      <c r="D480" s="220"/>
      <c r="E480" s="220"/>
      <c r="F480" s="220"/>
      <c r="G480" s="220"/>
      <c r="H480" s="220"/>
      <c r="I480" s="220"/>
      <c r="J480" s="220"/>
      <c r="K480" s="220"/>
      <c r="L480" s="220"/>
      <c r="M480" s="220"/>
      <c r="N480" s="220"/>
      <c r="O480" s="220"/>
      <c r="P480" s="220"/>
      <c r="Q480" s="220"/>
      <c r="R480" s="220"/>
      <c r="S480" s="220"/>
    </row>
    <row r="481" spans="1:19" x14ac:dyDescent="0.25">
      <c r="A481" s="220"/>
      <c r="B481" s="220"/>
      <c r="C481" s="220"/>
      <c r="D481" s="220"/>
      <c r="E481" s="220"/>
      <c r="F481" s="220"/>
      <c r="G481" s="220"/>
      <c r="H481" s="220"/>
      <c r="I481" s="220"/>
      <c r="J481" s="220"/>
      <c r="K481" s="220"/>
      <c r="L481" s="220"/>
      <c r="M481" s="220"/>
      <c r="N481" s="220"/>
      <c r="O481" s="220"/>
      <c r="P481" s="220"/>
      <c r="Q481" s="220"/>
      <c r="R481" s="220"/>
      <c r="S481" s="220"/>
    </row>
    <row r="482" spans="1:19" x14ac:dyDescent="0.25">
      <c r="A482" s="220"/>
      <c r="B482" s="220"/>
      <c r="C482" s="220"/>
      <c r="D482" s="220"/>
      <c r="E482" s="220"/>
      <c r="F482" s="220"/>
      <c r="G482" s="220"/>
      <c r="H482" s="220"/>
      <c r="I482" s="220"/>
      <c r="J482" s="220"/>
      <c r="K482" s="220"/>
      <c r="L482" s="220"/>
      <c r="M482" s="220"/>
      <c r="N482" s="220"/>
      <c r="O482" s="220"/>
      <c r="P482" s="220"/>
      <c r="Q482" s="220"/>
      <c r="R482" s="220"/>
      <c r="S482" s="220"/>
    </row>
    <row r="483" spans="1:19" x14ac:dyDescent="0.25">
      <c r="A483" s="220"/>
      <c r="B483" s="220"/>
      <c r="C483" s="220"/>
      <c r="D483" s="220"/>
      <c r="E483" s="220"/>
      <c r="F483" s="220"/>
      <c r="G483" s="220"/>
      <c r="H483" s="220"/>
      <c r="I483" s="220"/>
      <c r="J483" s="220"/>
      <c r="K483" s="220"/>
      <c r="L483" s="220"/>
      <c r="M483" s="220"/>
      <c r="N483" s="220"/>
      <c r="O483" s="220"/>
      <c r="P483" s="220"/>
      <c r="Q483" s="220"/>
      <c r="R483" s="220"/>
      <c r="S483" s="220"/>
    </row>
    <row r="484" spans="1:19" x14ac:dyDescent="0.25">
      <c r="A484" s="220"/>
      <c r="B484" s="220"/>
      <c r="C484" s="220"/>
      <c r="D484" s="220"/>
      <c r="E484" s="220"/>
      <c r="F484" s="220"/>
      <c r="G484" s="220"/>
      <c r="H484" s="220"/>
      <c r="I484" s="220"/>
      <c r="J484" s="220"/>
      <c r="K484" s="220"/>
      <c r="L484" s="220"/>
      <c r="M484" s="220"/>
      <c r="N484" s="220"/>
      <c r="O484" s="220"/>
      <c r="P484" s="220"/>
      <c r="Q484" s="220"/>
      <c r="R484" s="220"/>
      <c r="S484" s="220"/>
    </row>
    <row r="485" spans="1:19" x14ac:dyDescent="0.25">
      <c r="A485" s="220"/>
      <c r="B485" s="220"/>
      <c r="C485" s="220"/>
      <c r="D485" s="220"/>
      <c r="E485" s="220"/>
      <c r="F485" s="220"/>
      <c r="G485" s="220"/>
      <c r="H485" s="220"/>
      <c r="I485" s="220"/>
      <c r="J485" s="220"/>
      <c r="K485" s="220"/>
      <c r="L485" s="220"/>
      <c r="M485" s="220"/>
      <c r="N485" s="220"/>
      <c r="O485" s="220"/>
      <c r="P485" s="220"/>
      <c r="Q485" s="220"/>
      <c r="R485" s="220"/>
      <c r="S485" s="220"/>
    </row>
    <row r="486" spans="1:19" x14ac:dyDescent="0.25">
      <c r="A486" s="220"/>
      <c r="B486" s="220"/>
      <c r="C486" s="220"/>
      <c r="D486" s="220"/>
      <c r="E486" s="220"/>
      <c r="F486" s="220"/>
      <c r="G486" s="220"/>
      <c r="H486" s="220"/>
      <c r="I486" s="220"/>
      <c r="J486" s="220"/>
      <c r="K486" s="220"/>
      <c r="L486" s="220"/>
      <c r="M486" s="220"/>
      <c r="N486" s="220"/>
      <c r="O486" s="220"/>
      <c r="P486" s="220"/>
      <c r="Q486" s="220"/>
      <c r="R486" s="220"/>
      <c r="S486" s="220"/>
    </row>
    <row r="487" spans="1:19" x14ac:dyDescent="0.25">
      <c r="A487" s="220"/>
      <c r="B487" s="220"/>
      <c r="C487" s="220"/>
      <c r="D487" s="220"/>
      <c r="E487" s="220"/>
      <c r="F487" s="220"/>
      <c r="G487" s="220"/>
      <c r="H487" s="220"/>
      <c r="I487" s="220"/>
      <c r="J487" s="220"/>
      <c r="K487" s="220"/>
      <c r="L487" s="220"/>
      <c r="M487" s="220"/>
      <c r="N487" s="220"/>
      <c r="O487" s="220"/>
      <c r="P487" s="220"/>
      <c r="Q487" s="220"/>
      <c r="R487" s="220"/>
      <c r="S487" s="220"/>
    </row>
    <row r="488" spans="1:19" x14ac:dyDescent="0.25">
      <c r="A488" s="220"/>
      <c r="B488" s="220"/>
      <c r="C488" s="220"/>
      <c r="D488" s="220"/>
      <c r="E488" s="220"/>
      <c r="F488" s="220"/>
      <c r="G488" s="220"/>
      <c r="H488" s="220"/>
      <c r="I488" s="220"/>
      <c r="J488" s="220"/>
      <c r="K488" s="220"/>
      <c r="L488" s="220"/>
      <c r="M488" s="220"/>
      <c r="N488" s="220"/>
      <c r="O488" s="220"/>
      <c r="P488" s="220"/>
      <c r="Q488" s="220"/>
      <c r="R488" s="220"/>
      <c r="S488" s="220"/>
    </row>
    <row r="489" spans="1:19" x14ac:dyDescent="0.25">
      <c r="A489" s="220"/>
      <c r="B489" s="220"/>
      <c r="C489" s="220"/>
      <c r="D489" s="220"/>
      <c r="E489" s="220"/>
      <c r="F489" s="220"/>
      <c r="G489" s="220"/>
      <c r="H489" s="220"/>
      <c r="I489" s="220"/>
      <c r="J489" s="220"/>
      <c r="K489" s="220"/>
      <c r="L489" s="220"/>
      <c r="M489" s="220"/>
      <c r="N489" s="220"/>
      <c r="O489" s="220"/>
      <c r="P489" s="220"/>
      <c r="Q489" s="220"/>
      <c r="R489" s="220"/>
      <c r="S489" s="220"/>
    </row>
    <row r="490" spans="1:19" x14ac:dyDescent="0.25">
      <c r="A490" s="220"/>
      <c r="B490" s="220"/>
      <c r="C490" s="220"/>
      <c r="D490" s="220"/>
      <c r="E490" s="220"/>
      <c r="F490" s="220"/>
      <c r="G490" s="220"/>
      <c r="H490" s="220"/>
      <c r="I490" s="220"/>
      <c r="J490" s="220"/>
      <c r="K490" s="220"/>
      <c r="L490" s="220"/>
      <c r="M490" s="220"/>
      <c r="N490" s="220"/>
      <c r="O490" s="220"/>
      <c r="P490" s="220"/>
      <c r="Q490" s="220"/>
      <c r="R490" s="220"/>
      <c r="S490" s="220"/>
    </row>
    <row r="491" spans="1:19" x14ac:dyDescent="0.25">
      <c r="A491" s="220"/>
      <c r="B491" s="220"/>
      <c r="C491" s="220"/>
      <c r="D491" s="220"/>
      <c r="E491" s="220"/>
      <c r="F491" s="220"/>
      <c r="G491" s="220"/>
      <c r="H491" s="220"/>
      <c r="I491" s="220"/>
      <c r="J491" s="220"/>
      <c r="K491" s="220"/>
      <c r="L491" s="220"/>
      <c r="M491" s="220"/>
      <c r="N491" s="220"/>
      <c r="O491" s="220"/>
      <c r="P491" s="220"/>
      <c r="Q491" s="220"/>
      <c r="R491" s="220"/>
      <c r="S491" s="220"/>
    </row>
    <row r="492" spans="1:19" x14ac:dyDescent="0.25">
      <c r="A492" s="220"/>
      <c r="B492" s="220"/>
      <c r="C492" s="220"/>
      <c r="D492" s="220"/>
      <c r="E492" s="220"/>
      <c r="F492" s="220"/>
      <c r="G492" s="220"/>
      <c r="H492" s="220"/>
      <c r="I492" s="220"/>
      <c r="J492" s="220"/>
      <c r="K492" s="220"/>
      <c r="L492" s="220"/>
      <c r="M492" s="220"/>
      <c r="N492" s="220"/>
      <c r="O492" s="220"/>
      <c r="P492" s="220"/>
      <c r="Q492" s="220"/>
      <c r="R492" s="220"/>
      <c r="S492" s="220"/>
    </row>
    <row r="493" spans="1:19" x14ac:dyDescent="0.25">
      <c r="A493" s="220"/>
      <c r="B493" s="220"/>
      <c r="C493" s="220"/>
      <c r="D493" s="220"/>
      <c r="E493" s="220"/>
      <c r="F493" s="220"/>
      <c r="G493" s="220"/>
      <c r="H493" s="220"/>
      <c r="I493" s="220"/>
      <c r="J493" s="220"/>
      <c r="K493" s="220"/>
      <c r="L493" s="220"/>
      <c r="M493" s="220"/>
      <c r="N493" s="220"/>
      <c r="O493" s="220"/>
      <c r="P493" s="220"/>
      <c r="Q493" s="220"/>
      <c r="R493" s="220"/>
      <c r="S493" s="220"/>
    </row>
    <row r="494" spans="1:19" x14ac:dyDescent="0.25">
      <c r="A494" s="220"/>
      <c r="B494" s="220"/>
      <c r="C494" s="220"/>
      <c r="D494" s="220"/>
      <c r="E494" s="220"/>
      <c r="F494" s="220"/>
      <c r="G494" s="220"/>
      <c r="H494" s="220"/>
      <c r="I494" s="220"/>
      <c r="J494" s="220"/>
      <c r="K494" s="220"/>
      <c r="L494" s="220"/>
      <c r="M494" s="220"/>
      <c r="N494" s="220"/>
      <c r="O494" s="220"/>
      <c r="P494" s="220"/>
      <c r="Q494" s="220"/>
      <c r="R494" s="220"/>
      <c r="S494" s="220"/>
    </row>
    <row r="495" spans="1:19" x14ac:dyDescent="0.25">
      <c r="A495" s="220"/>
      <c r="B495" s="220"/>
      <c r="C495" s="220"/>
      <c r="D495" s="220"/>
      <c r="E495" s="220"/>
      <c r="F495" s="220"/>
      <c r="G495" s="220"/>
      <c r="H495" s="220"/>
      <c r="I495" s="220"/>
      <c r="J495" s="220"/>
      <c r="K495" s="220"/>
      <c r="L495" s="220"/>
      <c r="M495" s="220"/>
      <c r="N495" s="220"/>
      <c r="O495" s="220"/>
      <c r="P495" s="220"/>
      <c r="Q495" s="220"/>
      <c r="R495" s="220"/>
      <c r="S495" s="220"/>
    </row>
    <row r="496" spans="1:19" x14ac:dyDescent="0.25">
      <c r="A496" s="220"/>
      <c r="B496" s="220"/>
      <c r="C496" s="220"/>
      <c r="D496" s="220"/>
      <c r="E496" s="220"/>
      <c r="F496" s="220"/>
      <c r="G496" s="220"/>
      <c r="H496" s="220"/>
      <c r="I496" s="220"/>
      <c r="J496" s="220"/>
      <c r="K496" s="220"/>
      <c r="L496" s="220"/>
      <c r="M496" s="220"/>
      <c r="N496" s="220"/>
      <c r="O496" s="220"/>
      <c r="P496" s="220"/>
      <c r="Q496" s="220"/>
      <c r="R496" s="220"/>
      <c r="S496" s="220"/>
    </row>
    <row r="497" spans="1:19" x14ac:dyDescent="0.25">
      <c r="A497" s="220"/>
      <c r="B497" s="220"/>
      <c r="C497" s="220"/>
      <c r="D497" s="220"/>
      <c r="E497" s="220"/>
      <c r="F497" s="220"/>
      <c r="G497" s="220"/>
      <c r="H497" s="220"/>
      <c r="I497" s="220"/>
      <c r="J497" s="220"/>
      <c r="K497" s="220"/>
      <c r="L497" s="220"/>
      <c r="M497" s="220"/>
      <c r="N497" s="220"/>
      <c r="O497" s="220"/>
      <c r="P497" s="220"/>
      <c r="Q497" s="220"/>
      <c r="R497" s="220"/>
      <c r="S497" s="220"/>
    </row>
    <row r="498" spans="1:19" x14ac:dyDescent="0.25">
      <c r="A498" s="220"/>
      <c r="B498" s="220"/>
      <c r="C498" s="220"/>
      <c r="D498" s="220"/>
      <c r="E498" s="220"/>
      <c r="F498" s="220"/>
      <c r="G498" s="220"/>
      <c r="H498" s="220"/>
      <c r="I498" s="220"/>
      <c r="J498" s="220"/>
      <c r="K498" s="220"/>
      <c r="L498" s="220"/>
      <c r="M498" s="220"/>
      <c r="N498" s="220"/>
      <c r="O498" s="220"/>
      <c r="P498" s="220"/>
      <c r="Q498" s="220"/>
      <c r="R498" s="220"/>
      <c r="S498" s="220"/>
    </row>
    <row r="499" spans="1:19" x14ac:dyDescent="0.25">
      <c r="A499" s="220"/>
      <c r="B499" s="220"/>
      <c r="C499" s="220"/>
      <c r="D499" s="220"/>
      <c r="E499" s="220"/>
      <c r="F499" s="220"/>
      <c r="G499" s="220"/>
      <c r="H499" s="220"/>
      <c r="I499" s="220"/>
      <c r="J499" s="220"/>
      <c r="K499" s="220"/>
      <c r="L499" s="220"/>
      <c r="M499" s="220"/>
      <c r="N499" s="220"/>
      <c r="O499" s="220"/>
      <c r="P499" s="220"/>
      <c r="Q499" s="220"/>
      <c r="R499" s="220"/>
      <c r="S499" s="220"/>
    </row>
    <row r="500" spans="1:19" x14ac:dyDescent="0.25">
      <c r="A500" s="220"/>
      <c r="B500" s="220"/>
      <c r="C500" s="220"/>
      <c r="D500" s="220"/>
      <c r="E500" s="220"/>
      <c r="F500" s="220"/>
      <c r="G500" s="220"/>
      <c r="H500" s="220"/>
      <c r="I500" s="220"/>
      <c r="J500" s="220"/>
      <c r="K500" s="220"/>
      <c r="L500" s="220"/>
      <c r="M500" s="220"/>
      <c r="N500" s="220"/>
      <c r="O500" s="220"/>
      <c r="P500" s="220"/>
      <c r="Q500" s="220"/>
      <c r="R500" s="220"/>
      <c r="S500" s="220"/>
    </row>
    <row r="501" spans="1:19" x14ac:dyDescent="0.25">
      <c r="A501" s="220"/>
      <c r="B501" s="220"/>
      <c r="C501" s="220"/>
      <c r="D501" s="220"/>
      <c r="E501" s="220"/>
      <c r="F501" s="220"/>
      <c r="G501" s="220"/>
      <c r="H501" s="220"/>
      <c r="I501" s="220"/>
      <c r="J501" s="220"/>
      <c r="K501" s="220"/>
      <c r="L501" s="220"/>
      <c r="M501" s="220"/>
      <c r="N501" s="220"/>
      <c r="O501" s="220"/>
      <c r="P501" s="220"/>
      <c r="Q501" s="220"/>
      <c r="R501" s="220"/>
      <c r="S501" s="220"/>
    </row>
    <row r="502" spans="1:19" x14ac:dyDescent="0.25">
      <c r="A502" s="220"/>
      <c r="B502" s="220"/>
      <c r="C502" s="220"/>
      <c r="D502" s="220"/>
      <c r="E502" s="220"/>
      <c r="F502" s="220"/>
      <c r="G502" s="220"/>
      <c r="H502" s="220"/>
      <c r="I502" s="220"/>
      <c r="J502" s="220"/>
      <c r="K502" s="220"/>
      <c r="L502" s="220"/>
      <c r="M502" s="220"/>
      <c r="N502" s="220"/>
      <c r="O502" s="220"/>
      <c r="P502" s="220"/>
      <c r="Q502" s="220"/>
      <c r="R502" s="220"/>
      <c r="S502" s="220"/>
    </row>
    <row r="503" spans="1:19" x14ac:dyDescent="0.25">
      <c r="A503" s="220"/>
      <c r="B503" s="220"/>
      <c r="C503" s="220"/>
      <c r="D503" s="220"/>
      <c r="E503" s="220"/>
      <c r="F503" s="220"/>
      <c r="G503" s="220"/>
      <c r="H503" s="220"/>
      <c r="I503" s="220"/>
      <c r="J503" s="220"/>
      <c r="K503" s="220"/>
      <c r="L503" s="220"/>
      <c r="M503" s="220"/>
      <c r="N503" s="220"/>
      <c r="O503" s="220"/>
      <c r="P503" s="220"/>
      <c r="Q503" s="220"/>
      <c r="R503" s="220"/>
      <c r="S503" s="220"/>
    </row>
    <row r="504" spans="1:19" x14ac:dyDescent="0.25">
      <c r="A504" s="220"/>
      <c r="B504" s="220"/>
      <c r="C504" s="220"/>
      <c r="D504" s="220"/>
      <c r="E504" s="220"/>
      <c r="F504" s="220"/>
      <c r="G504" s="220"/>
      <c r="H504" s="220"/>
      <c r="I504" s="220"/>
      <c r="J504" s="220"/>
      <c r="K504" s="220"/>
      <c r="L504" s="220"/>
      <c r="M504" s="220"/>
      <c r="N504" s="220"/>
      <c r="O504" s="220"/>
      <c r="P504" s="220"/>
      <c r="Q504" s="220"/>
      <c r="R504" s="220"/>
      <c r="S504" s="220"/>
    </row>
    <row r="505" spans="1:19" x14ac:dyDescent="0.25">
      <c r="A505" s="220"/>
      <c r="B505" s="220"/>
      <c r="C505" s="220"/>
      <c r="D505" s="220"/>
      <c r="E505" s="220"/>
      <c r="F505" s="220"/>
      <c r="G505" s="220"/>
      <c r="H505" s="220"/>
      <c r="I505" s="220"/>
      <c r="J505" s="220"/>
      <c r="K505" s="220"/>
      <c r="L505" s="220"/>
      <c r="M505" s="220"/>
      <c r="N505" s="220"/>
      <c r="O505" s="220"/>
      <c r="P505" s="220"/>
      <c r="Q505" s="220"/>
      <c r="R505" s="220"/>
      <c r="S505" s="220"/>
    </row>
    <row r="506" spans="1:19" x14ac:dyDescent="0.25">
      <c r="A506" s="220"/>
      <c r="B506" s="220"/>
      <c r="C506" s="220"/>
      <c r="D506" s="220"/>
      <c r="E506" s="220"/>
      <c r="F506" s="220"/>
      <c r="G506" s="220"/>
      <c r="H506" s="220"/>
      <c r="I506" s="220"/>
      <c r="J506" s="220"/>
      <c r="K506" s="220"/>
      <c r="L506" s="220"/>
      <c r="M506" s="220"/>
      <c r="N506" s="220"/>
      <c r="O506" s="220"/>
      <c r="P506" s="220"/>
      <c r="Q506" s="220"/>
      <c r="R506" s="220"/>
      <c r="S506" s="220"/>
    </row>
    <row r="507" spans="1:19" x14ac:dyDescent="0.25">
      <c r="A507" s="220"/>
      <c r="B507" s="220"/>
      <c r="C507" s="220"/>
      <c r="D507" s="220"/>
      <c r="E507" s="220"/>
      <c r="F507" s="220"/>
      <c r="G507" s="220"/>
      <c r="H507" s="220"/>
      <c r="I507" s="220"/>
      <c r="J507" s="220"/>
      <c r="K507" s="220"/>
      <c r="L507" s="220"/>
      <c r="M507" s="220"/>
      <c r="N507" s="220"/>
      <c r="O507" s="220"/>
      <c r="P507" s="220"/>
      <c r="Q507" s="220"/>
      <c r="R507" s="220"/>
      <c r="S507" s="220"/>
    </row>
    <row r="508" spans="1:19" x14ac:dyDescent="0.25">
      <c r="A508" s="220"/>
      <c r="B508" s="220"/>
      <c r="C508" s="220"/>
      <c r="D508" s="220"/>
      <c r="E508" s="220"/>
      <c r="F508" s="220"/>
      <c r="G508" s="220"/>
      <c r="H508" s="220"/>
      <c r="I508" s="220"/>
      <c r="J508" s="220"/>
      <c r="K508" s="220"/>
      <c r="L508" s="220"/>
      <c r="M508" s="220"/>
      <c r="N508" s="220"/>
      <c r="O508" s="220"/>
      <c r="P508" s="220"/>
      <c r="Q508" s="220"/>
      <c r="R508" s="220"/>
      <c r="S508" s="220"/>
    </row>
    <row r="509" spans="1:19" x14ac:dyDescent="0.25">
      <c r="A509" s="220"/>
      <c r="B509" s="220"/>
      <c r="C509" s="220"/>
      <c r="D509" s="220"/>
      <c r="E509" s="220"/>
      <c r="F509" s="220"/>
      <c r="G509" s="220"/>
      <c r="H509" s="220"/>
      <c r="I509" s="220"/>
      <c r="J509" s="220"/>
      <c r="K509" s="220"/>
      <c r="L509" s="220"/>
      <c r="M509" s="220"/>
      <c r="N509" s="220"/>
      <c r="O509" s="220"/>
      <c r="P509" s="220"/>
      <c r="Q509" s="220"/>
      <c r="R509" s="220"/>
      <c r="S509" s="220"/>
    </row>
    <row r="510" spans="1:19" x14ac:dyDescent="0.25">
      <c r="A510" s="220"/>
      <c r="B510" s="220"/>
      <c r="C510" s="220"/>
      <c r="D510" s="220"/>
      <c r="E510" s="220"/>
      <c r="F510" s="220"/>
      <c r="G510" s="220"/>
      <c r="H510" s="220"/>
      <c r="I510" s="220"/>
      <c r="J510" s="220"/>
      <c r="K510" s="220"/>
      <c r="L510" s="220"/>
      <c r="M510" s="220"/>
      <c r="N510" s="220"/>
      <c r="O510" s="220"/>
      <c r="P510" s="220"/>
      <c r="Q510" s="220"/>
      <c r="R510" s="220"/>
      <c r="S510" s="220"/>
    </row>
    <row r="511" spans="1:19" x14ac:dyDescent="0.25">
      <c r="A511" s="220"/>
      <c r="B511" s="220"/>
      <c r="C511" s="220"/>
      <c r="D511" s="220"/>
      <c r="E511" s="220"/>
      <c r="F511" s="220"/>
      <c r="G511" s="220"/>
      <c r="H511" s="220"/>
      <c r="I511" s="220"/>
      <c r="J511" s="220"/>
      <c r="K511" s="220"/>
      <c r="L511" s="220"/>
      <c r="M511" s="220"/>
      <c r="N511" s="220"/>
      <c r="O511" s="220"/>
      <c r="P511" s="220"/>
      <c r="Q511" s="220"/>
      <c r="R511" s="220"/>
      <c r="S511" s="220"/>
    </row>
    <row r="512" spans="1:19" x14ac:dyDescent="0.25">
      <c r="A512" s="220"/>
      <c r="B512" s="220"/>
      <c r="C512" s="220"/>
      <c r="D512" s="220"/>
      <c r="E512" s="220"/>
      <c r="F512" s="220"/>
      <c r="G512" s="220"/>
      <c r="H512" s="220"/>
      <c r="I512" s="220"/>
      <c r="J512" s="220"/>
      <c r="K512" s="220"/>
      <c r="L512" s="220"/>
      <c r="M512" s="220"/>
      <c r="N512" s="220"/>
      <c r="O512" s="220"/>
      <c r="P512" s="220"/>
      <c r="Q512" s="220"/>
      <c r="R512" s="220"/>
      <c r="S512" s="220"/>
    </row>
    <row r="513" spans="1:19" x14ac:dyDescent="0.25">
      <c r="A513" s="220"/>
      <c r="B513" s="220"/>
      <c r="C513" s="220"/>
      <c r="D513" s="220"/>
      <c r="E513" s="220"/>
      <c r="F513" s="220"/>
      <c r="G513" s="220"/>
      <c r="H513" s="220"/>
      <c r="I513" s="220"/>
      <c r="J513" s="220"/>
      <c r="K513" s="220"/>
      <c r="L513" s="220"/>
      <c r="M513" s="220"/>
      <c r="N513" s="220"/>
      <c r="O513" s="220"/>
      <c r="P513" s="220"/>
      <c r="Q513" s="220"/>
      <c r="R513" s="220"/>
      <c r="S513" s="220"/>
    </row>
    <row r="514" spans="1:19" x14ac:dyDescent="0.25">
      <c r="A514" s="220"/>
      <c r="B514" s="220"/>
      <c r="C514" s="220"/>
      <c r="D514" s="220"/>
      <c r="E514" s="220"/>
      <c r="F514" s="220"/>
      <c r="G514" s="220"/>
      <c r="H514" s="220"/>
      <c r="I514" s="220"/>
      <c r="J514" s="220"/>
      <c r="K514" s="220"/>
      <c r="L514" s="220"/>
      <c r="M514" s="220"/>
      <c r="N514" s="220"/>
      <c r="O514" s="220"/>
      <c r="P514" s="220"/>
      <c r="Q514" s="220"/>
      <c r="R514" s="220"/>
      <c r="S514" s="220"/>
    </row>
    <row r="515" spans="1:19" x14ac:dyDescent="0.25">
      <c r="A515" s="220"/>
      <c r="B515" s="220"/>
      <c r="C515" s="220"/>
      <c r="D515" s="220"/>
      <c r="E515" s="220"/>
      <c r="F515" s="220"/>
      <c r="G515" s="220"/>
      <c r="H515" s="220"/>
      <c r="I515" s="220"/>
      <c r="J515" s="220"/>
      <c r="K515" s="220"/>
      <c r="L515" s="220"/>
      <c r="M515" s="220"/>
      <c r="N515" s="220"/>
      <c r="O515" s="220"/>
      <c r="P515" s="220"/>
      <c r="Q515" s="220"/>
      <c r="R515" s="220"/>
      <c r="S515" s="220"/>
    </row>
    <row r="516" spans="1:19" x14ac:dyDescent="0.25">
      <c r="A516" s="220"/>
      <c r="B516" s="220"/>
      <c r="C516" s="220"/>
      <c r="D516" s="220"/>
      <c r="E516" s="220"/>
      <c r="F516" s="220"/>
      <c r="G516" s="220"/>
      <c r="H516" s="220"/>
      <c r="I516" s="220"/>
      <c r="J516" s="220"/>
      <c r="K516" s="220"/>
      <c r="L516" s="220"/>
      <c r="M516" s="220"/>
      <c r="N516" s="220"/>
      <c r="O516" s="220"/>
      <c r="P516" s="220"/>
      <c r="Q516" s="220"/>
      <c r="R516" s="220"/>
      <c r="S516" s="220"/>
    </row>
    <row r="517" spans="1:19" x14ac:dyDescent="0.25">
      <c r="A517" s="220"/>
      <c r="B517" s="220"/>
      <c r="C517" s="220"/>
      <c r="D517" s="220"/>
      <c r="E517" s="220"/>
      <c r="F517" s="220"/>
      <c r="G517" s="220"/>
      <c r="H517" s="220"/>
      <c r="I517" s="220"/>
      <c r="J517" s="220"/>
      <c r="K517" s="220"/>
      <c r="L517" s="220"/>
      <c r="M517" s="220"/>
      <c r="N517" s="220"/>
      <c r="O517" s="220"/>
      <c r="P517" s="220"/>
      <c r="Q517" s="220"/>
      <c r="R517" s="220"/>
      <c r="S517" s="220"/>
    </row>
    <row r="518" spans="1:19" x14ac:dyDescent="0.25">
      <c r="A518" s="220"/>
      <c r="B518" s="220"/>
      <c r="C518" s="220"/>
      <c r="D518" s="220"/>
      <c r="E518" s="220"/>
      <c r="F518" s="220"/>
      <c r="G518" s="220"/>
      <c r="H518" s="220"/>
      <c r="I518" s="220"/>
      <c r="J518" s="220"/>
      <c r="K518" s="220"/>
      <c r="L518" s="220"/>
      <c r="M518" s="220"/>
      <c r="N518" s="220"/>
      <c r="O518" s="220"/>
      <c r="P518" s="220"/>
      <c r="Q518" s="220"/>
      <c r="R518" s="220"/>
      <c r="S518" s="220"/>
    </row>
    <row r="519" spans="1:19" x14ac:dyDescent="0.25">
      <c r="A519" s="220"/>
      <c r="B519" s="220"/>
      <c r="C519" s="220"/>
      <c r="D519" s="220"/>
      <c r="E519" s="220"/>
      <c r="F519" s="220"/>
      <c r="G519" s="220"/>
      <c r="H519" s="220"/>
      <c r="I519" s="220"/>
      <c r="J519" s="220"/>
      <c r="K519" s="220"/>
      <c r="L519" s="220"/>
      <c r="M519" s="220"/>
      <c r="N519" s="220"/>
      <c r="O519" s="220"/>
      <c r="P519" s="220"/>
      <c r="Q519" s="220"/>
      <c r="R519" s="220"/>
      <c r="S519" s="220"/>
    </row>
    <row r="520" spans="1:19" x14ac:dyDescent="0.25">
      <c r="A520" s="220"/>
      <c r="B520" s="220"/>
      <c r="C520" s="220"/>
      <c r="D520" s="220"/>
      <c r="E520" s="220"/>
      <c r="F520" s="220"/>
      <c r="G520" s="220"/>
      <c r="H520" s="220"/>
      <c r="I520" s="220"/>
      <c r="J520" s="220"/>
      <c r="K520" s="220"/>
      <c r="L520" s="220"/>
      <c r="M520" s="220"/>
      <c r="N520" s="220"/>
      <c r="O520" s="220"/>
      <c r="P520" s="220"/>
      <c r="Q520" s="220"/>
      <c r="R520" s="220"/>
      <c r="S520" s="220"/>
    </row>
    <row r="521" spans="1:19" x14ac:dyDescent="0.25">
      <c r="A521" s="220"/>
      <c r="B521" s="220"/>
      <c r="C521" s="220"/>
      <c r="D521" s="220"/>
      <c r="E521" s="220"/>
      <c r="F521" s="220"/>
      <c r="G521" s="220"/>
      <c r="H521" s="220"/>
      <c r="I521" s="220"/>
      <c r="J521" s="220"/>
      <c r="K521" s="220"/>
      <c r="L521" s="220"/>
      <c r="M521" s="220"/>
      <c r="N521" s="220"/>
      <c r="O521" s="220"/>
      <c r="P521" s="220"/>
      <c r="Q521" s="220"/>
      <c r="R521" s="220"/>
      <c r="S521" s="220"/>
    </row>
    <row r="522" spans="1:19" x14ac:dyDescent="0.25">
      <c r="A522" s="220"/>
      <c r="B522" s="220"/>
      <c r="C522" s="220"/>
      <c r="D522" s="220"/>
      <c r="E522" s="220"/>
      <c r="F522" s="220"/>
      <c r="G522" s="220"/>
      <c r="H522" s="220"/>
      <c r="I522" s="220"/>
      <c r="J522" s="220"/>
      <c r="K522" s="220"/>
      <c r="L522" s="220"/>
      <c r="M522" s="220"/>
      <c r="N522" s="220"/>
      <c r="O522" s="220"/>
      <c r="P522" s="220"/>
      <c r="Q522" s="220"/>
      <c r="R522" s="220"/>
      <c r="S522" s="220"/>
    </row>
    <row r="523" spans="1:19" x14ac:dyDescent="0.25">
      <c r="A523" s="220"/>
      <c r="B523" s="220"/>
      <c r="C523" s="220"/>
      <c r="D523" s="220"/>
      <c r="E523" s="220"/>
      <c r="F523" s="220"/>
      <c r="G523" s="220"/>
      <c r="H523" s="220"/>
      <c r="I523" s="220"/>
      <c r="J523" s="220"/>
      <c r="K523" s="220"/>
      <c r="L523" s="220"/>
      <c r="M523" s="220"/>
      <c r="N523" s="220"/>
      <c r="O523" s="220"/>
      <c r="P523" s="220"/>
      <c r="Q523" s="220"/>
      <c r="R523" s="220"/>
      <c r="S523" s="220"/>
    </row>
    <row r="524" spans="1:19" x14ac:dyDescent="0.25">
      <c r="A524" s="220"/>
      <c r="B524" s="220"/>
      <c r="C524" s="220"/>
      <c r="D524" s="220"/>
      <c r="E524" s="220"/>
      <c r="F524" s="220"/>
      <c r="G524" s="220"/>
      <c r="H524" s="220"/>
      <c r="I524" s="220"/>
      <c r="J524" s="220"/>
      <c r="K524" s="220"/>
      <c r="L524" s="220"/>
      <c r="M524" s="220"/>
      <c r="N524" s="220"/>
      <c r="O524" s="220"/>
      <c r="P524" s="220"/>
      <c r="Q524" s="220"/>
      <c r="R524" s="220"/>
      <c r="S524" s="220"/>
    </row>
    <row r="525" spans="1:19" x14ac:dyDescent="0.25">
      <c r="A525" s="220"/>
      <c r="B525" s="220"/>
      <c r="C525" s="220"/>
      <c r="D525" s="220"/>
      <c r="E525" s="220"/>
      <c r="F525" s="220"/>
      <c r="G525" s="220"/>
      <c r="H525" s="220"/>
      <c r="I525" s="220"/>
      <c r="J525" s="220"/>
      <c r="K525" s="220"/>
      <c r="L525" s="220"/>
      <c r="M525" s="220"/>
      <c r="N525" s="220"/>
      <c r="O525" s="220"/>
      <c r="P525" s="220"/>
      <c r="Q525" s="220"/>
      <c r="R525" s="220"/>
      <c r="S525" s="220"/>
    </row>
    <row r="526" spans="1:19" x14ac:dyDescent="0.25">
      <c r="A526" s="220"/>
      <c r="B526" s="220"/>
      <c r="C526" s="220"/>
      <c r="D526" s="220"/>
      <c r="E526" s="220"/>
      <c r="F526" s="220"/>
      <c r="G526" s="220"/>
      <c r="H526" s="220"/>
      <c r="I526" s="220"/>
      <c r="J526" s="220"/>
      <c r="K526" s="220"/>
      <c r="L526" s="220"/>
      <c r="M526" s="220"/>
      <c r="N526" s="220"/>
      <c r="O526" s="220"/>
      <c r="P526" s="220"/>
      <c r="Q526" s="220"/>
      <c r="R526" s="220"/>
      <c r="S526" s="220"/>
    </row>
    <row r="527" spans="1:19" x14ac:dyDescent="0.25">
      <c r="A527" s="220"/>
      <c r="B527" s="220"/>
      <c r="C527" s="220"/>
      <c r="D527" s="220"/>
      <c r="E527" s="220"/>
      <c r="F527" s="220"/>
      <c r="G527" s="220"/>
      <c r="H527" s="220"/>
      <c r="I527" s="220"/>
      <c r="J527" s="220"/>
      <c r="K527" s="220"/>
      <c r="L527" s="220"/>
      <c r="M527" s="220"/>
      <c r="N527" s="220"/>
      <c r="O527" s="220"/>
      <c r="P527" s="220"/>
      <c r="Q527" s="220"/>
      <c r="R527" s="220"/>
      <c r="S527" s="220"/>
    </row>
    <row r="528" spans="1:19" x14ac:dyDescent="0.25">
      <c r="A528" s="220"/>
      <c r="B528" s="220"/>
      <c r="C528" s="220"/>
      <c r="D528" s="220"/>
      <c r="E528" s="220"/>
      <c r="F528" s="220"/>
      <c r="G528" s="220"/>
      <c r="H528" s="220"/>
      <c r="I528" s="220"/>
      <c r="J528" s="220"/>
      <c r="K528" s="220"/>
      <c r="L528" s="220"/>
      <c r="M528" s="220"/>
      <c r="N528" s="220"/>
      <c r="O528" s="220"/>
      <c r="P528" s="220"/>
      <c r="Q528" s="220"/>
      <c r="R528" s="220"/>
      <c r="S528" s="220"/>
    </row>
    <row r="529" spans="1:19" x14ac:dyDescent="0.25">
      <c r="A529" s="220"/>
      <c r="B529" s="220"/>
      <c r="C529" s="220"/>
      <c r="D529" s="220"/>
      <c r="E529" s="220"/>
      <c r="F529" s="220"/>
      <c r="G529" s="220"/>
      <c r="H529" s="220"/>
      <c r="I529" s="220"/>
      <c r="J529" s="220"/>
      <c r="K529" s="220"/>
      <c r="L529" s="220"/>
      <c r="M529" s="220"/>
      <c r="N529" s="220"/>
      <c r="O529" s="220"/>
      <c r="P529" s="220"/>
      <c r="Q529" s="220"/>
      <c r="R529" s="220"/>
      <c r="S529" s="220"/>
    </row>
    <row r="530" spans="1:19" x14ac:dyDescent="0.25">
      <c r="A530" s="220"/>
      <c r="B530" s="220"/>
      <c r="C530" s="220"/>
      <c r="D530" s="220"/>
      <c r="E530" s="220"/>
      <c r="F530" s="220"/>
      <c r="G530" s="220"/>
      <c r="H530" s="220"/>
      <c r="I530" s="220"/>
      <c r="J530" s="220"/>
      <c r="K530" s="220"/>
      <c r="L530" s="220"/>
      <c r="M530" s="220"/>
      <c r="N530" s="220"/>
      <c r="O530" s="220"/>
      <c r="P530" s="220"/>
      <c r="Q530" s="220"/>
      <c r="R530" s="220"/>
      <c r="S530" s="220"/>
    </row>
    <row r="531" spans="1:19" x14ac:dyDescent="0.25">
      <c r="A531" s="220"/>
      <c r="B531" s="220"/>
      <c r="C531" s="220"/>
      <c r="D531" s="220"/>
      <c r="E531" s="220"/>
      <c r="F531" s="220"/>
      <c r="G531" s="220"/>
      <c r="H531" s="220"/>
      <c r="I531" s="220"/>
      <c r="J531" s="220"/>
      <c r="K531" s="220"/>
      <c r="L531" s="220"/>
      <c r="M531" s="220"/>
      <c r="N531" s="220"/>
      <c r="O531" s="220"/>
      <c r="P531" s="220"/>
      <c r="Q531" s="220"/>
      <c r="R531" s="220"/>
      <c r="S531" s="220"/>
    </row>
    <row r="532" spans="1:19" x14ac:dyDescent="0.25">
      <c r="A532" s="220"/>
      <c r="B532" s="220"/>
      <c r="C532" s="220"/>
      <c r="D532" s="220"/>
      <c r="E532" s="220"/>
      <c r="F532" s="220"/>
      <c r="G532" s="220"/>
      <c r="H532" s="220"/>
      <c r="I532" s="220"/>
      <c r="J532" s="220"/>
      <c r="K532" s="220"/>
      <c r="L532" s="220"/>
      <c r="M532" s="220"/>
      <c r="N532" s="220"/>
      <c r="O532" s="220"/>
      <c r="P532" s="220"/>
      <c r="Q532" s="220"/>
      <c r="R532" s="220"/>
      <c r="S532" s="220"/>
    </row>
    <row r="533" spans="1:19" x14ac:dyDescent="0.25">
      <c r="A533" s="220"/>
      <c r="B533" s="220"/>
      <c r="C533" s="220"/>
      <c r="D533" s="220"/>
      <c r="E533" s="220"/>
      <c r="F533" s="220"/>
      <c r="G533" s="220"/>
      <c r="H533" s="220"/>
      <c r="I533" s="220"/>
      <c r="J533" s="220"/>
      <c r="K533" s="220"/>
      <c r="L533" s="220"/>
      <c r="M533" s="220"/>
      <c r="N533" s="220"/>
      <c r="O533" s="220"/>
      <c r="P533" s="220"/>
      <c r="Q533" s="220"/>
      <c r="R533" s="220"/>
      <c r="S533" s="220"/>
    </row>
    <row r="534" spans="1:19" x14ac:dyDescent="0.25">
      <c r="A534" s="220"/>
      <c r="B534" s="220"/>
      <c r="C534" s="220"/>
      <c r="D534" s="220"/>
      <c r="E534" s="220"/>
      <c r="F534" s="220"/>
      <c r="G534" s="220"/>
      <c r="H534" s="220"/>
      <c r="I534" s="220"/>
      <c r="J534" s="220"/>
      <c r="K534" s="220"/>
      <c r="L534" s="220"/>
      <c r="M534" s="220"/>
      <c r="N534" s="220"/>
      <c r="O534" s="220"/>
      <c r="P534" s="220"/>
      <c r="Q534" s="220"/>
      <c r="R534" s="220"/>
      <c r="S534" s="220"/>
    </row>
    <row r="535" spans="1:19" x14ac:dyDescent="0.25">
      <c r="A535" s="220"/>
      <c r="B535" s="220"/>
      <c r="C535" s="220"/>
      <c r="D535" s="220"/>
      <c r="E535" s="220"/>
      <c r="F535" s="220"/>
      <c r="G535" s="220"/>
      <c r="H535" s="220"/>
      <c r="I535" s="220"/>
      <c r="J535" s="220"/>
      <c r="K535" s="220"/>
      <c r="L535" s="220"/>
      <c r="M535" s="220"/>
      <c r="N535" s="220"/>
      <c r="O535" s="220"/>
      <c r="P535" s="220"/>
      <c r="Q535" s="220"/>
      <c r="R535" s="220"/>
      <c r="S535" s="220"/>
    </row>
    <row r="536" spans="1:19" x14ac:dyDescent="0.25">
      <c r="A536" s="220"/>
      <c r="B536" s="220"/>
      <c r="C536" s="220"/>
      <c r="D536" s="220"/>
      <c r="E536" s="220"/>
      <c r="F536" s="220"/>
      <c r="G536" s="220"/>
      <c r="H536" s="220"/>
      <c r="I536" s="220"/>
      <c r="J536" s="220"/>
      <c r="K536" s="220"/>
      <c r="L536" s="220"/>
      <c r="M536" s="220"/>
      <c r="N536" s="220"/>
      <c r="O536" s="220"/>
      <c r="P536" s="220"/>
      <c r="Q536" s="220"/>
      <c r="R536" s="220"/>
      <c r="S536" s="220"/>
    </row>
    <row r="537" spans="1:19" x14ac:dyDescent="0.25">
      <c r="A537" s="220"/>
      <c r="B537" s="220"/>
      <c r="C537" s="220"/>
      <c r="D537" s="220"/>
      <c r="E537" s="220"/>
      <c r="F537" s="220"/>
      <c r="G537" s="220"/>
      <c r="H537" s="220"/>
      <c r="I537" s="220"/>
      <c r="J537" s="220"/>
      <c r="K537" s="220"/>
      <c r="L537" s="220"/>
      <c r="M537" s="220"/>
      <c r="N537" s="220"/>
      <c r="O537" s="220"/>
      <c r="P537" s="220"/>
      <c r="Q537" s="220"/>
      <c r="R537" s="220"/>
      <c r="S537" s="220"/>
    </row>
    <row r="538" spans="1:19" x14ac:dyDescent="0.25">
      <c r="A538" s="220"/>
      <c r="B538" s="220"/>
      <c r="C538" s="220"/>
      <c r="D538" s="220"/>
      <c r="E538" s="220"/>
      <c r="F538" s="220"/>
      <c r="G538" s="220"/>
      <c r="H538" s="220"/>
      <c r="I538" s="220"/>
      <c r="J538" s="220"/>
      <c r="K538" s="220"/>
      <c r="L538" s="220"/>
      <c r="M538" s="220"/>
      <c r="N538" s="220"/>
      <c r="O538" s="220"/>
      <c r="P538" s="220"/>
      <c r="Q538" s="220"/>
      <c r="R538" s="220"/>
      <c r="S538" s="220"/>
    </row>
    <row r="539" spans="1:19" x14ac:dyDescent="0.25">
      <c r="A539" s="220"/>
      <c r="B539" s="220"/>
      <c r="C539" s="220"/>
      <c r="D539" s="220"/>
      <c r="E539" s="220"/>
      <c r="F539" s="220"/>
      <c r="G539" s="220"/>
      <c r="H539" s="220"/>
      <c r="I539" s="220"/>
      <c r="J539" s="220"/>
      <c r="K539" s="220"/>
      <c r="L539" s="220"/>
      <c r="M539" s="220"/>
      <c r="N539" s="220"/>
      <c r="O539" s="220"/>
      <c r="P539" s="220"/>
      <c r="Q539" s="220"/>
      <c r="R539" s="220"/>
      <c r="S539" s="220"/>
    </row>
    <row r="540" spans="1:19" x14ac:dyDescent="0.25">
      <c r="A540" s="220"/>
      <c r="B540" s="220"/>
      <c r="C540" s="220"/>
      <c r="D540" s="220"/>
      <c r="E540" s="220"/>
      <c r="F540" s="220"/>
      <c r="G540" s="220"/>
      <c r="H540" s="220"/>
      <c r="I540" s="220"/>
      <c r="J540" s="220"/>
      <c r="K540" s="220"/>
      <c r="L540" s="220"/>
      <c r="M540" s="220"/>
      <c r="N540" s="220"/>
      <c r="O540" s="220"/>
      <c r="P540" s="220"/>
      <c r="Q540" s="220"/>
      <c r="R540" s="220"/>
      <c r="S540" s="220"/>
    </row>
    <row r="541" spans="1:19" x14ac:dyDescent="0.25">
      <c r="A541" s="220"/>
      <c r="B541" s="220"/>
      <c r="C541" s="220"/>
      <c r="D541" s="220"/>
      <c r="E541" s="220"/>
      <c r="F541" s="220"/>
      <c r="G541" s="220"/>
      <c r="H541" s="220"/>
      <c r="I541" s="220"/>
      <c r="J541" s="220"/>
      <c r="K541" s="220"/>
      <c r="L541" s="220"/>
      <c r="M541" s="220"/>
      <c r="N541" s="220"/>
      <c r="O541" s="220"/>
      <c r="P541" s="220"/>
      <c r="Q541" s="220"/>
      <c r="R541" s="220"/>
      <c r="S541" s="220"/>
    </row>
    <row r="542" spans="1:19" x14ac:dyDescent="0.25">
      <c r="A542" s="220"/>
      <c r="B542" s="220"/>
      <c r="C542" s="220"/>
      <c r="D542" s="220"/>
      <c r="E542" s="220"/>
      <c r="F542" s="220"/>
      <c r="G542" s="220"/>
      <c r="H542" s="220"/>
      <c r="I542" s="220"/>
      <c r="J542" s="220"/>
      <c r="K542" s="220"/>
      <c r="L542" s="220"/>
      <c r="M542" s="220"/>
      <c r="N542" s="220"/>
      <c r="O542" s="220"/>
      <c r="P542" s="220"/>
      <c r="Q542" s="220"/>
      <c r="R542" s="220"/>
      <c r="S542" s="220"/>
    </row>
    <row r="543" spans="1:19" x14ac:dyDescent="0.25">
      <c r="A543" s="220"/>
      <c r="B543" s="220"/>
      <c r="C543" s="220"/>
      <c r="D543" s="220"/>
      <c r="E543" s="220"/>
      <c r="F543" s="220"/>
      <c r="G543" s="220"/>
      <c r="H543" s="220"/>
      <c r="I543" s="220"/>
      <c r="J543" s="220"/>
      <c r="K543" s="220"/>
      <c r="L543" s="220"/>
      <c r="M543" s="220"/>
      <c r="N543" s="220"/>
      <c r="O543" s="220"/>
      <c r="P543" s="220"/>
      <c r="Q543" s="220"/>
      <c r="R543" s="220"/>
      <c r="S543" s="220"/>
    </row>
    <row r="544" spans="1:19" x14ac:dyDescent="0.25">
      <c r="A544" s="220"/>
      <c r="B544" s="220"/>
      <c r="C544" s="220"/>
      <c r="D544" s="220"/>
      <c r="E544" s="220"/>
      <c r="F544" s="220"/>
      <c r="G544" s="220"/>
      <c r="H544" s="220"/>
      <c r="I544" s="220"/>
      <c r="J544" s="220"/>
      <c r="K544" s="220"/>
      <c r="L544" s="220"/>
      <c r="M544" s="220"/>
      <c r="N544" s="220"/>
      <c r="O544" s="220"/>
      <c r="P544" s="220"/>
      <c r="Q544" s="220"/>
      <c r="R544" s="220"/>
      <c r="S544" s="220"/>
    </row>
    <row r="545" spans="1:19" x14ac:dyDescent="0.25">
      <c r="A545" s="220"/>
      <c r="B545" s="220"/>
      <c r="C545" s="220"/>
      <c r="D545" s="220"/>
      <c r="E545" s="220"/>
      <c r="F545" s="220"/>
      <c r="G545" s="220"/>
      <c r="H545" s="220"/>
      <c r="I545" s="220"/>
      <c r="J545" s="220"/>
      <c r="K545" s="220"/>
      <c r="L545" s="220"/>
      <c r="M545" s="220"/>
      <c r="N545" s="220"/>
      <c r="O545" s="220"/>
      <c r="P545" s="220"/>
      <c r="Q545" s="220"/>
      <c r="R545" s="220"/>
      <c r="S545" s="220"/>
    </row>
    <row r="546" spans="1:19" x14ac:dyDescent="0.25">
      <c r="A546" s="220"/>
      <c r="B546" s="220"/>
      <c r="C546" s="220"/>
      <c r="D546" s="220"/>
      <c r="E546" s="220"/>
      <c r="F546" s="220"/>
      <c r="G546" s="220"/>
      <c r="H546" s="220"/>
      <c r="I546" s="220"/>
      <c r="J546" s="220"/>
      <c r="K546" s="220"/>
      <c r="L546" s="220"/>
      <c r="M546" s="220"/>
      <c r="N546" s="220"/>
      <c r="O546" s="220"/>
      <c r="P546" s="220"/>
      <c r="Q546" s="220"/>
      <c r="R546" s="220"/>
      <c r="S546" s="220"/>
    </row>
    <row r="547" spans="1:19" x14ac:dyDescent="0.25">
      <c r="A547" s="220"/>
      <c r="B547" s="220"/>
      <c r="C547" s="220"/>
      <c r="D547" s="220"/>
      <c r="E547" s="220"/>
      <c r="F547" s="220"/>
      <c r="G547" s="220"/>
      <c r="H547" s="220"/>
      <c r="I547" s="220"/>
      <c r="J547" s="220"/>
      <c r="K547" s="220"/>
      <c r="L547" s="220"/>
      <c r="M547" s="220"/>
      <c r="N547" s="220"/>
      <c r="O547" s="220"/>
      <c r="P547" s="220"/>
      <c r="Q547" s="220"/>
      <c r="R547" s="220"/>
      <c r="S547" s="220"/>
    </row>
    <row r="548" spans="1:19" x14ac:dyDescent="0.25">
      <c r="A548" s="220"/>
      <c r="B548" s="220"/>
      <c r="C548" s="220"/>
      <c r="D548" s="220"/>
      <c r="E548" s="220"/>
      <c r="F548" s="220"/>
      <c r="G548" s="220"/>
      <c r="H548" s="220"/>
      <c r="I548" s="220"/>
      <c r="J548" s="220"/>
      <c r="K548" s="220"/>
      <c r="L548" s="220"/>
      <c r="M548" s="220"/>
      <c r="N548" s="220"/>
      <c r="O548" s="220"/>
      <c r="P548" s="220"/>
      <c r="Q548" s="220"/>
      <c r="R548" s="220"/>
      <c r="S548" s="220"/>
    </row>
    <row r="549" spans="1:19" x14ac:dyDescent="0.25">
      <c r="A549" s="220"/>
      <c r="B549" s="220"/>
      <c r="C549" s="220"/>
      <c r="D549" s="220"/>
      <c r="E549" s="220"/>
      <c r="F549" s="220"/>
      <c r="G549" s="220"/>
      <c r="H549" s="220"/>
      <c r="I549" s="220"/>
      <c r="J549" s="220"/>
      <c r="K549" s="220"/>
      <c r="L549" s="220"/>
      <c r="M549" s="220"/>
      <c r="N549" s="220"/>
      <c r="O549" s="220"/>
      <c r="P549" s="220"/>
      <c r="Q549" s="220"/>
      <c r="R549" s="220"/>
      <c r="S549" s="220"/>
    </row>
    <row r="550" spans="1:19" x14ac:dyDescent="0.25">
      <c r="A550" s="220"/>
      <c r="B550" s="220"/>
      <c r="C550" s="220"/>
      <c r="D550" s="220"/>
      <c r="E550" s="220"/>
      <c r="F550" s="220"/>
      <c r="G550" s="220"/>
      <c r="H550" s="220"/>
      <c r="I550" s="220"/>
      <c r="J550" s="220"/>
      <c r="K550" s="220"/>
      <c r="L550" s="220"/>
      <c r="M550" s="220"/>
      <c r="N550" s="220"/>
      <c r="O550" s="220"/>
      <c r="P550" s="220"/>
      <c r="Q550" s="220"/>
      <c r="R550" s="220"/>
      <c r="S550" s="220"/>
    </row>
    <row r="551" spans="1:19" x14ac:dyDescent="0.25">
      <c r="A551" s="220"/>
      <c r="B551" s="220"/>
      <c r="C551" s="220"/>
      <c r="D551" s="220"/>
      <c r="E551" s="220"/>
      <c r="F551" s="220"/>
      <c r="G551" s="220"/>
      <c r="H551" s="220"/>
      <c r="I551" s="220"/>
      <c r="J551" s="220"/>
      <c r="K551" s="220"/>
      <c r="L551" s="220"/>
      <c r="M551" s="220"/>
      <c r="N551" s="220"/>
      <c r="O551" s="220"/>
      <c r="P551" s="220"/>
      <c r="Q551" s="220"/>
      <c r="R551" s="220"/>
      <c r="S551" s="220"/>
    </row>
    <row r="552" spans="1:19" x14ac:dyDescent="0.25">
      <c r="A552" s="220"/>
      <c r="B552" s="220"/>
      <c r="C552" s="220"/>
      <c r="D552" s="220"/>
      <c r="E552" s="220"/>
      <c r="F552" s="220"/>
      <c r="G552" s="220"/>
      <c r="H552" s="220"/>
      <c r="I552" s="220"/>
      <c r="J552" s="220"/>
      <c r="K552" s="220"/>
      <c r="L552" s="220"/>
      <c r="M552" s="220"/>
      <c r="N552" s="220"/>
      <c r="O552" s="220"/>
      <c r="P552" s="220"/>
      <c r="Q552" s="220"/>
      <c r="R552" s="220"/>
      <c r="S552" s="220"/>
    </row>
    <row r="553" spans="1:19" x14ac:dyDescent="0.25">
      <c r="A553" s="220"/>
      <c r="B553" s="220"/>
      <c r="C553" s="220"/>
      <c r="D553" s="220"/>
      <c r="E553" s="220"/>
      <c r="F553" s="220"/>
      <c r="G553" s="220"/>
      <c r="H553" s="220"/>
      <c r="I553" s="220"/>
      <c r="J553" s="220"/>
      <c r="K553" s="220"/>
      <c r="L553" s="220"/>
      <c r="M553" s="220"/>
      <c r="N553" s="220"/>
      <c r="O553" s="220"/>
      <c r="P553" s="220"/>
      <c r="Q553" s="220"/>
      <c r="R553" s="220"/>
      <c r="S553" s="220"/>
    </row>
    <row r="554" spans="1:19" x14ac:dyDescent="0.25">
      <c r="A554" s="220"/>
      <c r="B554" s="220"/>
      <c r="C554" s="220"/>
      <c r="D554" s="220"/>
      <c r="E554" s="220"/>
      <c r="F554" s="220"/>
      <c r="G554" s="220"/>
      <c r="H554" s="220"/>
      <c r="I554" s="220"/>
      <c r="J554" s="220"/>
      <c r="K554" s="220"/>
      <c r="L554" s="220"/>
      <c r="M554" s="220"/>
      <c r="N554" s="220"/>
      <c r="O554" s="220"/>
      <c r="P554" s="220"/>
      <c r="Q554" s="220"/>
      <c r="R554" s="220"/>
      <c r="S554" s="220"/>
    </row>
    <row r="555" spans="1:19" x14ac:dyDescent="0.25">
      <c r="A555" s="220"/>
      <c r="B555" s="220"/>
      <c r="C555" s="220"/>
      <c r="D555" s="220"/>
      <c r="E555" s="220"/>
      <c r="F555" s="220"/>
      <c r="G555" s="220"/>
      <c r="H555" s="220"/>
      <c r="I555" s="220"/>
      <c r="J555" s="220"/>
      <c r="K555" s="220"/>
      <c r="L555" s="220"/>
      <c r="M555" s="220"/>
      <c r="N555" s="220"/>
      <c r="O555" s="220"/>
      <c r="P555" s="220"/>
      <c r="Q555" s="220"/>
      <c r="R555" s="220"/>
      <c r="S555" s="220"/>
    </row>
    <row r="556" spans="1:19" x14ac:dyDescent="0.25">
      <c r="A556" s="220"/>
      <c r="B556" s="220"/>
      <c r="C556" s="220"/>
      <c r="D556" s="220"/>
      <c r="E556" s="220"/>
      <c r="F556" s="220"/>
      <c r="G556" s="220"/>
      <c r="H556" s="220"/>
      <c r="I556" s="220"/>
      <c r="J556" s="220"/>
      <c r="K556" s="220"/>
      <c r="L556" s="220"/>
      <c r="M556" s="220"/>
      <c r="N556" s="220"/>
      <c r="O556" s="220"/>
      <c r="P556" s="220"/>
      <c r="Q556" s="220"/>
      <c r="R556" s="220"/>
      <c r="S556" s="220"/>
    </row>
    <row r="557" spans="1:19" x14ac:dyDescent="0.25">
      <c r="A557" s="220"/>
      <c r="B557" s="220"/>
      <c r="C557" s="220"/>
      <c r="D557" s="220"/>
      <c r="E557" s="220"/>
      <c r="F557" s="220"/>
      <c r="G557" s="220"/>
      <c r="H557" s="220"/>
      <c r="I557" s="220"/>
      <c r="J557" s="220"/>
      <c r="K557" s="220"/>
      <c r="L557" s="220"/>
      <c r="M557" s="220"/>
      <c r="N557" s="220"/>
      <c r="O557" s="220"/>
      <c r="P557" s="220"/>
      <c r="Q557" s="220"/>
      <c r="R557" s="220"/>
      <c r="S557" s="220"/>
    </row>
    <row r="558" spans="1:19" x14ac:dyDescent="0.25">
      <c r="A558" s="220"/>
      <c r="B558" s="220"/>
      <c r="C558" s="220"/>
      <c r="D558" s="220"/>
      <c r="E558" s="220"/>
      <c r="F558" s="220"/>
      <c r="G558" s="220"/>
      <c r="H558" s="220"/>
      <c r="I558" s="220"/>
      <c r="J558" s="220"/>
      <c r="K558" s="220"/>
      <c r="L558" s="220"/>
      <c r="M558" s="220"/>
      <c r="N558" s="220"/>
      <c r="O558" s="220"/>
      <c r="P558" s="220"/>
      <c r="Q558" s="220"/>
      <c r="R558" s="220"/>
      <c r="S558" s="220"/>
    </row>
    <row r="559" spans="1:19" x14ac:dyDescent="0.25">
      <c r="A559" s="220"/>
      <c r="B559" s="220"/>
      <c r="C559" s="220"/>
      <c r="D559" s="220"/>
      <c r="E559" s="220"/>
      <c r="F559" s="220"/>
      <c r="G559" s="220"/>
      <c r="H559" s="220"/>
      <c r="I559" s="220"/>
      <c r="J559" s="220"/>
      <c r="K559" s="220"/>
      <c r="L559" s="220"/>
      <c r="M559" s="220"/>
      <c r="N559" s="220"/>
      <c r="O559" s="220"/>
      <c r="P559" s="220"/>
      <c r="Q559" s="220"/>
      <c r="R559" s="220"/>
      <c r="S559" s="220"/>
    </row>
    <row r="560" spans="1:19" x14ac:dyDescent="0.25">
      <c r="A560" s="220"/>
      <c r="B560" s="220"/>
      <c r="C560" s="220"/>
      <c r="D560" s="220"/>
      <c r="E560" s="220"/>
      <c r="F560" s="220"/>
      <c r="G560" s="220"/>
      <c r="H560" s="220"/>
      <c r="I560" s="220"/>
      <c r="J560" s="220"/>
      <c r="K560" s="220"/>
      <c r="L560" s="220"/>
      <c r="M560" s="220"/>
      <c r="N560" s="220"/>
      <c r="O560" s="220"/>
      <c r="P560" s="220"/>
      <c r="Q560" s="220"/>
      <c r="R560" s="220"/>
      <c r="S560" s="220"/>
    </row>
    <row r="561" spans="1:19" x14ac:dyDescent="0.25">
      <c r="A561" s="220"/>
      <c r="B561" s="220"/>
      <c r="C561" s="220"/>
      <c r="D561" s="220"/>
      <c r="E561" s="220"/>
      <c r="F561" s="220"/>
      <c r="G561" s="220"/>
      <c r="H561" s="220"/>
      <c r="I561" s="220"/>
      <c r="J561" s="220"/>
      <c r="K561" s="220"/>
      <c r="L561" s="220"/>
      <c r="M561" s="220"/>
      <c r="N561" s="220"/>
      <c r="O561" s="220"/>
      <c r="P561" s="220"/>
      <c r="Q561" s="220"/>
      <c r="R561" s="220"/>
      <c r="S561" s="220"/>
    </row>
    <row r="562" spans="1:19" x14ac:dyDescent="0.25">
      <c r="A562" s="220"/>
      <c r="B562" s="220"/>
      <c r="C562" s="220"/>
      <c r="D562" s="220"/>
      <c r="E562" s="220"/>
      <c r="F562" s="220"/>
      <c r="G562" s="220"/>
      <c r="H562" s="220"/>
      <c r="I562" s="220"/>
      <c r="J562" s="220"/>
      <c r="K562" s="220"/>
      <c r="L562" s="220"/>
      <c r="M562" s="220"/>
      <c r="N562" s="220"/>
      <c r="O562" s="220"/>
      <c r="P562" s="220"/>
      <c r="Q562" s="220"/>
      <c r="R562" s="220"/>
      <c r="S562" s="220"/>
    </row>
    <row r="563" spans="1:19" x14ac:dyDescent="0.25">
      <c r="A563" s="220"/>
      <c r="B563" s="220"/>
      <c r="C563" s="220"/>
      <c r="D563" s="220"/>
      <c r="E563" s="220"/>
      <c r="F563" s="220"/>
      <c r="G563" s="220"/>
      <c r="H563" s="220"/>
      <c r="I563" s="220"/>
      <c r="J563" s="220"/>
      <c r="K563" s="220"/>
      <c r="L563" s="220"/>
      <c r="M563" s="220"/>
      <c r="N563" s="220"/>
      <c r="O563" s="220"/>
      <c r="P563" s="220"/>
      <c r="Q563" s="220"/>
      <c r="R563" s="220"/>
      <c r="S563" s="220"/>
    </row>
    <row r="564" spans="1:19" x14ac:dyDescent="0.25">
      <c r="A564" s="220"/>
      <c r="B564" s="220"/>
      <c r="C564" s="220"/>
      <c r="D564" s="220"/>
      <c r="E564" s="220"/>
      <c r="F564" s="220"/>
      <c r="G564" s="220"/>
      <c r="H564" s="220"/>
      <c r="I564" s="220"/>
      <c r="J564" s="220"/>
      <c r="K564" s="220"/>
      <c r="L564" s="220"/>
      <c r="M564" s="220"/>
      <c r="N564" s="220"/>
      <c r="O564" s="220"/>
      <c r="P564" s="220"/>
      <c r="Q564" s="220"/>
      <c r="R564" s="220"/>
      <c r="S564" s="220"/>
    </row>
    <row r="565" spans="1:19" x14ac:dyDescent="0.25">
      <c r="A565" s="220"/>
      <c r="B565" s="220"/>
      <c r="C565" s="220"/>
      <c r="D565" s="220"/>
      <c r="E565" s="220"/>
      <c r="F565" s="220"/>
      <c r="G565" s="220"/>
      <c r="H565" s="220"/>
      <c r="I565" s="220"/>
      <c r="J565" s="220"/>
      <c r="K565" s="220"/>
      <c r="L565" s="220"/>
      <c r="M565" s="220"/>
      <c r="N565" s="220"/>
      <c r="O565" s="220"/>
      <c r="P565" s="220"/>
      <c r="Q565" s="220"/>
      <c r="R565" s="220"/>
      <c r="S565" s="220"/>
    </row>
    <row r="566" spans="1:19" x14ac:dyDescent="0.25">
      <c r="A566" s="220"/>
      <c r="B566" s="220"/>
      <c r="C566" s="220"/>
      <c r="D566" s="220"/>
      <c r="E566" s="220"/>
      <c r="F566" s="220"/>
      <c r="G566" s="220"/>
      <c r="H566" s="220"/>
      <c r="I566" s="220"/>
      <c r="J566" s="220"/>
      <c r="K566" s="220"/>
      <c r="L566" s="220"/>
      <c r="M566" s="220"/>
      <c r="N566" s="220"/>
      <c r="O566" s="220"/>
      <c r="P566" s="220"/>
      <c r="Q566" s="220"/>
      <c r="R566" s="220"/>
      <c r="S566" s="220"/>
    </row>
    <row r="567" spans="1:19" x14ac:dyDescent="0.25">
      <c r="A567" s="220"/>
      <c r="B567" s="220"/>
      <c r="C567" s="220"/>
      <c r="D567" s="220"/>
      <c r="E567" s="220"/>
      <c r="F567" s="220"/>
      <c r="G567" s="220"/>
      <c r="H567" s="220"/>
      <c r="I567" s="220"/>
      <c r="J567" s="220"/>
      <c r="K567" s="220"/>
      <c r="L567" s="220"/>
      <c r="M567" s="220"/>
      <c r="N567" s="220"/>
      <c r="O567" s="220"/>
      <c r="P567" s="220"/>
      <c r="Q567" s="220"/>
      <c r="R567" s="220"/>
      <c r="S567" s="220"/>
    </row>
    <row r="568" spans="1:19" x14ac:dyDescent="0.25">
      <c r="A568" s="220"/>
      <c r="B568" s="220"/>
      <c r="C568" s="220"/>
      <c r="D568" s="220"/>
      <c r="E568" s="220"/>
      <c r="F568" s="220"/>
      <c r="G568" s="220"/>
      <c r="H568" s="220"/>
      <c r="I568" s="220"/>
      <c r="J568" s="220"/>
      <c r="K568" s="220"/>
      <c r="L568" s="220"/>
      <c r="M568" s="220"/>
      <c r="N568" s="220"/>
      <c r="O568" s="220"/>
      <c r="P568" s="220"/>
      <c r="Q568" s="220"/>
      <c r="R568" s="220"/>
      <c r="S568" s="220"/>
    </row>
    <row r="569" spans="1:19" x14ac:dyDescent="0.25">
      <c r="A569" s="220"/>
      <c r="B569" s="220"/>
      <c r="C569" s="220"/>
      <c r="D569" s="220"/>
      <c r="E569" s="220"/>
      <c r="F569" s="220"/>
      <c r="G569" s="220"/>
      <c r="H569" s="220"/>
      <c r="I569" s="220"/>
      <c r="J569" s="220"/>
      <c r="K569" s="220"/>
      <c r="L569" s="220"/>
      <c r="M569" s="220"/>
      <c r="N569" s="220"/>
      <c r="O569" s="220"/>
      <c r="P569" s="220"/>
      <c r="Q569" s="220"/>
      <c r="R569" s="220"/>
      <c r="S569" s="220"/>
    </row>
    <row r="570" spans="1:19" x14ac:dyDescent="0.25">
      <c r="A570" s="220"/>
      <c r="B570" s="220"/>
      <c r="C570" s="220"/>
      <c r="D570" s="220"/>
      <c r="E570" s="220"/>
      <c r="F570" s="220"/>
      <c r="G570" s="220"/>
      <c r="H570" s="220"/>
      <c r="I570" s="220"/>
      <c r="J570" s="220"/>
      <c r="K570" s="220"/>
      <c r="L570" s="220"/>
      <c r="M570" s="220"/>
      <c r="N570" s="220"/>
      <c r="O570" s="220"/>
      <c r="P570" s="220"/>
      <c r="Q570" s="220"/>
      <c r="R570" s="220"/>
      <c r="S570" s="220"/>
    </row>
    <row r="571" spans="1:19" x14ac:dyDescent="0.25">
      <c r="A571" s="220"/>
      <c r="B571" s="220"/>
      <c r="C571" s="220"/>
      <c r="D571" s="220"/>
      <c r="E571" s="220"/>
      <c r="F571" s="220"/>
      <c r="G571" s="220"/>
      <c r="H571" s="220"/>
      <c r="I571" s="220"/>
      <c r="J571" s="220"/>
      <c r="K571" s="220"/>
      <c r="L571" s="220"/>
      <c r="M571" s="220"/>
      <c r="N571" s="220"/>
      <c r="O571" s="220"/>
      <c r="P571" s="220"/>
      <c r="Q571" s="220"/>
      <c r="R571" s="220"/>
      <c r="S571" s="220"/>
    </row>
    <row r="572" spans="1:19" x14ac:dyDescent="0.25">
      <c r="A572" s="220"/>
      <c r="B572" s="220"/>
      <c r="C572" s="220"/>
      <c r="D572" s="220"/>
      <c r="E572" s="220"/>
      <c r="F572" s="220"/>
      <c r="G572" s="220"/>
      <c r="H572" s="220"/>
      <c r="I572" s="220"/>
      <c r="J572" s="220"/>
      <c r="K572" s="220"/>
      <c r="L572" s="220"/>
      <c r="M572" s="220"/>
      <c r="N572" s="220"/>
      <c r="O572" s="220"/>
      <c r="P572" s="220"/>
      <c r="Q572" s="220"/>
      <c r="R572" s="220"/>
      <c r="S572" s="220"/>
    </row>
    <row r="573" spans="1:19" x14ac:dyDescent="0.25">
      <c r="A573" s="220"/>
      <c r="B573" s="220"/>
      <c r="C573" s="220"/>
      <c r="D573" s="220"/>
      <c r="E573" s="220"/>
      <c r="F573" s="220"/>
      <c r="G573" s="220"/>
      <c r="H573" s="220"/>
      <c r="I573" s="220"/>
      <c r="J573" s="220"/>
      <c r="K573" s="220"/>
      <c r="L573" s="220"/>
      <c r="M573" s="220"/>
      <c r="N573" s="220"/>
      <c r="O573" s="220"/>
      <c r="P573" s="220"/>
      <c r="Q573" s="220"/>
      <c r="R573" s="220"/>
      <c r="S573" s="220"/>
    </row>
    <row r="574" spans="1:19" x14ac:dyDescent="0.25">
      <c r="A574" s="220"/>
      <c r="B574" s="220"/>
      <c r="C574" s="220"/>
      <c r="D574" s="220"/>
      <c r="E574" s="220"/>
      <c r="F574" s="220"/>
      <c r="G574" s="220"/>
      <c r="H574" s="220"/>
      <c r="I574" s="220"/>
      <c r="J574" s="220"/>
      <c r="K574" s="220"/>
      <c r="L574" s="220"/>
      <c r="M574" s="220"/>
      <c r="N574" s="220"/>
      <c r="O574" s="220"/>
      <c r="P574" s="220"/>
      <c r="Q574" s="220"/>
      <c r="R574" s="220"/>
      <c r="S574" s="220"/>
    </row>
    <row r="575" spans="1:19" x14ac:dyDescent="0.25">
      <c r="A575" s="220"/>
      <c r="B575" s="220"/>
      <c r="C575" s="220"/>
      <c r="D575" s="220"/>
      <c r="E575" s="220"/>
      <c r="F575" s="220"/>
      <c r="G575" s="220"/>
      <c r="H575" s="220"/>
      <c r="I575" s="220"/>
      <c r="J575" s="220"/>
      <c r="K575" s="220"/>
      <c r="L575" s="220"/>
      <c r="M575" s="220"/>
      <c r="N575" s="220"/>
      <c r="O575" s="220"/>
      <c r="P575" s="220"/>
      <c r="Q575" s="220"/>
      <c r="R575" s="220"/>
      <c r="S575" s="220"/>
    </row>
    <row r="576" spans="1:19" x14ac:dyDescent="0.25">
      <c r="A576" s="220"/>
      <c r="B576" s="220"/>
      <c r="C576" s="220"/>
      <c r="D576" s="220"/>
      <c r="E576" s="220"/>
      <c r="F576" s="220"/>
      <c r="G576" s="220"/>
      <c r="H576" s="220"/>
      <c r="I576" s="220"/>
      <c r="J576" s="220"/>
      <c r="K576" s="220"/>
      <c r="L576" s="220"/>
      <c r="M576" s="220"/>
      <c r="N576" s="220"/>
      <c r="O576" s="220"/>
      <c r="P576" s="220"/>
      <c r="Q576" s="220"/>
      <c r="R576" s="220"/>
      <c r="S576" s="220"/>
    </row>
    <row r="577" spans="1:19" x14ac:dyDescent="0.25">
      <c r="A577" s="220"/>
      <c r="B577" s="220"/>
      <c r="C577" s="220"/>
      <c r="D577" s="220"/>
      <c r="E577" s="220"/>
      <c r="F577" s="220"/>
      <c r="G577" s="220"/>
      <c r="H577" s="220"/>
      <c r="I577" s="220"/>
      <c r="J577" s="220"/>
      <c r="K577" s="220"/>
      <c r="L577" s="220"/>
      <c r="M577" s="220"/>
      <c r="N577" s="220"/>
      <c r="O577" s="220"/>
      <c r="P577" s="220"/>
      <c r="Q577" s="220"/>
      <c r="R577" s="220"/>
      <c r="S577" s="220"/>
    </row>
    <row r="578" spans="1:19" x14ac:dyDescent="0.25">
      <c r="A578" s="220"/>
      <c r="B578" s="220"/>
      <c r="C578" s="220"/>
      <c r="D578" s="220"/>
      <c r="E578" s="220"/>
      <c r="F578" s="220"/>
      <c r="G578" s="220"/>
      <c r="H578" s="220"/>
      <c r="I578" s="220"/>
      <c r="J578" s="220"/>
      <c r="K578" s="220"/>
      <c r="L578" s="220"/>
      <c r="M578" s="220"/>
      <c r="N578" s="220"/>
      <c r="O578" s="220"/>
      <c r="P578" s="220"/>
      <c r="Q578" s="220"/>
      <c r="R578" s="220"/>
      <c r="S578" s="220"/>
    </row>
    <row r="579" spans="1:19" x14ac:dyDescent="0.25">
      <c r="A579" s="220"/>
      <c r="B579" s="220"/>
      <c r="C579" s="220"/>
      <c r="D579" s="220"/>
      <c r="E579" s="220"/>
      <c r="F579" s="220"/>
      <c r="G579" s="220"/>
      <c r="H579" s="220"/>
      <c r="I579" s="220"/>
      <c r="J579" s="220"/>
      <c r="K579" s="220"/>
      <c r="L579" s="220"/>
      <c r="M579" s="220"/>
      <c r="N579" s="220"/>
      <c r="O579" s="220"/>
      <c r="P579" s="220"/>
      <c r="Q579" s="220"/>
      <c r="R579" s="220"/>
      <c r="S579" s="220"/>
    </row>
    <row r="580" spans="1:19" x14ac:dyDescent="0.25">
      <c r="A580" s="220"/>
      <c r="B580" s="220"/>
      <c r="C580" s="220"/>
      <c r="D580" s="220"/>
      <c r="E580" s="220"/>
      <c r="F580" s="220"/>
      <c r="G580" s="220"/>
      <c r="H580" s="220"/>
      <c r="I580" s="220"/>
      <c r="J580" s="220"/>
      <c r="K580" s="220"/>
      <c r="L580" s="220"/>
      <c r="M580" s="220"/>
      <c r="N580" s="220"/>
      <c r="O580" s="220"/>
      <c r="P580" s="220"/>
      <c r="Q580" s="220"/>
      <c r="R580" s="220"/>
      <c r="S580" s="220"/>
    </row>
    <row r="581" spans="1:19" x14ac:dyDescent="0.25">
      <c r="A581" s="220"/>
      <c r="B581" s="220"/>
      <c r="C581" s="220"/>
      <c r="D581" s="220"/>
      <c r="E581" s="220"/>
      <c r="F581" s="220"/>
      <c r="G581" s="220"/>
      <c r="H581" s="220"/>
      <c r="I581" s="220"/>
      <c r="J581" s="220"/>
      <c r="K581" s="220"/>
      <c r="L581" s="220"/>
      <c r="M581" s="220"/>
      <c r="N581" s="220"/>
      <c r="O581" s="220"/>
      <c r="P581" s="220"/>
      <c r="Q581" s="220"/>
      <c r="R581" s="220"/>
      <c r="S581" s="220"/>
    </row>
    <row r="582" spans="1:19" x14ac:dyDescent="0.25">
      <c r="A582" s="220"/>
      <c r="B582" s="220"/>
      <c r="C582" s="220"/>
      <c r="D582" s="220"/>
      <c r="E582" s="220"/>
      <c r="F582" s="220"/>
      <c r="G582" s="220"/>
      <c r="H582" s="220"/>
      <c r="I582" s="220"/>
      <c r="J582" s="220"/>
      <c r="K582" s="220"/>
      <c r="L582" s="220"/>
      <c r="M582" s="220"/>
      <c r="N582" s="220"/>
      <c r="O582" s="220"/>
      <c r="P582" s="220"/>
      <c r="Q582" s="220"/>
      <c r="R582" s="220"/>
      <c r="S582" s="220"/>
    </row>
    <row r="583" spans="1:19" x14ac:dyDescent="0.25">
      <c r="A583" s="220"/>
      <c r="B583" s="220"/>
      <c r="C583" s="220"/>
      <c r="D583" s="220"/>
      <c r="E583" s="220"/>
      <c r="F583" s="220"/>
      <c r="G583" s="220"/>
      <c r="H583" s="220"/>
      <c r="I583" s="220"/>
      <c r="J583" s="220"/>
      <c r="K583" s="220"/>
      <c r="L583" s="220"/>
      <c r="M583" s="220"/>
      <c r="N583" s="220"/>
      <c r="O583" s="220"/>
      <c r="P583" s="220"/>
      <c r="Q583" s="220"/>
      <c r="R583" s="220"/>
      <c r="S583" s="220"/>
    </row>
    <row r="584" spans="1:19" x14ac:dyDescent="0.25">
      <c r="A584" s="220"/>
      <c r="B584" s="220"/>
      <c r="C584" s="220"/>
      <c r="D584" s="220"/>
      <c r="E584" s="220"/>
      <c r="F584" s="220"/>
      <c r="G584" s="220"/>
      <c r="H584" s="220"/>
      <c r="I584" s="220"/>
      <c r="J584" s="220"/>
      <c r="K584" s="220"/>
      <c r="L584" s="220"/>
      <c r="M584" s="220"/>
      <c r="N584" s="220"/>
      <c r="O584" s="220"/>
      <c r="P584" s="220"/>
      <c r="Q584" s="220"/>
      <c r="R584" s="220"/>
      <c r="S584" s="220"/>
    </row>
    <row r="585" spans="1:19" x14ac:dyDescent="0.25">
      <c r="A585" s="220"/>
      <c r="B585" s="220"/>
      <c r="C585" s="220"/>
      <c r="D585" s="220"/>
      <c r="E585" s="220"/>
      <c r="F585" s="220"/>
      <c r="G585" s="220"/>
      <c r="H585" s="220"/>
      <c r="I585" s="220"/>
      <c r="J585" s="220"/>
      <c r="K585" s="220"/>
      <c r="L585" s="220"/>
      <c r="M585" s="220"/>
      <c r="N585" s="220"/>
      <c r="O585" s="220"/>
      <c r="P585" s="220"/>
      <c r="Q585" s="220"/>
      <c r="R585" s="220"/>
      <c r="S585" s="220"/>
    </row>
    <row r="586" spans="1:19" x14ac:dyDescent="0.25">
      <c r="A586" s="220"/>
      <c r="B586" s="220"/>
      <c r="C586" s="220"/>
      <c r="D586" s="220"/>
      <c r="E586" s="220"/>
      <c r="F586" s="220"/>
      <c r="G586" s="220"/>
      <c r="H586" s="220"/>
      <c r="I586" s="220"/>
      <c r="J586" s="220"/>
      <c r="K586" s="220"/>
      <c r="L586" s="220"/>
      <c r="M586" s="220"/>
      <c r="N586" s="220"/>
      <c r="O586" s="220"/>
      <c r="P586" s="220"/>
      <c r="Q586" s="220"/>
      <c r="R586" s="220"/>
      <c r="S586" s="220"/>
    </row>
    <row r="587" spans="1:19" x14ac:dyDescent="0.25">
      <c r="A587" s="220"/>
      <c r="B587" s="220"/>
      <c r="C587" s="220"/>
      <c r="D587" s="220"/>
      <c r="E587" s="220"/>
      <c r="F587" s="220"/>
      <c r="G587" s="220"/>
      <c r="H587" s="220"/>
      <c r="I587" s="220"/>
      <c r="J587" s="220"/>
      <c r="K587" s="220"/>
      <c r="L587" s="220"/>
      <c r="M587" s="220"/>
      <c r="N587" s="220"/>
      <c r="O587" s="220"/>
      <c r="P587" s="220"/>
      <c r="Q587" s="220"/>
      <c r="R587" s="220"/>
      <c r="S587" s="220"/>
    </row>
    <row r="588" spans="1:19" x14ac:dyDescent="0.25">
      <c r="A588" s="220"/>
      <c r="B588" s="220"/>
      <c r="C588" s="220"/>
      <c r="D588" s="220"/>
      <c r="E588" s="220"/>
      <c r="F588" s="220"/>
      <c r="G588" s="220"/>
      <c r="H588" s="220"/>
      <c r="I588" s="220"/>
      <c r="J588" s="220"/>
      <c r="K588" s="220"/>
      <c r="L588" s="220"/>
      <c r="M588" s="220"/>
      <c r="N588" s="220"/>
      <c r="O588" s="220"/>
      <c r="P588" s="220"/>
      <c r="Q588" s="220"/>
      <c r="R588" s="220"/>
      <c r="S588" s="220"/>
    </row>
    <row r="589" spans="1:19" x14ac:dyDescent="0.25">
      <c r="A589" s="220"/>
      <c r="B589" s="220"/>
      <c r="C589" s="220"/>
      <c r="D589" s="220"/>
      <c r="E589" s="220"/>
      <c r="F589" s="220"/>
      <c r="G589" s="220"/>
      <c r="H589" s="220"/>
      <c r="I589" s="220"/>
      <c r="J589" s="220"/>
      <c r="K589" s="220"/>
      <c r="L589" s="220"/>
      <c r="M589" s="220"/>
      <c r="N589" s="220"/>
      <c r="O589" s="220"/>
      <c r="P589" s="220"/>
      <c r="Q589" s="220"/>
      <c r="R589" s="220"/>
      <c r="S589" s="220"/>
    </row>
    <row r="590" spans="1:19" x14ac:dyDescent="0.25">
      <c r="A590" s="220"/>
      <c r="B590" s="220"/>
      <c r="C590" s="220"/>
      <c r="D590" s="220"/>
      <c r="E590" s="220"/>
      <c r="F590" s="220"/>
      <c r="G590" s="220"/>
      <c r="H590" s="220"/>
      <c r="I590" s="220"/>
      <c r="J590" s="220"/>
      <c r="K590" s="220"/>
      <c r="L590" s="220"/>
      <c r="M590" s="220"/>
      <c r="N590" s="220"/>
      <c r="O590" s="220"/>
      <c r="P590" s="220"/>
      <c r="Q590" s="220"/>
      <c r="R590" s="220"/>
      <c r="S590" s="220"/>
    </row>
    <row r="591" spans="1:19" x14ac:dyDescent="0.25">
      <c r="A591" s="220"/>
      <c r="B591" s="220"/>
      <c r="C591" s="220"/>
      <c r="D591" s="220"/>
      <c r="E591" s="220"/>
      <c r="F591" s="220"/>
      <c r="G591" s="220"/>
      <c r="H591" s="220"/>
      <c r="I591" s="220"/>
      <c r="J591" s="220"/>
      <c r="K591" s="220"/>
      <c r="L591" s="220"/>
      <c r="M591" s="220"/>
      <c r="N591" s="220"/>
      <c r="O591" s="220"/>
      <c r="P591" s="220"/>
      <c r="Q591" s="220"/>
      <c r="R591" s="220"/>
      <c r="S591" s="220"/>
    </row>
    <row r="592" spans="1:19" x14ac:dyDescent="0.25">
      <c r="A592" s="220"/>
      <c r="B592" s="220"/>
      <c r="C592" s="220"/>
      <c r="D592" s="220"/>
      <c r="E592" s="220"/>
      <c r="F592" s="220"/>
      <c r="G592" s="220"/>
      <c r="H592" s="220"/>
      <c r="I592" s="220"/>
      <c r="J592" s="220"/>
      <c r="K592" s="220"/>
      <c r="L592" s="220"/>
      <c r="M592" s="220"/>
      <c r="N592" s="220"/>
      <c r="O592" s="220"/>
      <c r="P592" s="220"/>
      <c r="Q592" s="220"/>
      <c r="R592" s="220"/>
      <c r="S592" s="220"/>
    </row>
    <row r="593" spans="1:19" x14ac:dyDescent="0.25">
      <c r="A593" s="220"/>
      <c r="B593" s="220"/>
      <c r="C593" s="220"/>
      <c r="D593" s="220"/>
      <c r="E593" s="220"/>
      <c r="F593" s="220"/>
      <c r="G593" s="220"/>
      <c r="H593" s="220"/>
      <c r="I593" s="220"/>
      <c r="J593" s="220"/>
      <c r="K593" s="220"/>
      <c r="L593" s="220"/>
      <c r="M593" s="220"/>
      <c r="N593" s="220"/>
      <c r="O593" s="220"/>
      <c r="P593" s="220"/>
      <c r="Q593" s="220"/>
      <c r="R593" s="220"/>
      <c r="S593" s="220"/>
    </row>
    <row r="594" spans="1:19" x14ac:dyDescent="0.25">
      <c r="A594" s="220"/>
      <c r="B594" s="220"/>
      <c r="C594" s="220"/>
      <c r="D594" s="220"/>
      <c r="E594" s="220"/>
      <c r="F594" s="220"/>
      <c r="G594" s="220"/>
      <c r="H594" s="220"/>
      <c r="I594" s="220"/>
      <c r="J594" s="220"/>
      <c r="K594" s="220"/>
      <c r="L594" s="220"/>
      <c r="M594" s="220"/>
      <c r="N594" s="220"/>
      <c r="O594" s="220"/>
      <c r="P594" s="220"/>
      <c r="Q594" s="220"/>
      <c r="R594" s="220"/>
      <c r="S594" s="220"/>
    </row>
    <row r="595" spans="1:19" x14ac:dyDescent="0.25">
      <c r="A595" s="220"/>
      <c r="B595" s="220"/>
      <c r="C595" s="220"/>
      <c r="D595" s="220"/>
      <c r="E595" s="220"/>
      <c r="F595" s="220"/>
      <c r="G595" s="220"/>
      <c r="H595" s="220"/>
      <c r="I595" s="220"/>
      <c r="J595" s="220"/>
      <c r="K595" s="220"/>
      <c r="L595" s="220"/>
      <c r="M595" s="220"/>
      <c r="N595" s="220"/>
      <c r="O595" s="220"/>
      <c r="P595" s="220"/>
      <c r="Q595" s="220"/>
      <c r="R595" s="220"/>
      <c r="S595" s="220"/>
    </row>
    <row r="596" spans="1:19" x14ac:dyDescent="0.25">
      <c r="A596" s="220"/>
      <c r="B596" s="220"/>
      <c r="C596" s="220"/>
      <c r="D596" s="220"/>
      <c r="E596" s="220"/>
      <c r="F596" s="220"/>
      <c r="G596" s="220"/>
      <c r="H596" s="220"/>
      <c r="I596" s="220"/>
      <c r="J596" s="220"/>
      <c r="K596" s="220"/>
      <c r="L596" s="220"/>
      <c r="M596" s="220"/>
      <c r="N596" s="220"/>
      <c r="O596" s="220"/>
      <c r="P596" s="220"/>
      <c r="Q596" s="220"/>
      <c r="R596" s="220"/>
      <c r="S596" s="220"/>
    </row>
    <row r="597" spans="1:19" x14ac:dyDescent="0.25">
      <c r="A597" s="220"/>
      <c r="B597" s="220"/>
      <c r="C597" s="220"/>
      <c r="D597" s="220"/>
      <c r="E597" s="220"/>
      <c r="F597" s="220"/>
      <c r="G597" s="220"/>
      <c r="H597" s="220"/>
      <c r="I597" s="220"/>
      <c r="J597" s="220"/>
      <c r="K597" s="220"/>
      <c r="L597" s="220"/>
      <c r="M597" s="220"/>
      <c r="N597" s="220"/>
      <c r="O597" s="220"/>
      <c r="P597" s="220"/>
      <c r="Q597" s="220"/>
      <c r="R597" s="220"/>
      <c r="S597" s="220"/>
    </row>
    <row r="598" spans="1:19" x14ac:dyDescent="0.25">
      <c r="A598" s="220"/>
      <c r="B598" s="220"/>
      <c r="C598" s="220"/>
      <c r="D598" s="220"/>
      <c r="E598" s="220"/>
      <c r="F598" s="220"/>
      <c r="G598" s="220"/>
      <c r="H598" s="220"/>
      <c r="I598" s="220"/>
      <c r="J598" s="220"/>
      <c r="K598" s="220"/>
      <c r="L598" s="220"/>
      <c r="M598" s="220"/>
      <c r="N598" s="220"/>
      <c r="O598" s="220"/>
      <c r="P598" s="220"/>
      <c r="Q598" s="220"/>
      <c r="R598" s="220"/>
      <c r="S598" s="220"/>
    </row>
    <row r="599" spans="1:19" x14ac:dyDescent="0.25">
      <c r="A599" s="220"/>
      <c r="B599" s="220"/>
      <c r="C599" s="220"/>
      <c r="D599" s="220"/>
      <c r="E599" s="220"/>
      <c r="F599" s="220"/>
      <c r="G599" s="220"/>
      <c r="H599" s="220"/>
      <c r="I599" s="220"/>
      <c r="J599" s="220"/>
      <c r="K599" s="220"/>
      <c r="L599" s="220"/>
      <c r="M599" s="220"/>
      <c r="N599" s="220"/>
      <c r="O599" s="220"/>
      <c r="P599" s="220"/>
      <c r="Q599" s="220"/>
      <c r="R599" s="220"/>
      <c r="S599" s="220"/>
    </row>
    <row r="600" spans="1:19" x14ac:dyDescent="0.25">
      <c r="A600" s="220"/>
      <c r="B600" s="220"/>
      <c r="C600" s="220"/>
      <c r="D600" s="220"/>
      <c r="E600" s="220"/>
      <c r="F600" s="220"/>
      <c r="G600" s="220"/>
      <c r="H600" s="220"/>
      <c r="I600" s="220"/>
      <c r="J600" s="220"/>
      <c r="K600" s="220"/>
      <c r="L600" s="220"/>
      <c r="M600" s="220"/>
      <c r="N600" s="220"/>
      <c r="O600" s="220"/>
      <c r="P600" s="220"/>
      <c r="Q600" s="220"/>
      <c r="R600" s="220"/>
      <c r="S600" s="220"/>
    </row>
    <row r="601" spans="1:19" x14ac:dyDescent="0.25">
      <c r="A601" s="220"/>
      <c r="B601" s="220"/>
      <c r="C601" s="220"/>
      <c r="D601" s="220"/>
      <c r="E601" s="220"/>
      <c r="F601" s="220"/>
      <c r="G601" s="220"/>
      <c r="H601" s="220"/>
      <c r="I601" s="220"/>
      <c r="J601" s="220"/>
      <c r="K601" s="220"/>
      <c r="L601" s="220"/>
      <c r="M601" s="220"/>
      <c r="N601" s="220"/>
      <c r="O601" s="220"/>
      <c r="P601" s="220"/>
      <c r="Q601" s="220"/>
      <c r="R601" s="220"/>
      <c r="S601" s="220"/>
    </row>
    <row r="602" spans="1:19" x14ac:dyDescent="0.25">
      <c r="A602" s="220"/>
      <c r="B602" s="220"/>
      <c r="C602" s="220"/>
      <c r="D602" s="220"/>
      <c r="E602" s="220"/>
      <c r="F602" s="220"/>
      <c r="G602" s="220"/>
      <c r="H602" s="220"/>
      <c r="I602" s="220"/>
      <c r="J602" s="220"/>
      <c r="K602" s="220"/>
      <c r="L602" s="220"/>
      <c r="M602" s="220"/>
      <c r="N602" s="220"/>
      <c r="O602" s="220"/>
      <c r="P602" s="220"/>
      <c r="Q602" s="220"/>
      <c r="R602" s="220"/>
      <c r="S602" s="220"/>
    </row>
    <row r="603" spans="1:19" x14ac:dyDescent="0.25">
      <c r="A603" s="220"/>
      <c r="B603" s="220"/>
      <c r="C603" s="220"/>
      <c r="D603" s="220"/>
      <c r="E603" s="220"/>
      <c r="F603" s="220"/>
      <c r="G603" s="220"/>
      <c r="H603" s="220"/>
      <c r="I603" s="220"/>
      <c r="J603" s="220"/>
      <c r="K603" s="220"/>
      <c r="L603" s="220"/>
      <c r="M603" s="220"/>
      <c r="N603" s="220"/>
      <c r="O603" s="220"/>
      <c r="P603" s="220"/>
      <c r="Q603" s="220"/>
      <c r="R603" s="220"/>
      <c r="S603" s="220"/>
    </row>
    <row r="604" spans="1:19" x14ac:dyDescent="0.25">
      <c r="A604" s="220"/>
      <c r="B604" s="220"/>
      <c r="C604" s="220"/>
      <c r="D604" s="220"/>
      <c r="E604" s="220"/>
      <c r="F604" s="220"/>
      <c r="G604" s="220"/>
      <c r="H604" s="220"/>
      <c r="I604" s="220"/>
      <c r="J604" s="220"/>
      <c r="K604" s="220"/>
      <c r="L604" s="220"/>
      <c r="M604" s="220"/>
      <c r="N604" s="220"/>
      <c r="O604" s="220"/>
      <c r="P604" s="220"/>
      <c r="Q604" s="220"/>
      <c r="R604" s="220"/>
      <c r="S604" s="220"/>
    </row>
    <row r="605" spans="1:19" x14ac:dyDescent="0.25">
      <c r="A605" s="220"/>
      <c r="B605" s="220"/>
      <c r="C605" s="220"/>
      <c r="D605" s="220"/>
      <c r="E605" s="220"/>
      <c r="F605" s="220"/>
      <c r="G605" s="220"/>
      <c r="H605" s="220"/>
      <c r="I605" s="220"/>
      <c r="J605" s="220"/>
      <c r="K605" s="220"/>
      <c r="L605" s="220"/>
      <c r="M605" s="220"/>
      <c r="N605" s="220"/>
      <c r="O605" s="220"/>
      <c r="P605" s="220"/>
      <c r="Q605" s="220"/>
      <c r="R605" s="220"/>
      <c r="S605" s="220"/>
    </row>
    <row r="606" spans="1:19" x14ac:dyDescent="0.25">
      <c r="A606" s="220"/>
      <c r="B606" s="220"/>
      <c r="C606" s="220"/>
      <c r="D606" s="220"/>
      <c r="E606" s="220"/>
      <c r="F606" s="220"/>
      <c r="G606" s="220"/>
      <c r="H606" s="220"/>
      <c r="I606" s="220"/>
      <c r="J606" s="220"/>
      <c r="K606" s="220"/>
      <c r="L606" s="220"/>
      <c r="M606" s="220"/>
      <c r="N606" s="220"/>
      <c r="O606" s="220"/>
      <c r="P606" s="220"/>
      <c r="Q606" s="220"/>
      <c r="R606" s="220"/>
      <c r="S606" s="220"/>
    </row>
    <row r="607" spans="1:19" x14ac:dyDescent="0.25">
      <c r="A607" s="220"/>
      <c r="B607" s="220"/>
      <c r="C607" s="220"/>
      <c r="D607" s="220"/>
      <c r="E607" s="220"/>
      <c r="F607" s="220"/>
      <c r="G607" s="220"/>
      <c r="H607" s="220"/>
      <c r="I607" s="220"/>
      <c r="J607" s="220"/>
      <c r="K607" s="220"/>
      <c r="L607" s="220"/>
      <c r="M607" s="220"/>
      <c r="N607" s="220"/>
      <c r="O607" s="220"/>
      <c r="P607" s="220"/>
      <c r="Q607" s="220"/>
      <c r="R607" s="220"/>
      <c r="S607" s="220"/>
    </row>
    <row r="608" spans="1:19" x14ac:dyDescent="0.25">
      <c r="A608" s="220"/>
      <c r="B608" s="220"/>
      <c r="C608" s="220"/>
      <c r="D608" s="220"/>
      <c r="E608" s="220"/>
      <c r="F608" s="220"/>
      <c r="G608" s="220"/>
      <c r="H608" s="220"/>
      <c r="I608" s="220"/>
      <c r="J608" s="220"/>
      <c r="K608" s="220"/>
      <c r="L608" s="220"/>
      <c r="M608" s="220"/>
      <c r="N608" s="220"/>
      <c r="O608" s="220"/>
      <c r="P608" s="220"/>
      <c r="Q608" s="220"/>
      <c r="R608" s="220"/>
      <c r="S608" s="220"/>
    </row>
    <row r="609" spans="1:19" x14ac:dyDescent="0.25">
      <c r="A609" s="220"/>
      <c r="B609" s="220"/>
      <c r="C609" s="220"/>
      <c r="D609" s="220"/>
      <c r="E609" s="220"/>
      <c r="F609" s="220"/>
      <c r="G609" s="220"/>
      <c r="H609" s="220"/>
      <c r="I609" s="220"/>
      <c r="J609" s="220"/>
      <c r="K609" s="220"/>
      <c r="L609" s="220"/>
      <c r="M609" s="220"/>
      <c r="N609" s="220"/>
      <c r="O609" s="220"/>
      <c r="P609" s="220"/>
      <c r="Q609" s="220"/>
      <c r="R609" s="220"/>
      <c r="S609" s="220"/>
    </row>
    <row r="610" spans="1:19" x14ac:dyDescent="0.25">
      <c r="A610" s="220"/>
      <c r="B610" s="220"/>
      <c r="C610" s="220"/>
      <c r="D610" s="220"/>
      <c r="E610" s="220"/>
      <c r="F610" s="220"/>
      <c r="G610" s="220"/>
      <c r="H610" s="220"/>
      <c r="I610" s="220"/>
      <c r="J610" s="220"/>
      <c r="K610" s="220"/>
      <c r="L610" s="220"/>
      <c r="M610" s="220"/>
      <c r="N610" s="220"/>
      <c r="O610" s="220"/>
      <c r="P610" s="220"/>
      <c r="Q610" s="220"/>
      <c r="R610" s="220"/>
      <c r="S610" s="220"/>
    </row>
    <row r="611" spans="1:19" x14ac:dyDescent="0.25">
      <c r="A611" s="220"/>
      <c r="B611" s="220"/>
      <c r="C611" s="220"/>
      <c r="D611" s="220"/>
      <c r="E611" s="220"/>
      <c r="F611" s="220"/>
      <c r="G611" s="220"/>
      <c r="H611" s="220"/>
      <c r="I611" s="220"/>
      <c r="J611" s="220"/>
      <c r="K611" s="220"/>
      <c r="L611" s="220"/>
      <c r="M611" s="220"/>
      <c r="N611" s="220"/>
      <c r="O611" s="220"/>
      <c r="P611" s="220"/>
      <c r="Q611" s="220"/>
      <c r="R611" s="220"/>
      <c r="S611" s="220"/>
    </row>
    <row r="612" spans="1:19" x14ac:dyDescent="0.25">
      <c r="A612" s="220"/>
      <c r="B612" s="220"/>
      <c r="C612" s="220"/>
      <c r="D612" s="220"/>
      <c r="E612" s="220"/>
      <c r="F612" s="220"/>
      <c r="G612" s="220"/>
      <c r="H612" s="220"/>
      <c r="I612" s="220"/>
      <c r="J612" s="220"/>
      <c r="K612" s="220"/>
      <c r="L612" s="220"/>
      <c r="M612" s="220"/>
      <c r="N612" s="220"/>
      <c r="O612" s="220"/>
      <c r="P612" s="220"/>
      <c r="Q612" s="220"/>
      <c r="R612" s="220"/>
      <c r="S612" s="220"/>
    </row>
    <row r="613" spans="1:19" x14ac:dyDescent="0.25">
      <c r="A613" s="220"/>
      <c r="B613" s="220"/>
      <c r="C613" s="220"/>
      <c r="D613" s="220"/>
      <c r="E613" s="220"/>
      <c r="F613" s="220"/>
      <c r="G613" s="220"/>
      <c r="H613" s="220"/>
      <c r="I613" s="220"/>
      <c r="J613" s="220"/>
      <c r="K613" s="220"/>
      <c r="L613" s="220"/>
      <c r="M613" s="220"/>
      <c r="N613" s="220"/>
      <c r="O613" s="220"/>
      <c r="P613" s="220"/>
      <c r="Q613" s="220"/>
      <c r="R613" s="220"/>
      <c r="S613" s="220"/>
    </row>
    <row r="614" spans="1:19" x14ac:dyDescent="0.25">
      <c r="A614" s="220"/>
      <c r="B614" s="220"/>
      <c r="C614" s="220"/>
      <c r="D614" s="220"/>
      <c r="E614" s="220"/>
      <c r="F614" s="220"/>
      <c r="G614" s="220"/>
      <c r="H614" s="220"/>
      <c r="I614" s="220"/>
      <c r="J614" s="220"/>
      <c r="K614" s="220"/>
      <c r="L614" s="220"/>
      <c r="M614" s="220"/>
      <c r="N614" s="220"/>
      <c r="O614" s="220"/>
      <c r="P614" s="220"/>
      <c r="Q614" s="220"/>
      <c r="R614" s="220"/>
      <c r="S614" s="220"/>
    </row>
    <row r="615" spans="1:19" x14ac:dyDescent="0.25">
      <c r="A615" s="220"/>
      <c r="B615" s="220"/>
      <c r="C615" s="220"/>
      <c r="D615" s="220"/>
      <c r="E615" s="220"/>
      <c r="F615" s="220"/>
      <c r="G615" s="220"/>
      <c r="H615" s="220"/>
      <c r="I615" s="220"/>
      <c r="J615" s="220"/>
      <c r="K615" s="220"/>
      <c r="L615" s="220"/>
      <c r="M615" s="220"/>
      <c r="N615" s="220"/>
      <c r="O615" s="220"/>
      <c r="P615" s="220"/>
      <c r="Q615" s="220"/>
      <c r="R615" s="220"/>
      <c r="S615" s="220"/>
    </row>
    <row r="616" spans="1:19" x14ac:dyDescent="0.25">
      <c r="A616" s="220"/>
      <c r="B616" s="220"/>
      <c r="C616" s="220"/>
      <c r="D616" s="220"/>
      <c r="E616" s="220"/>
      <c r="F616" s="220"/>
      <c r="G616" s="220"/>
      <c r="H616" s="220"/>
      <c r="I616" s="220"/>
      <c r="J616" s="220"/>
      <c r="K616" s="220"/>
      <c r="L616" s="220"/>
      <c r="M616" s="220"/>
      <c r="N616" s="220"/>
      <c r="O616" s="220"/>
      <c r="P616" s="220"/>
      <c r="Q616" s="220"/>
      <c r="R616" s="220"/>
      <c r="S616" s="220"/>
    </row>
    <row r="617" spans="1:19" x14ac:dyDescent="0.25">
      <c r="A617" s="220"/>
      <c r="B617" s="220"/>
      <c r="C617" s="220"/>
      <c r="D617" s="220"/>
      <c r="E617" s="220"/>
      <c r="F617" s="220"/>
      <c r="G617" s="220"/>
      <c r="H617" s="220"/>
      <c r="I617" s="220"/>
      <c r="J617" s="220"/>
      <c r="K617" s="220"/>
      <c r="L617" s="220"/>
      <c r="M617" s="220"/>
      <c r="N617" s="220"/>
      <c r="O617" s="220"/>
      <c r="P617" s="220"/>
      <c r="Q617" s="220"/>
      <c r="R617" s="220"/>
      <c r="S617" s="220"/>
    </row>
    <row r="618" spans="1:19" x14ac:dyDescent="0.25">
      <c r="A618" s="220"/>
      <c r="B618" s="220"/>
      <c r="C618" s="220"/>
      <c r="D618" s="220"/>
      <c r="E618" s="220"/>
      <c r="F618" s="220"/>
      <c r="G618" s="220"/>
      <c r="H618" s="220"/>
      <c r="I618" s="220"/>
      <c r="J618" s="220"/>
      <c r="K618" s="220"/>
      <c r="L618" s="220"/>
      <c r="M618" s="220"/>
      <c r="N618" s="220"/>
      <c r="O618" s="220"/>
      <c r="P618" s="220"/>
      <c r="Q618" s="220"/>
      <c r="R618" s="220"/>
      <c r="S618" s="220"/>
    </row>
    <row r="619" spans="1:19" x14ac:dyDescent="0.25">
      <c r="A619" s="220"/>
      <c r="B619" s="220"/>
      <c r="C619" s="220"/>
      <c r="D619" s="220"/>
      <c r="E619" s="220"/>
      <c r="F619" s="220"/>
      <c r="G619" s="220"/>
      <c r="H619" s="220"/>
      <c r="I619" s="220"/>
      <c r="J619" s="220"/>
      <c r="K619" s="220"/>
      <c r="L619" s="220"/>
      <c r="M619" s="220"/>
      <c r="N619" s="220"/>
      <c r="O619" s="220"/>
      <c r="P619" s="220"/>
      <c r="Q619" s="220"/>
      <c r="R619" s="220"/>
      <c r="S619" s="220"/>
    </row>
    <row r="620" spans="1:19" x14ac:dyDescent="0.25">
      <c r="A620" s="220"/>
      <c r="B620" s="220"/>
      <c r="C620" s="220"/>
      <c r="D620" s="220"/>
      <c r="E620" s="220"/>
      <c r="F620" s="220"/>
      <c r="G620" s="220"/>
      <c r="H620" s="220"/>
      <c r="I620" s="220"/>
      <c r="J620" s="220"/>
      <c r="K620" s="220"/>
      <c r="L620" s="220"/>
      <c r="M620" s="220"/>
      <c r="N620" s="220"/>
      <c r="O620" s="220"/>
      <c r="P620" s="220"/>
      <c r="Q620" s="220"/>
      <c r="R620" s="220"/>
      <c r="S620" s="220"/>
    </row>
    <row r="621" spans="1:19" x14ac:dyDescent="0.25">
      <c r="A621" s="220"/>
      <c r="B621" s="220"/>
      <c r="C621" s="220"/>
      <c r="D621" s="220"/>
      <c r="E621" s="220"/>
      <c r="F621" s="220"/>
      <c r="G621" s="220"/>
      <c r="H621" s="220"/>
      <c r="I621" s="220"/>
      <c r="J621" s="220"/>
      <c r="K621" s="220"/>
      <c r="L621" s="220"/>
      <c r="M621" s="220"/>
      <c r="N621" s="220"/>
      <c r="O621" s="220"/>
      <c r="P621" s="220"/>
      <c r="Q621" s="220"/>
      <c r="R621" s="220"/>
      <c r="S621" s="220"/>
    </row>
    <row r="622" spans="1:19" x14ac:dyDescent="0.25">
      <c r="A622" s="220"/>
      <c r="B622" s="220"/>
      <c r="C622" s="220"/>
      <c r="D622" s="220"/>
      <c r="E622" s="220"/>
      <c r="F622" s="220"/>
      <c r="G622" s="220"/>
      <c r="H622" s="220"/>
      <c r="I622" s="220"/>
      <c r="J622" s="220"/>
      <c r="K622" s="220"/>
      <c r="L622" s="220"/>
      <c r="M622" s="220"/>
      <c r="N622" s="220"/>
      <c r="O622" s="220"/>
      <c r="P622" s="220"/>
      <c r="Q622" s="220"/>
      <c r="R622" s="220"/>
      <c r="S622" s="220"/>
    </row>
    <row r="623" spans="1:19" x14ac:dyDescent="0.25">
      <c r="A623" s="220"/>
      <c r="B623" s="220"/>
      <c r="C623" s="220"/>
      <c r="D623" s="220"/>
      <c r="E623" s="220"/>
      <c r="F623" s="220"/>
      <c r="G623" s="220"/>
      <c r="H623" s="220"/>
      <c r="I623" s="220"/>
      <c r="J623" s="220"/>
      <c r="K623" s="220"/>
      <c r="L623" s="220"/>
      <c r="M623" s="220"/>
      <c r="N623" s="220"/>
      <c r="O623" s="220"/>
      <c r="P623" s="220"/>
      <c r="Q623" s="220"/>
      <c r="R623" s="220"/>
      <c r="S623" s="220"/>
    </row>
    <row r="624" spans="1:19" x14ac:dyDescent="0.25">
      <c r="A624" s="220"/>
      <c r="B624" s="220"/>
      <c r="C624" s="220"/>
      <c r="D624" s="220"/>
      <c r="E624" s="220"/>
      <c r="F624" s="220"/>
      <c r="G624" s="220"/>
      <c r="H624" s="220"/>
      <c r="I624" s="220"/>
      <c r="J624" s="220"/>
      <c r="K624" s="220"/>
      <c r="L624" s="220"/>
      <c r="M624" s="220"/>
      <c r="N624" s="220"/>
      <c r="O624" s="220"/>
      <c r="P624" s="220"/>
      <c r="Q624" s="220"/>
      <c r="R624" s="220"/>
      <c r="S624" s="220"/>
    </row>
    <row r="625" spans="1:19" x14ac:dyDescent="0.25">
      <c r="A625" s="220"/>
      <c r="B625" s="220"/>
      <c r="C625" s="220"/>
      <c r="D625" s="220"/>
      <c r="E625" s="220"/>
      <c r="F625" s="220"/>
      <c r="G625" s="220"/>
      <c r="H625" s="220"/>
      <c r="I625" s="220"/>
      <c r="J625" s="220"/>
      <c r="K625" s="220"/>
      <c r="L625" s="220"/>
      <c r="M625" s="220"/>
      <c r="N625" s="220"/>
      <c r="O625" s="220"/>
      <c r="P625" s="220"/>
      <c r="Q625" s="220"/>
      <c r="R625" s="220"/>
      <c r="S625" s="220"/>
    </row>
    <row r="626" spans="1:19" x14ac:dyDescent="0.25">
      <c r="A626" s="220"/>
      <c r="B626" s="220"/>
      <c r="C626" s="220"/>
      <c r="D626" s="220"/>
      <c r="E626" s="220"/>
      <c r="F626" s="220"/>
      <c r="G626" s="220"/>
      <c r="H626" s="220"/>
      <c r="I626" s="220"/>
      <c r="J626" s="220"/>
      <c r="K626" s="220"/>
      <c r="L626" s="220"/>
      <c r="M626" s="220"/>
      <c r="N626" s="220"/>
      <c r="O626" s="220"/>
      <c r="P626" s="220"/>
      <c r="Q626" s="220"/>
      <c r="R626" s="220"/>
      <c r="S626" s="220"/>
    </row>
    <row r="627" spans="1:19" x14ac:dyDescent="0.25">
      <c r="A627" s="220"/>
      <c r="B627" s="220"/>
      <c r="C627" s="220"/>
      <c r="D627" s="220"/>
      <c r="E627" s="220"/>
      <c r="F627" s="220"/>
      <c r="G627" s="220"/>
      <c r="H627" s="220"/>
      <c r="I627" s="220"/>
      <c r="J627" s="220"/>
      <c r="K627" s="220"/>
      <c r="L627" s="220"/>
      <c r="M627" s="220"/>
      <c r="N627" s="220"/>
      <c r="O627" s="220"/>
      <c r="P627" s="220"/>
      <c r="Q627" s="220"/>
      <c r="R627" s="220"/>
      <c r="S627" s="220"/>
    </row>
    <row r="628" spans="1:19" x14ac:dyDescent="0.25">
      <c r="A628" s="220"/>
      <c r="B628" s="220"/>
      <c r="C628" s="220"/>
      <c r="D628" s="220"/>
      <c r="E628" s="220"/>
      <c r="F628" s="220"/>
      <c r="G628" s="220"/>
      <c r="H628" s="220"/>
      <c r="I628" s="220"/>
      <c r="J628" s="220"/>
      <c r="K628" s="220"/>
      <c r="L628" s="220"/>
      <c r="M628" s="220"/>
      <c r="N628" s="220"/>
      <c r="O628" s="220"/>
      <c r="P628" s="220"/>
      <c r="Q628" s="220"/>
      <c r="R628" s="220"/>
      <c r="S628" s="220"/>
    </row>
    <row r="629" spans="1:19" x14ac:dyDescent="0.25">
      <c r="A629" s="220"/>
      <c r="B629" s="220"/>
      <c r="C629" s="220"/>
      <c r="D629" s="220"/>
      <c r="E629" s="220"/>
      <c r="F629" s="220"/>
      <c r="G629" s="220"/>
      <c r="H629" s="220"/>
      <c r="I629" s="220"/>
      <c r="J629" s="220"/>
      <c r="K629" s="220"/>
      <c r="L629" s="220"/>
      <c r="M629" s="220"/>
      <c r="N629" s="220"/>
      <c r="O629" s="220"/>
      <c r="P629" s="220"/>
      <c r="Q629" s="220"/>
      <c r="R629" s="220"/>
      <c r="S629" s="220"/>
    </row>
    <row r="630" spans="1:19" x14ac:dyDescent="0.25">
      <c r="A630" s="220"/>
      <c r="B630" s="220"/>
      <c r="C630" s="220"/>
      <c r="D630" s="220"/>
      <c r="E630" s="220"/>
      <c r="F630" s="220"/>
      <c r="G630" s="220"/>
      <c r="H630" s="220"/>
      <c r="I630" s="220"/>
      <c r="J630" s="220"/>
      <c r="K630" s="220"/>
      <c r="L630" s="220"/>
      <c r="M630" s="220"/>
      <c r="N630" s="220"/>
      <c r="O630" s="220"/>
      <c r="P630" s="220"/>
      <c r="Q630" s="220"/>
      <c r="R630" s="220"/>
      <c r="S630" s="220"/>
    </row>
    <row r="631" spans="1:19" x14ac:dyDescent="0.25">
      <c r="A631" s="220"/>
      <c r="B631" s="220"/>
      <c r="C631" s="220"/>
      <c r="D631" s="220"/>
      <c r="E631" s="220"/>
      <c r="F631" s="220"/>
      <c r="G631" s="220"/>
      <c r="H631" s="220"/>
      <c r="I631" s="220"/>
      <c r="J631" s="220"/>
      <c r="K631" s="220"/>
      <c r="L631" s="220"/>
      <c r="M631" s="220"/>
      <c r="N631" s="220"/>
      <c r="O631" s="220"/>
      <c r="P631" s="220"/>
      <c r="Q631" s="220"/>
      <c r="R631" s="220"/>
      <c r="S631" s="220"/>
    </row>
    <row r="632" spans="1:19" x14ac:dyDescent="0.25">
      <c r="A632" s="220"/>
      <c r="B632" s="220"/>
      <c r="C632" s="220"/>
      <c r="D632" s="220"/>
      <c r="E632" s="220"/>
      <c r="F632" s="220"/>
      <c r="G632" s="220"/>
      <c r="H632" s="220"/>
      <c r="I632" s="220"/>
      <c r="J632" s="220"/>
      <c r="K632" s="220"/>
      <c r="L632" s="220"/>
      <c r="M632" s="220"/>
      <c r="N632" s="220"/>
      <c r="O632" s="220"/>
      <c r="P632" s="220"/>
      <c r="Q632" s="220"/>
      <c r="R632" s="220"/>
      <c r="S632" s="220"/>
    </row>
    <row r="633" spans="1:19" x14ac:dyDescent="0.25">
      <c r="A633" s="220"/>
      <c r="B633" s="220"/>
      <c r="C633" s="220"/>
      <c r="D633" s="220"/>
      <c r="E633" s="220"/>
      <c r="F633" s="220"/>
      <c r="G633" s="220"/>
      <c r="H633" s="220"/>
      <c r="I633" s="220"/>
      <c r="J633" s="220"/>
      <c r="K633" s="220"/>
      <c r="L633" s="220"/>
      <c r="M633" s="220"/>
      <c r="N633" s="220"/>
      <c r="O633" s="220"/>
      <c r="P633" s="220"/>
      <c r="Q633" s="220"/>
      <c r="R633" s="220"/>
      <c r="S633" s="220"/>
    </row>
    <row r="634" spans="1:19" x14ac:dyDescent="0.25">
      <c r="A634" s="220"/>
      <c r="B634" s="220"/>
      <c r="C634" s="220"/>
      <c r="D634" s="220"/>
      <c r="E634" s="220"/>
      <c r="F634" s="220"/>
      <c r="G634" s="220"/>
      <c r="H634" s="220"/>
      <c r="I634" s="220"/>
      <c r="J634" s="220"/>
      <c r="K634" s="220"/>
      <c r="L634" s="220"/>
      <c r="M634" s="220"/>
      <c r="N634" s="220"/>
      <c r="O634" s="220"/>
      <c r="P634" s="220"/>
      <c r="Q634" s="220"/>
      <c r="R634" s="220"/>
      <c r="S634" s="220"/>
    </row>
    <row r="635" spans="1:19" x14ac:dyDescent="0.25">
      <c r="A635" s="220"/>
      <c r="B635" s="220"/>
      <c r="C635" s="220"/>
      <c r="D635" s="220"/>
      <c r="E635" s="220"/>
      <c r="F635" s="220"/>
      <c r="G635" s="220"/>
      <c r="H635" s="220"/>
      <c r="I635" s="220"/>
      <c r="J635" s="220"/>
      <c r="K635" s="220"/>
      <c r="L635" s="220"/>
      <c r="M635" s="220"/>
      <c r="N635" s="220"/>
      <c r="O635" s="220"/>
      <c r="P635" s="220"/>
      <c r="Q635" s="220"/>
      <c r="R635" s="220"/>
      <c r="S635" s="220"/>
    </row>
    <row r="636" spans="1:19" x14ac:dyDescent="0.25">
      <c r="A636" s="220"/>
      <c r="B636" s="220"/>
      <c r="C636" s="220"/>
      <c r="D636" s="220"/>
      <c r="E636" s="220"/>
      <c r="F636" s="220"/>
      <c r="G636" s="220"/>
      <c r="H636" s="220"/>
      <c r="I636" s="220"/>
      <c r="J636" s="220"/>
      <c r="K636" s="220"/>
      <c r="L636" s="220"/>
      <c r="M636" s="220"/>
      <c r="N636" s="220"/>
      <c r="O636" s="220"/>
      <c r="P636" s="220"/>
      <c r="Q636" s="220"/>
      <c r="R636" s="220"/>
      <c r="S636" s="220"/>
    </row>
    <row r="637" spans="1:19" x14ac:dyDescent="0.25">
      <c r="A637" s="220"/>
      <c r="B637" s="220"/>
      <c r="C637" s="220"/>
      <c r="D637" s="220"/>
      <c r="E637" s="220"/>
      <c r="F637" s="220"/>
      <c r="G637" s="220"/>
      <c r="H637" s="220"/>
      <c r="I637" s="220"/>
      <c r="J637" s="220"/>
      <c r="K637" s="220"/>
      <c r="L637" s="220"/>
      <c r="M637" s="220"/>
      <c r="N637" s="220"/>
      <c r="O637" s="220"/>
      <c r="P637" s="220"/>
      <c r="Q637" s="220"/>
      <c r="R637" s="220"/>
      <c r="S637" s="220"/>
    </row>
    <row r="638" spans="1:19" x14ac:dyDescent="0.25">
      <c r="A638" s="220"/>
      <c r="B638" s="220"/>
      <c r="C638" s="220"/>
      <c r="D638" s="220"/>
      <c r="E638" s="220"/>
      <c r="F638" s="220"/>
      <c r="G638" s="220"/>
      <c r="H638" s="220"/>
      <c r="I638" s="220"/>
      <c r="J638" s="220"/>
      <c r="K638" s="220"/>
      <c r="L638" s="220"/>
      <c r="M638" s="220"/>
      <c r="N638" s="220"/>
      <c r="O638" s="220"/>
      <c r="P638" s="220"/>
      <c r="Q638" s="220"/>
      <c r="R638" s="220"/>
      <c r="S638" s="220"/>
    </row>
    <row r="639" spans="1:19" x14ac:dyDescent="0.25">
      <c r="A639" s="220"/>
      <c r="B639" s="220"/>
      <c r="C639" s="220"/>
      <c r="D639" s="220"/>
      <c r="E639" s="220"/>
      <c r="F639" s="220"/>
      <c r="G639" s="220"/>
      <c r="H639" s="220"/>
      <c r="I639" s="220"/>
      <c r="J639" s="220"/>
      <c r="K639" s="220"/>
      <c r="L639" s="220"/>
      <c r="M639" s="220"/>
      <c r="N639" s="220"/>
      <c r="O639" s="220"/>
      <c r="P639" s="220"/>
      <c r="Q639" s="220"/>
      <c r="R639" s="220"/>
      <c r="S639" s="220"/>
    </row>
    <row r="640" spans="1:19" x14ac:dyDescent="0.25">
      <c r="A640" s="220"/>
      <c r="B640" s="220"/>
      <c r="C640" s="220"/>
      <c r="D640" s="220"/>
      <c r="E640" s="220"/>
      <c r="F640" s="220"/>
      <c r="G640" s="220"/>
      <c r="H640" s="220"/>
      <c r="I640" s="220"/>
      <c r="J640" s="220"/>
      <c r="K640" s="220"/>
      <c r="L640" s="220"/>
      <c r="M640" s="220"/>
      <c r="N640" s="220"/>
      <c r="O640" s="220"/>
      <c r="P640" s="220"/>
      <c r="Q640" s="220"/>
      <c r="R640" s="220"/>
      <c r="S640" s="220"/>
    </row>
    <row r="641" spans="1:19" x14ac:dyDescent="0.25">
      <c r="A641" s="220"/>
      <c r="B641" s="220"/>
      <c r="C641" s="220"/>
      <c r="D641" s="220"/>
      <c r="E641" s="220"/>
      <c r="F641" s="220"/>
      <c r="G641" s="220"/>
      <c r="H641" s="220"/>
      <c r="I641" s="220"/>
      <c r="J641" s="220"/>
      <c r="K641" s="220"/>
      <c r="L641" s="220"/>
      <c r="M641" s="220"/>
      <c r="N641" s="220"/>
      <c r="O641" s="220"/>
      <c r="P641" s="220"/>
      <c r="Q641" s="220"/>
      <c r="R641" s="220"/>
      <c r="S641" s="220"/>
    </row>
    <row r="642" spans="1:19" x14ac:dyDescent="0.25">
      <c r="A642" s="220"/>
      <c r="B642" s="220"/>
      <c r="C642" s="220"/>
      <c r="D642" s="220"/>
      <c r="E642" s="220"/>
      <c r="F642" s="220"/>
      <c r="G642" s="220"/>
      <c r="H642" s="220"/>
      <c r="I642" s="220"/>
      <c r="J642" s="220"/>
      <c r="K642" s="220"/>
      <c r="L642" s="220"/>
      <c r="M642" s="220"/>
      <c r="N642" s="220"/>
      <c r="O642" s="220"/>
      <c r="P642" s="220"/>
      <c r="Q642" s="220"/>
      <c r="R642" s="220"/>
      <c r="S642" s="220"/>
    </row>
    <row r="643" spans="1:19" x14ac:dyDescent="0.25">
      <c r="A643" s="220"/>
      <c r="B643" s="220"/>
      <c r="C643" s="220"/>
      <c r="D643" s="220"/>
      <c r="E643" s="220"/>
      <c r="F643" s="220"/>
      <c r="G643" s="220"/>
      <c r="H643" s="220"/>
      <c r="I643" s="220"/>
      <c r="J643" s="220"/>
      <c r="K643" s="220"/>
      <c r="L643" s="220"/>
      <c r="M643" s="220"/>
      <c r="N643" s="220"/>
      <c r="O643" s="220"/>
      <c r="P643" s="220"/>
      <c r="Q643" s="220"/>
      <c r="R643" s="220"/>
      <c r="S643" s="220"/>
    </row>
    <row r="644" spans="1:19" x14ac:dyDescent="0.25">
      <c r="A644" s="220"/>
      <c r="B644" s="220"/>
      <c r="C644" s="220"/>
      <c r="D644" s="220"/>
      <c r="E644" s="220"/>
      <c r="F644" s="220"/>
      <c r="G644" s="220"/>
      <c r="H644" s="220"/>
      <c r="I644" s="220"/>
      <c r="J644" s="220"/>
      <c r="K644" s="220"/>
      <c r="L644" s="220"/>
      <c r="M644" s="220"/>
      <c r="N644" s="220"/>
      <c r="O644" s="220"/>
      <c r="P644" s="220"/>
      <c r="Q644" s="220"/>
      <c r="R644" s="220"/>
      <c r="S644" s="220"/>
    </row>
    <row r="645" spans="1:19" x14ac:dyDescent="0.25">
      <c r="A645" s="220"/>
      <c r="B645" s="220"/>
      <c r="C645" s="220"/>
      <c r="D645" s="220"/>
      <c r="E645" s="220"/>
      <c r="F645" s="220"/>
      <c r="G645" s="220"/>
      <c r="H645" s="220"/>
      <c r="I645" s="220"/>
      <c r="J645" s="220"/>
      <c r="K645" s="220"/>
      <c r="L645" s="220"/>
      <c r="M645" s="220"/>
      <c r="N645" s="220"/>
      <c r="O645" s="220"/>
      <c r="P645" s="220"/>
      <c r="Q645" s="220"/>
      <c r="R645" s="220"/>
      <c r="S645" s="220"/>
    </row>
    <row r="646" spans="1:19" x14ac:dyDescent="0.25">
      <c r="A646" s="220"/>
      <c r="B646" s="220"/>
      <c r="C646" s="220"/>
      <c r="D646" s="220"/>
      <c r="E646" s="220"/>
      <c r="F646" s="220"/>
      <c r="G646" s="220"/>
      <c r="H646" s="220"/>
      <c r="I646" s="220"/>
      <c r="J646" s="220"/>
      <c r="K646" s="220"/>
      <c r="L646" s="220"/>
      <c r="M646" s="220"/>
      <c r="N646" s="220"/>
      <c r="O646" s="220"/>
      <c r="P646" s="220"/>
      <c r="Q646" s="220"/>
      <c r="R646" s="220"/>
      <c r="S646" s="220"/>
    </row>
    <row r="647" spans="1:19" x14ac:dyDescent="0.25">
      <c r="A647" s="220"/>
      <c r="B647" s="220"/>
      <c r="C647" s="220"/>
      <c r="D647" s="220"/>
      <c r="E647" s="220"/>
      <c r="F647" s="220"/>
      <c r="G647" s="220"/>
      <c r="H647" s="220"/>
      <c r="I647" s="220"/>
      <c r="J647" s="220"/>
      <c r="K647" s="220"/>
      <c r="L647" s="220"/>
      <c r="M647" s="220"/>
      <c r="N647" s="220"/>
      <c r="O647" s="220"/>
      <c r="P647" s="220"/>
      <c r="Q647" s="220"/>
      <c r="R647" s="220"/>
      <c r="S647" s="220"/>
    </row>
    <row r="648" spans="1:19" x14ac:dyDescent="0.25">
      <c r="A648" s="220"/>
      <c r="B648" s="220"/>
      <c r="C648" s="220"/>
      <c r="D648" s="220"/>
      <c r="E648" s="220"/>
      <c r="F648" s="220"/>
      <c r="G648" s="220"/>
      <c r="H648" s="220"/>
      <c r="I648" s="220"/>
      <c r="J648" s="220"/>
      <c r="K648" s="220"/>
      <c r="L648" s="220"/>
      <c r="M648" s="220"/>
      <c r="N648" s="220"/>
      <c r="O648" s="220"/>
      <c r="P648" s="220"/>
      <c r="Q648" s="220"/>
      <c r="R648" s="220"/>
      <c r="S648" s="220"/>
    </row>
    <row r="649" spans="1:19" x14ac:dyDescent="0.25">
      <c r="A649" s="220"/>
      <c r="B649" s="220"/>
      <c r="C649" s="220"/>
      <c r="D649" s="220"/>
      <c r="E649" s="220"/>
      <c r="F649" s="220"/>
      <c r="G649" s="220"/>
      <c r="H649" s="220"/>
      <c r="I649" s="220"/>
      <c r="J649" s="220"/>
      <c r="K649" s="220"/>
      <c r="L649" s="220"/>
      <c r="M649" s="220"/>
      <c r="N649" s="220"/>
      <c r="O649" s="220"/>
      <c r="P649" s="220"/>
      <c r="Q649" s="220"/>
      <c r="R649" s="220"/>
      <c r="S649" s="220"/>
    </row>
    <row r="650" spans="1:19" x14ac:dyDescent="0.25">
      <c r="A650" s="220"/>
      <c r="B650" s="220"/>
      <c r="C650" s="220"/>
      <c r="D650" s="220"/>
      <c r="E650" s="220"/>
      <c r="F650" s="220"/>
      <c r="G650" s="220"/>
      <c r="H650" s="220"/>
      <c r="I650" s="220"/>
      <c r="J650" s="220"/>
      <c r="K650" s="220"/>
      <c r="L650" s="220"/>
      <c r="M650" s="220"/>
      <c r="N650" s="220"/>
      <c r="O650" s="220"/>
      <c r="P650" s="220"/>
      <c r="Q650" s="220"/>
      <c r="R650" s="220"/>
      <c r="S650" s="220"/>
    </row>
    <row r="651" spans="1:19" x14ac:dyDescent="0.25">
      <c r="A651" s="220"/>
      <c r="B651" s="220"/>
      <c r="C651" s="220"/>
      <c r="D651" s="220"/>
      <c r="E651" s="220"/>
      <c r="F651" s="220"/>
      <c r="G651" s="220"/>
      <c r="H651" s="220"/>
      <c r="I651" s="220"/>
      <c r="J651" s="220"/>
      <c r="K651" s="220"/>
      <c r="L651" s="220"/>
      <c r="M651" s="220"/>
      <c r="N651" s="220"/>
      <c r="O651" s="220"/>
      <c r="P651" s="220"/>
      <c r="Q651" s="220"/>
      <c r="R651" s="220"/>
      <c r="S651" s="220"/>
    </row>
    <row r="652" spans="1:19" x14ac:dyDescent="0.25">
      <c r="A652" s="220"/>
      <c r="B652" s="220"/>
      <c r="C652" s="220"/>
      <c r="D652" s="220"/>
      <c r="E652" s="220"/>
      <c r="F652" s="220"/>
      <c r="G652" s="220"/>
      <c r="H652" s="220"/>
      <c r="I652" s="220"/>
      <c r="J652" s="220"/>
      <c r="K652" s="220"/>
      <c r="L652" s="220"/>
      <c r="M652" s="220"/>
      <c r="N652" s="220"/>
      <c r="O652" s="220"/>
      <c r="P652" s="220"/>
      <c r="Q652" s="220"/>
      <c r="R652" s="220"/>
      <c r="S652" s="220"/>
    </row>
    <row r="653" spans="1:19" x14ac:dyDescent="0.25">
      <c r="A653" s="220"/>
      <c r="B653" s="220"/>
      <c r="C653" s="220"/>
      <c r="D653" s="220"/>
      <c r="E653" s="220"/>
      <c r="F653" s="220"/>
      <c r="G653" s="220"/>
      <c r="H653" s="220"/>
      <c r="I653" s="220"/>
      <c r="J653" s="220"/>
      <c r="K653" s="220"/>
      <c r="L653" s="220"/>
      <c r="M653" s="220"/>
      <c r="N653" s="220"/>
      <c r="O653" s="220"/>
      <c r="P653" s="220"/>
      <c r="Q653" s="220"/>
      <c r="R653" s="220"/>
      <c r="S653" s="220"/>
    </row>
    <row r="654" spans="1:19" x14ac:dyDescent="0.25">
      <c r="A654" s="220"/>
      <c r="B654" s="220"/>
      <c r="C654" s="220"/>
      <c r="D654" s="220"/>
      <c r="E654" s="220"/>
      <c r="F654" s="220"/>
      <c r="G654" s="220"/>
      <c r="H654" s="220"/>
      <c r="I654" s="220"/>
      <c r="J654" s="220"/>
      <c r="K654" s="220"/>
      <c r="L654" s="220"/>
      <c r="M654" s="220"/>
      <c r="N654" s="220"/>
      <c r="O654" s="220"/>
      <c r="P654" s="220"/>
      <c r="Q654" s="220"/>
      <c r="R654" s="220"/>
      <c r="S654" s="220"/>
    </row>
    <row r="655" spans="1:19" x14ac:dyDescent="0.25">
      <c r="A655" s="220"/>
      <c r="B655" s="220"/>
      <c r="C655" s="220"/>
      <c r="D655" s="220"/>
      <c r="E655" s="220"/>
      <c r="F655" s="220"/>
      <c r="G655" s="220"/>
      <c r="H655" s="220"/>
      <c r="I655" s="220"/>
      <c r="J655" s="220"/>
      <c r="K655" s="220"/>
      <c r="L655" s="220"/>
      <c r="M655" s="220"/>
      <c r="N655" s="220"/>
      <c r="O655" s="220"/>
      <c r="P655" s="220"/>
      <c r="Q655" s="220"/>
      <c r="R655" s="220"/>
      <c r="S655" s="220"/>
    </row>
    <row r="656" spans="1:19" x14ac:dyDescent="0.25">
      <c r="A656" s="220"/>
      <c r="B656" s="220"/>
      <c r="C656" s="220"/>
      <c r="D656" s="220"/>
      <c r="E656" s="220"/>
      <c r="F656" s="220"/>
      <c r="G656" s="220"/>
      <c r="H656" s="220"/>
      <c r="I656" s="220"/>
      <c r="J656" s="220"/>
      <c r="K656" s="220"/>
      <c r="L656" s="220"/>
      <c r="M656" s="220"/>
      <c r="N656" s="220"/>
      <c r="O656" s="220"/>
      <c r="P656" s="220"/>
      <c r="Q656" s="220"/>
      <c r="R656" s="220"/>
      <c r="S656" s="220"/>
    </row>
    <row r="657" spans="1:19" x14ac:dyDescent="0.25">
      <c r="A657" s="220"/>
      <c r="B657" s="220"/>
      <c r="C657" s="220"/>
      <c r="D657" s="220"/>
      <c r="E657" s="220"/>
      <c r="F657" s="220"/>
      <c r="G657" s="220"/>
      <c r="H657" s="220"/>
      <c r="I657" s="220"/>
      <c r="J657" s="220"/>
      <c r="K657" s="220"/>
      <c r="L657" s="220"/>
      <c r="M657" s="220"/>
      <c r="N657" s="220"/>
      <c r="O657" s="220"/>
      <c r="P657" s="220"/>
      <c r="Q657" s="220"/>
      <c r="R657" s="220"/>
      <c r="S657" s="220"/>
    </row>
    <row r="658" spans="1:19" x14ac:dyDescent="0.25">
      <c r="A658" s="220"/>
      <c r="B658" s="220"/>
      <c r="C658" s="220"/>
      <c r="D658" s="220"/>
      <c r="E658" s="220"/>
      <c r="F658" s="220"/>
      <c r="G658" s="220"/>
      <c r="H658" s="220"/>
      <c r="I658" s="220"/>
      <c r="J658" s="220"/>
      <c r="K658" s="220"/>
      <c r="L658" s="220"/>
      <c r="M658" s="220"/>
      <c r="N658" s="220"/>
      <c r="O658" s="220"/>
      <c r="P658" s="220"/>
      <c r="Q658" s="220"/>
      <c r="R658" s="220"/>
      <c r="S658" s="220"/>
    </row>
    <row r="659" spans="1:19" x14ac:dyDescent="0.25">
      <c r="A659" s="220"/>
      <c r="B659" s="220"/>
      <c r="C659" s="220"/>
      <c r="D659" s="220"/>
      <c r="E659" s="220"/>
      <c r="F659" s="220"/>
      <c r="G659" s="220"/>
      <c r="H659" s="220"/>
      <c r="I659" s="220"/>
      <c r="J659" s="220"/>
      <c r="K659" s="220"/>
      <c r="L659" s="220"/>
      <c r="M659" s="220"/>
      <c r="N659" s="220"/>
      <c r="O659" s="220"/>
      <c r="P659" s="220"/>
      <c r="Q659" s="220"/>
      <c r="R659" s="220"/>
      <c r="S659" s="220"/>
    </row>
    <row r="660" spans="1:19" x14ac:dyDescent="0.25">
      <c r="A660" s="220"/>
      <c r="B660" s="220"/>
      <c r="C660" s="220"/>
      <c r="D660" s="220"/>
      <c r="E660" s="220"/>
      <c r="F660" s="220"/>
      <c r="G660" s="220"/>
      <c r="H660" s="220"/>
      <c r="I660" s="220"/>
      <c r="J660" s="220"/>
      <c r="K660" s="220"/>
      <c r="L660" s="220"/>
      <c r="M660" s="220"/>
      <c r="N660" s="220"/>
      <c r="O660" s="220"/>
      <c r="P660" s="220"/>
      <c r="Q660" s="220"/>
      <c r="R660" s="220"/>
      <c r="S660" s="220"/>
    </row>
    <row r="661" spans="1:19" x14ac:dyDescent="0.25">
      <c r="A661" s="220"/>
      <c r="B661" s="220"/>
      <c r="C661" s="220"/>
      <c r="D661" s="220"/>
      <c r="E661" s="220"/>
      <c r="F661" s="220"/>
      <c r="G661" s="220"/>
      <c r="H661" s="220"/>
      <c r="I661" s="220"/>
      <c r="J661" s="220"/>
      <c r="K661" s="220"/>
      <c r="L661" s="220"/>
      <c r="M661" s="220"/>
      <c r="N661" s="220"/>
      <c r="O661" s="220"/>
      <c r="P661" s="220"/>
      <c r="Q661" s="220"/>
      <c r="R661" s="220"/>
      <c r="S661" s="220"/>
    </row>
    <row r="662" spans="1:19" x14ac:dyDescent="0.25">
      <c r="A662" s="220"/>
      <c r="B662" s="220"/>
      <c r="C662" s="220"/>
      <c r="D662" s="220"/>
      <c r="E662" s="220"/>
      <c r="F662" s="220"/>
      <c r="G662" s="220"/>
      <c r="H662" s="220"/>
      <c r="I662" s="220"/>
      <c r="J662" s="220"/>
      <c r="K662" s="220"/>
      <c r="L662" s="220"/>
      <c r="M662" s="220"/>
      <c r="N662" s="220"/>
      <c r="O662" s="220"/>
      <c r="P662" s="220"/>
      <c r="Q662" s="220"/>
      <c r="R662" s="220"/>
      <c r="S662" s="220"/>
    </row>
    <row r="663" spans="1:19" x14ac:dyDescent="0.25">
      <c r="A663" s="220"/>
      <c r="B663" s="220"/>
      <c r="C663" s="220"/>
      <c r="D663" s="220"/>
      <c r="E663" s="220"/>
      <c r="F663" s="220"/>
      <c r="G663" s="220"/>
      <c r="H663" s="220"/>
      <c r="I663" s="220"/>
      <c r="J663" s="220"/>
      <c r="K663" s="220"/>
      <c r="L663" s="220"/>
      <c r="M663" s="220"/>
      <c r="N663" s="220"/>
      <c r="O663" s="220"/>
      <c r="P663" s="220"/>
      <c r="Q663" s="220"/>
      <c r="R663" s="220"/>
      <c r="S663" s="220"/>
    </row>
    <row r="664" spans="1:19" x14ac:dyDescent="0.25">
      <c r="A664" s="220"/>
      <c r="B664" s="220"/>
      <c r="C664" s="220"/>
      <c r="D664" s="220"/>
      <c r="E664" s="220"/>
      <c r="F664" s="220"/>
      <c r="G664" s="220"/>
      <c r="H664" s="220"/>
      <c r="I664" s="220"/>
      <c r="J664" s="220"/>
      <c r="K664" s="220"/>
      <c r="L664" s="220"/>
      <c r="M664" s="220"/>
      <c r="N664" s="220"/>
      <c r="O664" s="220"/>
      <c r="P664" s="220"/>
      <c r="Q664" s="220"/>
      <c r="R664" s="220"/>
      <c r="S664" s="220"/>
    </row>
    <row r="665" spans="1:19" x14ac:dyDescent="0.25">
      <c r="A665" s="220"/>
      <c r="B665" s="220"/>
      <c r="C665" s="220"/>
      <c r="D665" s="220"/>
      <c r="E665" s="220"/>
      <c r="F665" s="220"/>
      <c r="G665" s="220"/>
      <c r="H665" s="220"/>
      <c r="I665" s="220"/>
      <c r="J665" s="220"/>
      <c r="K665" s="220"/>
      <c r="L665" s="220"/>
      <c r="M665" s="220"/>
      <c r="N665" s="220"/>
      <c r="O665" s="220"/>
      <c r="P665" s="220"/>
      <c r="Q665" s="220"/>
      <c r="R665" s="220"/>
      <c r="S665" s="220"/>
    </row>
    <row r="666" spans="1:19" x14ac:dyDescent="0.25">
      <c r="A666" s="220"/>
      <c r="B666" s="220"/>
      <c r="C666" s="220"/>
      <c r="D666" s="220"/>
      <c r="E666" s="220"/>
      <c r="F666" s="220"/>
      <c r="G666" s="220"/>
      <c r="H666" s="220"/>
      <c r="I666" s="220"/>
      <c r="J666" s="220"/>
      <c r="K666" s="220"/>
      <c r="L666" s="220"/>
      <c r="M666" s="220"/>
      <c r="N666" s="220"/>
      <c r="O666" s="220"/>
      <c r="P666" s="220"/>
      <c r="Q666" s="220"/>
      <c r="R666" s="220"/>
      <c r="S666" s="220"/>
    </row>
    <row r="667" spans="1:19" x14ac:dyDescent="0.25">
      <c r="A667" s="220"/>
      <c r="B667" s="220"/>
      <c r="C667" s="220"/>
      <c r="D667" s="220"/>
      <c r="E667" s="220"/>
      <c r="F667" s="220"/>
      <c r="G667" s="220"/>
      <c r="H667" s="220"/>
      <c r="I667" s="220"/>
      <c r="J667" s="220"/>
      <c r="K667" s="220"/>
      <c r="L667" s="220"/>
      <c r="M667" s="220"/>
      <c r="N667" s="220"/>
      <c r="O667" s="220"/>
      <c r="P667" s="220"/>
      <c r="Q667" s="220"/>
      <c r="R667" s="220"/>
      <c r="S667" s="220"/>
    </row>
    <row r="668" spans="1:19" x14ac:dyDescent="0.25">
      <c r="A668" s="220"/>
      <c r="B668" s="220"/>
      <c r="C668" s="220"/>
      <c r="D668" s="220"/>
      <c r="E668" s="220"/>
      <c r="F668" s="220"/>
      <c r="G668" s="220"/>
      <c r="H668" s="220"/>
      <c r="I668" s="220"/>
      <c r="J668" s="220"/>
      <c r="K668" s="220"/>
      <c r="L668" s="220"/>
      <c r="M668" s="220"/>
      <c r="N668" s="220"/>
      <c r="O668" s="220"/>
      <c r="P668" s="220"/>
      <c r="Q668" s="220"/>
      <c r="R668" s="220"/>
      <c r="S668" s="220"/>
    </row>
    <row r="669" spans="1:19" x14ac:dyDescent="0.25">
      <c r="A669" s="220"/>
      <c r="B669" s="220"/>
      <c r="C669" s="220"/>
      <c r="D669" s="220"/>
      <c r="E669" s="220"/>
      <c r="F669" s="220"/>
      <c r="G669" s="220"/>
      <c r="H669" s="220"/>
      <c r="I669" s="220"/>
      <c r="J669" s="220"/>
      <c r="K669" s="220"/>
      <c r="L669" s="220"/>
      <c r="M669" s="220"/>
      <c r="N669" s="220"/>
      <c r="O669" s="220"/>
      <c r="P669" s="220"/>
      <c r="Q669" s="220"/>
      <c r="R669" s="220"/>
      <c r="S669" s="220"/>
    </row>
    <row r="670" spans="1:19" x14ac:dyDescent="0.25">
      <c r="A670" s="220"/>
      <c r="B670" s="220"/>
      <c r="C670" s="220"/>
      <c r="D670" s="220"/>
      <c r="E670" s="220"/>
      <c r="F670" s="220"/>
      <c r="G670" s="220"/>
      <c r="H670" s="220"/>
      <c r="I670" s="220"/>
      <c r="J670" s="220"/>
      <c r="K670" s="220"/>
      <c r="L670" s="220"/>
      <c r="M670" s="220"/>
      <c r="N670" s="220"/>
      <c r="O670" s="220"/>
      <c r="P670" s="220"/>
      <c r="Q670" s="220"/>
      <c r="R670" s="220"/>
      <c r="S670" s="220"/>
    </row>
    <row r="671" spans="1:19" x14ac:dyDescent="0.25">
      <c r="A671" s="220"/>
      <c r="B671" s="220"/>
      <c r="C671" s="220"/>
      <c r="D671" s="220"/>
      <c r="E671" s="220"/>
      <c r="F671" s="220"/>
      <c r="G671" s="220"/>
      <c r="H671" s="220"/>
      <c r="I671" s="220"/>
      <c r="J671" s="220"/>
      <c r="K671" s="220"/>
      <c r="L671" s="220"/>
      <c r="M671" s="220"/>
      <c r="N671" s="220"/>
      <c r="O671" s="220"/>
      <c r="P671" s="220"/>
      <c r="Q671" s="220"/>
      <c r="R671" s="220"/>
      <c r="S671" s="220"/>
    </row>
    <row r="672" spans="1:19" x14ac:dyDescent="0.25">
      <c r="A672" s="220"/>
      <c r="B672" s="220"/>
      <c r="C672" s="220"/>
      <c r="D672" s="220"/>
      <c r="E672" s="220"/>
      <c r="F672" s="220"/>
      <c r="G672" s="220"/>
      <c r="H672" s="220"/>
      <c r="I672" s="220"/>
      <c r="J672" s="220"/>
      <c r="K672" s="220"/>
      <c r="L672" s="220"/>
      <c r="M672" s="220"/>
      <c r="N672" s="220"/>
      <c r="O672" s="220"/>
      <c r="P672" s="220"/>
      <c r="Q672" s="220"/>
      <c r="R672" s="220"/>
      <c r="S672" s="220"/>
    </row>
    <row r="673" spans="1:19" x14ac:dyDescent="0.25">
      <c r="A673" s="220"/>
      <c r="B673" s="220"/>
      <c r="C673" s="220"/>
      <c r="D673" s="220"/>
      <c r="E673" s="220"/>
      <c r="F673" s="220"/>
      <c r="G673" s="220"/>
      <c r="H673" s="220"/>
      <c r="I673" s="220"/>
      <c r="J673" s="220"/>
      <c r="K673" s="220"/>
      <c r="L673" s="220"/>
      <c r="M673" s="220"/>
      <c r="N673" s="220"/>
      <c r="O673" s="220"/>
      <c r="P673" s="220"/>
      <c r="Q673" s="220"/>
      <c r="R673" s="220"/>
      <c r="S673" s="220"/>
    </row>
    <row r="674" spans="1:19" x14ac:dyDescent="0.25">
      <c r="A674" s="220"/>
      <c r="B674" s="220"/>
      <c r="C674" s="220"/>
      <c r="D674" s="220"/>
      <c r="E674" s="220"/>
      <c r="F674" s="220"/>
      <c r="G674" s="220"/>
      <c r="H674" s="220"/>
      <c r="I674" s="220"/>
      <c r="J674" s="220"/>
      <c r="K674" s="220"/>
      <c r="L674" s="220"/>
      <c r="M674" s="220"/>
      <c r="N674" s="220"/>
      <c r="O674" s="220"/>
      <c r="P674" s="220"/>
      <c r="Q674" s="220"/>
      <c r="R674" s="220"/>
      <c r="S674" s="220"/>
    </row>
    <row r="675" spans="1:19" x14ac:dyDescent="0.25">
      <c r="A675" s="220"/>
      <c r="B675" s="220"/>
      <c r="C675" s="220"/>
      <c r="D675" s="220"/>
      <c r="E675" s="220"/>
      <c r="F675" s="220"/>
      <c r="G675" s="220"/>
      <c r="H675" s="220"/>
      <c r="I675" s="220"/>
      <c r="J675" s="220"/>
      <c r="K675" s="220"/>
      <c r="L675" s="220"/>
      <c r="M675" s="220"/>
      <c r="N675" s="220"/>
      <c r="O675" s="220"/>
      <c r="P675" s="220"/>
      <c r="Q675" s="220"/>
      <c r="R675" s="220"/>
      <c r="S675" s="220"/>
    </row>
    <row r="676" spans="1:19" x14ac:dyDescent="0.25">
      <c r="A676" s="220"/>
      <c r="B676" s="220"/>
      <c r="C676" s="220"/>
      <c r="D676" s="220"/>
      <c r="E676" s="220"/>
      <c r="F676" s="220"/>
      <c r="G676" s="220"/>
      <c r="H676" s="220"/>
      <c r="I676" s="220"/>
      <c r="J676" s="220"/>
      <c r="K676" s="220"/>
      <c r="L676" s="220"/>
      <c r="M676" s="220"/>
      <c r="N676" s="220"/>
      <c r="O676" s="220"/>
      <c r="P676" s="220"/>
      <c r="Q676" s="220"/>
      <c r="R676" s="220"/>
      <c r="S676" s="220"/>
    </row>
    <row r="677" spans="1:19" x14ac:dyDescent="0.25">
      <c r="A677" s="220"/>
      <c r="B677" s="220"/>
      <c r="C677" s="220"/>
      <c r="D677" s="220"/>
      <c r="E677" s="220"/>
      <c r="F677" s="220"/>
      <c r="G677" s="220"/>
      <c r="H677" s="220"/>
      <c r="I677" s="220"/>
      <c r="J677" s="220"/>
      <c r="K677" s="220"/>
      <c r="L677" s="220"/>
      <c r="M677" s="220"/>
      <c r="N677" s="220"/>
      <c r="O677" s="220"/>
      <c r="P677" s="220"/>
      <c r="Q677" s="220"/>
      <c r="R677" s="220"/>
      <c r="S677" s="220"/>
    </row>
    <row r="678" spans="1:19" x14ac:dyDescent="0.25">
      <c r="A678" s="220"/>
      <c r="B678" s="220"/>
      <c r="C678" s="220"/>
      <c r="D678" s="220"/>
      <c r="E678" s="220"/>
      <c r="F678" s="220"/>
      <c r="G678" s="220"/>
      <c r="H678" s="220"/>
      <c r="I678" s="220"/>
      <c r="J678" s="220"/>
      <c r="K678" s="220"/>
      <c r="L678" s="220"/>
      <c r="M678" s="220"/>
      <c r="N678" s="220"/>
      <c r="O678" s="220"/>
      <c r="P678" s="220"/>
      <c r="Q678" s="220"/>
      <c r="R678" s="220"/>
      <c r="S678" s="220"/>
    </row>
    <row r="679" spans="1:19" x14ac:dyDescent="0.25">
      <c r="A679" s="220"/>
      <c r="B679" s="220"/>
      <c r="C679" s="220"/>
      <c r="D679" s="220"/>
      <c r="E679" s="220"/>
      <c r="F679" s="220"/>
      <c r="G679" s="220"/>
      <c r="H679" s="220"/>
      <c r="I679" s="220"/>
      <c r="J679" s="220"/>
      <c r="K679" s="220"/>
      <c r="L679" s="220"/>
      <c r="M679" s="220"/>
      <c r="N679" s="220"/>
      <c r="O679" s="220"/>
      <c r="P679" s="220"/>
      <c r="Q679" s="220"/>
      <c r="R679" s="220"/>
      <c r="S679" s="220"/>
    </row>
    <row r="680" spans="1:19" x14ac:dyDescent="0.25">
      <c r="A680" s="220"/>
      <c r="B680" s="220"/>
      <c r="C680" s="220"/>
      <c r="D680" s="220"/>
      <c r="E680" s="220"/>
      <c r="F680" s="220"/>
      <c r="G680" s="220"/>
      <c r="H680" s="220"/>
      <c r="I680" s="220"/>
      <c r="J680" s="220"/>
      <c r="K680" s="220"/>
      <c r="L680" s="220"/>
      <c r="M680" s="220"/>
      <c r="N680" s="220"/>
      <c r="O680" s="220"/>
      <c r="P680" s="220"/>
      <c r="Q680" s="220"/>
      <c r="R680" s="220"/>
      <c r="S680" s="220"/>
    </row>
    <row r="681" spans="1:19" x14ac:dyDescent="0.25">
      <c r="A681" s="220"/>
      <c r="B681" s="220"/>
      <c r="C681" s="220"/>
      <c r="D681" s="220"/>
      <c r="E681" s="220"/>
      <c r="F681" s="220"/>
      <c r="G681" s="220"/>
      <c r="H681" s="220"/>
      <c r="I681" s="220"/>
      <c r="J681" s="220"/>
      <c r="K681" s="220"/>
      <c r="L681" s="220"/>
      <c r="M681" s="220"/>
      <c r="N681" s="220"/>
      <c r="O681" s="220"/>
      <c r="P681" s="220"/>
      <c r="Q681" s="220"/>
      <c r="R681" s="220"/>
      <c r="S681" s="220"/>
    </row>
    <row r="682" spans="1:19" x14ac:dyDescent="0.25">
      <c r="A682" s="220"/>
      <c r="B682" s="220"/>
      <c r="C682" s="220"/>
      <c r="D682" s="220"/>
      <c r="E682" s="220"/>
      <c r="F682" s="220"/>
      <c r="G682" s="220"/>
      <c r="H682" s="220"/>
      <c r="I682" s="220"/>
      <c r="J682" s="220"/>
      <c r="K682" s="220"/>
      <c r="L682" s="220"/>
      <c r="M682" s="220"/>
      <c r="N682" s="220"/>
      <c r="O682" s="220"/>
      <c r="P682" s="220"/>
      <c r="Q682" s="220"/>
      <c r="R682" s="220"/>
      <c r="S682" s="220"/>
    </row>
    <row r="683" spans="1:19" x14ac:dyDescent="0.25">
      <c r="A683" s="220"/>
      <c r="B683" s="220"/>
      <c r="C683" s="220"/>
      <c r="D683" s="220"/>
      <c r="E683" s="220"/>
      <c r="F683" s="220"/>
      <c r="G683" s="220"/>
      <c r="H683" s="220"/>
      <c r="I683" s="220"/>
      <c r="J683" s="220"/>
      <c r="K683" s="220"/>
      <c r="L683" s="220"/>
      <c r="M683" s="220"/>
      <c r="N683" s="220"/>
      <c r="O683" s="220"/>
      <c r="P683" s="220"/>
      <c r="Q683" s="220"/>
      <c r="R683" s="220"/>
      <c r="S683" s="220"/>
    </row>
    <row r="684" spans="1:19" x14ac:dyDescent="0.25">
      <c r="A684" s="220"/>
      <c r="B684" s="220"/>
      <c r="C684" s="220"/>
      <c r="D684" s="220"/>
      <c r="E684" s="220"/>
      <c r="F684" s="220"/>
      <c r="G684" s="220"/>
      <c r="H684" s="220"/>
      <c r="I684" s="220"/>
      <c r="J684" s="220"/>
      <c r="K684" s="220"/>
      <c r="L684" s="220"/>
      <c r="M684" s="220"/>
      <c r="N684" s="220"/>
      <c r="O684" s="220"/>
      <c r="P684" s="220"/>
      <c r="Q684" s="220"/>
      <c r="R684" s="220"/>
      <c r="S684" s="220"/>
    </row>
    <row r="685" spans="1:19" x14ac:dyDescent="0.25">
      <c r="A685" s="220"/>
      <c r="B685" s="220"/>
      <c r="C685" s="220"/>
      <c r="D685" s="220"/>
      <c r="E685" s="220"/>
      <c r="F685" s="220"/>
      <c r="G685" s="220"/>
      <c r="H685" s="220"/>
      <c r="I685" s="220"/>
      <c r="J685" s="220"/>
      <c r="K685" s="220"/>
      <c r="L685" s="220"/>
      <c r="M685" s="220"/>
      <c r="N685" s="220"/>
      <c r="O685" s="220"/>
      <c r="P685" s="220"/>
      <c r="Q685" s="220"/>
      <c r="R685" s="220"/>
      <c r="S685" s="220"/>
    </row>
    <row r="686" spans="1:19" x14ac:dyDescent="0.25">
      <c r="A686" s="220"/>
      <c r="B686" s="220"/>
      <c r="C686" s="220"/>
      <c r="D686" s="220"/>
      <c r="E686" s="220"/>
      <c r="F686" s="220"/>
      <c r="G686" s="220"/>
      <c r="H686" s="220"/>
      <c r="I686" s="220"/>
      <c r="J686" s="220"/>
      <c r="K686" s="220"/>
      <c r="L686" s="220"/>
      <c r="M686" s="220"/>
      <c r="N686" s="220"/>
      <c r="O686" s="220"/>
      <c r="P686" s="220"/>
      <c r="Q686" s="220"/>
      <c r="R686" s="220"/>
      <c r="S686" s="220"/>
    </row>
    <row r="687" spans="1:19" x14ac:dyDescent="0.25">
      <c r="A687" s="220"/>
      <c r="B687" s="220"/>
      <c r="C687" s="220"/>
      <c r="D687" s="220"/>
      <c r="E687" s="220"/>
      <c r="F687" s="220"/>
      <c r="G687" s="220"/>
      <c r="H687" s="220"/>
      <c r="I687" s="220"/>
      <c r="J687" s="220"/>
      <c r="K687" s="220"/>
      <c r="L687" s="220"/>
      <c r="M687" s="220"/>
      <c r="N687" s="220"/>
      <c r="O687" s="220"/>
      <c r="P687" s="220"/>
      <c r="Q687" s="220"/>
      <c r="R687" s="220"/>
      <c r="S687" s="220"/>
    </row>
    <row r="688" spans="1:19" x14ac:dyDescent="0.25">
      <c r="A688" s="220"/>
      <c r="B688" s="220"/>
      <c r="C688" s="220"/>
      <c r="D688" s="220"/>
      <c r="E688" s="220"/>
      <c r="F688" s="220"/>
      <c r="G688" s="220"/>
      <c r="H688" s="220"/>
      <c r="I688" s="220"/>
      <c r="J688" s="220"/>
      <c r="K688" s="220"/>
      <c r="L688" s="220"/>
      <c r="M688" s="220"/>
      <c r="N688" s="220"/>
      <c r="O688" s="220"/>
      <c r="P688" s="220"/>
      <c r="Q688" s="220"/>
      <c r="R688" s="220"/>
      <c r="S688" s="220"/>
    </row>
    <row r="689" spans="1:19" x14ac:dyDescent="0.25">
      <c r="A689" s="220"/>
      <c r="B689" s="220"/>
      <c r="C689" s="220"/>
      <c r="D689" s="220"/>
      <c r="E689" s="220"/>
      <c r="F689" s="220"/>
      <c r="G689" s="220"/>
      <c r="H689" s="220"/>
      <c r="I689" s="220"/>
      <c r="J689" s="220"/>
      <c r="K689" s="220"/>
      <c r="L689" s="220"/>
      <c r="M689" s="220"/>
      <c r="N689" s="220"/>
      <c r="O689" s="220"/>
      <c r="P689" s="220"/>
      <c r="Q689" s="220"/>
      <c r="R689" s="220"/>
      <c r="S689" s="220"/>
    </row>
    <row r="690" spans="1:19" x14ac:dyDescent="0.25">
      <c r="A690" s="220"/>
      <c r="B690" s="220"/>
      <c r="C690" s="220"/>
      <c r="D690" s="220"/>
      <c r="E690" s="220"/>
      <c r="F690" s="220"/>
      <c r="G690" s="220"/>
      <c r="H690" s="220"/>
      <c r="I690" s="220"/>
      <c r="J690" s="220"/>
      <c r="K690" s="220"/>
      <c r="L690" s="220"/>
      <c r="M690" s="220"/>
      <c r="N690" s="220"/>
      <c r="O690" s="220"/>
      <c r="P690" s="220"/>
      <c r="Q690" s="220"/>
      <c r="R690" s="220"/>
      <c r="S690" s="220"/>
    </row>
    <row r="691" spans="1:19" x14ac:dyDescent="0.25">
      <c r="A691" s="220"/>
      <c r="B691" s="220"/>
      <c r="C691" s="220"/>
      <c r="D691" s="220"/>
      <c r="E691" s="220"/>
      <c r="F691" s="220"/>
      <c r="G691" s="220"/>
      <c r="H691" s="220"/>
      <c r="I691" s="220"/>
      <c r="J691" s="220"/>
      <c r="K691" s="220"/>
      <c r="L691" s="220"/>
      <c r="M691" s="220"/>
      <c r="N691" s="220"/>
      <c r="O691" s="220"/>
      <c r="P691" s="220"/>
      <c r="Q691" s="220"/>
      <c r="R691" s="220"/>
      <c r="S691" s="220"/>
    </row>
    <row r="692" spans="1:19" x14ac:dyDescent="0.25">
      <c r="A692" s="220"/>
      <c r="B692" s="220"/>
      <c r="C692" s="220"/>
      <c r="D692" s="220"/>
      <c r="E692" s="220"/>
      <c r="F692" s="220"/>
      <c r="G692" s="220"/>
      <c r="H692" s="220"/>
      <c r="I692" s="220"/>
      <c r="J692" s="220"/>
      <c r="K692" s="220"/>
      <c r="L692" s="220"/>
      <c r="M692" s="220"/>
      <c r="N692" s="220"/>
      <c r="O692" s="220"/>
      <c r="P692" s="220"/>
      <c r="Q692" s="220"/>
      <c r="R692" s="220"/>
      <c r="S692" s="220"/>
    </row>
    <row r="693" spans="1:19" x14ac:dyDescent="0.25">
      <c r="A693" s="220"/>
      <c r="B693" s="220"/>
      <c r="C693" s="220"/>
      <c r="D693" s="220"/>
      <c r="E693" s="220"/>
      <c r="F693" s="220"/>
      <c r="G693" s="220"/>
      <c r="H693" s="220"/>
      <c r="I693" s="220"/>
      <c r="J693" s="220"/>
      <c r="K693" s="220"/>
      <c r="L693" s="220"/>
      <c r="M693" s="220"/>
      <c r="N693" s="220"/>
      <c r="O693" s="220"/>
      <c r="P693" s="220"/>
      <c r="Q693" s="220"/>
      <c r="R693" s="220"/>
      <c r="S693" s="220"/>
    </row>
    <row r="694" spans="1:19" x14ac:dyDescent="0.25">
      <c r="A694" s="220"/>
      <c r="B694" s="220"/>
      <c r="C694" s="220"/>
      <c r="D694" s="220"/>
      <c r="E694" s="220"/>
      <c r="F694" s="220"/>
      <c r="G694" s="220"/>
      <c r="H694" s="220"/>
      <c r="I694" s="220"/>
      <c r="J694" s="220"/>
      <c r="K694" s="220"/>
      <c r="L694" s="220"/>
      <c r="M694" s="220"/>
      <c r="N694" s="220"/>
      <c r="O694" s="220"/>
      <c r="P694" s="220"/>
      <c r="Q694" s="220"/>
      <c r="R694" s="220"/>
      <c r="S694" s="220"/>
    </row>
    <row r="695" spans="1:19" x14ac:dyDescent="0.25">
      <c r="A695" s="220"/>
      <c r="B695" s="220"/>
      <c r="C695" s="220"/>
      <c r="D695" s="220"/>
      <c r="E695" s="220"/>
      <c r="F695" s="220"/>
      <c r="G695" s="220"/>
      <c r="H695" s="220"/>
      <c r="I695" s="220"/>
      <c r="J695" s="220"/>
      <c r="K695" s="220"/>
      <c r="L695" s="220"/>
      <c r="M695" s="220"/>
      <c r="N695" s="220"/>
      <c r="O695" s="220"/>
      <c r="P695" s="220"/>
      <c r="Q695" s="220"/>
      <c r="R695" s="220"/>
      <c r="S695" s="220"/>
    </row>
    <row r="696" spans="1:19" x14ac:dyDescent="0.25">
      <c r="A696" s="220"/>
      <c r="B696" s="220"/>
      <c r="C696" s="220"/>
      <c r="D696" s="220"/>
      <c r="E696" s="220"/>
      <c r="F696" s="220"/>
      <c r="G696" s="220"/>
      <c r="H696" s="220"/>
      <c r="I696" s="220"/>
      <c r="J696" s="220"/>
      <c r="K696" s="220"/>
      <c r="L696" s="220"/>
      <c r="M696" s="220"/>
      <c r="N696" s="220"/>
      <c r="O696" s="220"/>
      <c r="P696" s="220"/>
      <c r="Q696" s="220"/>
      <c r="R696" s="220"/>
      <c r="S696" s="220"/>
    </row>
    <row r="697" spans="1:19" x14ac:dyDescent="0.25">
      <c r="A697" s="220"/>
      <c r="B697" s="220"/>
      <c r="C697" s="220"/>
      <c r="D697" s="220"/>
      <c r="E697" s="220"/>
      <c r="F697" s="220"/>
      <c r="G697" s="220"/>
      <c r="H697" s="220"/>
      <c r="I697" s="220"/>
      <c r="J697" s="220"/>
      <c r="K697" s="220"/>
      <c r="L697" s="220"/>
      <c r="M697" s="220"/>
      <c r="N697" s="220"/>
      <c r="O697" s="220"/>
      <c r="P697" s="220"/>
      <c r="Q697" s="220"/>
      <c r="R697" s="220"/>
      <c r="S697" s="220"/>
    </row>
    <row r="698" spans="1:19" x14ac:dyDescent="0.25">
      <c r="A698" s="220"/>
      <c r="B698" s="220"/>
      <c r="C698" s="220"/>
      <c r="D698" s="220"/>
      <c r="E698" s="220"/>
      <c r="F698" s="220"/>
      <c r="G698" s="220"/>
      <c r="H698" s="220"/>
      <c r="I698" s="220"/>
      <c r="J698" s="220"/>
      <c r="K698" s="220"/>
      <c r="L698" s="220"/>
      <c r="M698" s="220"/>
      <c r="N698" s="220"/>
      <c r="O698" s="220"/>
      <c r="P698" s="220"/>
      <c r="Q698" s="220"/>
      <c r="R698" s="220"/>
      <c r="S698" s="220"/>
    </row>
    <row r="699" spans="1:19" x14ac:dyDescent="0.25">
      <c r="A699" s="220"/>
      <c r="B699" s="220"/>
      <c r="C699" s="220"/>
      <c r="D699" s="220"/>
      <c r="E699" s="220"/>
      <c r="F699" s="220"/>
      <c r="G699" s="220"/>
      <c r="H699" s="220"/>
      <c r="I699" s="220"/>
      <c r="J699" s="220"/>
      <c r="K699" s="220"/>
      <c r="L699" s="220"/>
      <c r="M699" s="220"/>
      <c r="N699" s="220"/>
      <c r="O699" s="220"/>
      <c r="P699" s="220"/>
      <c r="Q699" s="220"/>
      <c r="R699" s="220"/>
      <c r="S699" s="220"/>
    </row>
    <row r="700" spans="1:19" x14ac:dyDescent="0.25">
      <c r="A700" s="220"/>
      <c r="B700" s="220"/>
      <c r="C700" s="220"/>
      <c r="D700" s="220"/>
      <c r="E700" s="220"/>
      <c r="F700" s="220"/>
      <c r="G700" s="220"/>
      <c r="H700" s="220"/>
      <c r="I700" s="220"/>
      <c r="J700" s="220"/>
      <c r="K700" s="220"/>
      <c r="L700" s="220"/>
      <c r="M700" s="220"/>
      <c r="N700" s="220"/>
      <c r="O700" s="220"/>
      <c r="P700" s="220"/>
      <c r="Q700" s="220"/>
      <c r="R700" s="220"/>
      <c r="S700" s="220"/>
    </row>
    <row r="701" spans="1:19" x14ac:dyDescent="0.25">
      <c r="A701" s="220"/>
      <c r="B701" s="220"/>
      <c r="C701" s="220"/>
      <c r="D701" s="220"/>
      <c r="E701" s="220"/>
      <c r="F701" s="220"/>
      <c r="G701" s="220"/>
      <c r="H701" s="220"/>
      <c r="I701" s="220"/>
      <c r="J701" s="220"/>
      <c r="K701" s="220"/>
      <c r="L701" s="220"/>
      <c r="M701" s="220"/>
      <c r="N701" s="220"/>
      <c r="O701" s="220"/>
      <c r="P701" s="220"/>
      <c r="Q701" s="220"/>
      <c r="R701" s="220"/>
      <c r="S701" s="220"/>
    </row>
    <row r="702" spans="1:19" x14ac:dyDescent="0.25">
      <c r="A702" s="220"/>
      <c r="B702" s="220"/>
      <c r="C702" s="220"/>
      <c r="D702" s="220"/>
      <c r="E702" s="220"/>
      <c r="F702" s="220"/>
      <c r="G702" s="220"/>
      <c r="H702" s="220"/>
      <c r="I702" s="220"/>
      <c r="J702" s="220"/>
      <c r="K702" s="220"/>
      <c r="L702" s="220"/>
      <c r="M702" s="220"/>
      <c r="N702" s="220"/>
      <c r="O702" s="220"/>
      <c r="P702" s="220"/>
      <c r="Q702" s="220"/>
      <c r="R702" s="220"/>
      <c r="S702" s="220"/>
    </row>
    <row r="703" spans="1:19" x14ac:dyDescent="0.25">
      <c r="A703" s="220"/>
      <c r="B703" s="220"/>
      <c r="C703" s="220"/>
      <c r="D703" s="220"/>
      <c r="E703" s="220"/>
      <c r="F703" s="220"/>
      <c r="G703" s="220"/>
      <c r="H703" s="220"/>
      <c r="I703" s="220"/>
      <c r="J703" s="220"/>
      <c r="K703" s="220"/>
      <c r="L703" s="220"/>
      <c r="M703" s="220"/>
      <c r="N703" s="220"/>
      <c r="O703" s="220"/>
      <c r="P703" s="220"/>
      <c r="Q703" s="220"/>
      <c r="R703" s="220"/>
      <c r="S703" s="220"/>
    </row>
    <row r="704" spans="1:19" x14ac:dyDescent="0.25">
      <c r="A704" s="220"/>
      <c r="B704" s="220"/>
      <c r="C704" s="220"/>
      <c r="D704" s="220"/>
      <c r="E704" s="220"/>
      <c r="F704" s="220"/>
      <c r="G704" s="220"/>
      <c r="H704" s="220"/>
      <c r="I704" s="220"/>
      <c r="J704" s="220"/>
      <c r="K704" s="220"/>
      <c r="L704" s="220"/>
      <c r="M704" s="220"/>
      <c r="N704" s="220"/>
      <c r="O704" s="220"/>
      <c r="P704" s="220"/>
      <c r="Q704" s="220"/>
      <c r="R704" s="220"/>
      <c r="S704" s="220"/>
    </row>
    <row r="705" spans="1:19" x14ac:dyDescent="0.25">
      <c r="A705" s="220"/>
      <c r="B705" s="220"/>
      <c r="C705" s="220"/>
      <c r="D705" s="220"/>
      <c r="E705" s="220"/>
      <c r="F705" s="220"/>
      <c r="G705" s="220"/>
      <c r="H705" s="220"/>
      <c r="I705" s="220"/>
      <c r="J705" s="220"/>
      <c r="K705" s="220"/>
      <c r="L705" s="220"/>
      <c r="M705" s="220"/>
      <c r="N705" s="220"/>
      <c r="O705" s="220"/>
      <c r="P705" s="220"/>
      <c r="Q705" s="220"/>
      <c r="R705" s="220"/>
      <c r="S705" s="220"/>
    </row>
    <row r="706" spans="1:19" x14ac:dyDescent="0.25">
      <c r="A706" s="220"/>
      <c r="B706" s="220"/>
      <c r="C706" s="220"/>
      <c r="D706" s="220"/>
      <c r="E706" s="220"/>
      <c r="F706" s="220"/>
      <c r="G706" s="220"/>
      <c r="H706" s="220"/>
      <c r="I706" s="220"/>
      <c r="J706" s="220"/>
      <c r="K706" s="220"/>
      <c r="L706" s="220"/>
      <c r="M706" s="220"/>
      <c r="N706" s="220"/>
      <c r="O706" s="220"/>
      <c r="P706" s="220"/>
      <c r="Q706" s="220"/>
      <c r="R706" s="220"/>
      <c r="S706" s="220"/>
    </row>
    <row r="707" spans="1:19" x14ac:dyDescent="0.25">
      <c r="A707" s="220"/>
      <c r="B707" s="220"/>
      <c r="C707" s="220"/>
      <c r="D707" s="220"/>
      <c r="E707" s="220"/>
      <c r="F707" s="220"/>
      <c r="G707" s="220"/>
      <c r="H707" s="220"/>
      <c r="I707" s="220"/>
      <c r="J707" s="220"/>
      <c r="K707" s="220"/>
      <c r="L707" s="220"/>
      <c r="M707" s="220"/>
      <c r="N707" s="220"/>
      <c r="O707" s="220"/>
      <c r="P707" s="220"/>
      <c r="Q707" s="220"/>
      <c r="R707" s="220"/>
      <c r="S707" s="220"/>
    </row>
    <row r="708" spans="1:19" x14ac:dyDescent="0.25">
      <c r="A708" s="220"/>
      <c r="B708" s="220"/>
      <c r="C708" s="220"/>
      <c r="D708" s="220"/>
      <c r="E708" s="220"/>
      <c r="F708" s="220"/>
      <c r="G708" s="220"/>
      <c r="H708" s="220"/>
      <c r="I708" s="220"/>
      <c r="J708" s="220"/>
      <c r="K708" s="220"/>
      <c r="L708" s="220"/>
      <c r="M708" s="220"/>
      <c r="N708" s="220"/>
      <c r="O708" s="220"/>
      <c r="P708" s="220"/>
      <c r="Q708" s="220"/>
      <c r="R708" s="220"/>
      <c r="S708" s="220"/>
    </row>
    <row r="709" spans="1:19" x14ac:dyDescent="0.25">
      <c r="A709" s="220"/>
      <c r="B709" s="220"/>
      <c r="C709" s="220"/>
      <c r="D709" s="220"/>
      <c r="E709" s="220"/>
      <c r="F709" s="220"/>
      <c r="G709" s="220"/>
      <c r="H709" s="220"/>
      <c r="I709" s="220"/>
      <c r="J709" s="220"/>
      <c r="K709" s="220"/>
      <c r="L709" s="220"/>
      <c r="M709" s="220"/>
      <c r="N709" s="220"/>
      <c r="O709" s="220"/>
      <c r="P709" s="220"/>
      <c r="Q709" s="220"/>
      <c r="R709" s="220"/>
      <c r="S709" s="220"/>
    </row>
    <row r="710" spans="1:19" x14ac:dyDescent="0.25">
      <c r="A710" s="220"/>
      <c r="B710" s="220"/>
      <c r="C710" s="220"/>
      <c r="D710" s="220"/>
      <c r="E710" s="220"/>
      <c r="F710" s="220"/>
      <c r="G710" s="220"/>
      <c r="H710" s="220"/>
      <c r="I710" s="220"/>
      <c r="J710" s="220"/>
      <c r="K710" s="220"/>
      <c r="L710" s="220"/>
      <c r="M710" s="220"/>
      <c r="N710" s="220"/>
      <c r="O710" s="220"/>
      <c r="P710" s="220"/>
      <c r="Q710" s="220"/>
      <c r="R710" s="220"/>
      <c r="S710" s="220"/>
    </row>
    <row r="711" spans="1:19" x14ac:dyDescent="0.25">
      <c r="A711" s="220"/>
      <c r="B711" s="220"/>
      <c r="C711" s="220"/>
      <c r="D711" s="220"/>
      <c r="E711" s="220"/>
      <c r="F711" s="220"/>
      <c r="G711" s="220"/>
      <c r="H711" s="220"/>
      <c r="I711" s="220"/>
      <c r="J711" s="220"/>
      <c r="K711" s="220"/>
      <c r="L711" s="220"/>
      <c r="M711" s="220"/>
      <c r="N711" s="220"/>
      <c r="O711" s="220"/>
      <c r="P711" s="220"/>
      <c r="Q711" s="220"/>
      <c r="R711" s="220"/>
      <c r="S711" s="220"/>
    </row>
    <row r="712" spans="1:19" x14ac:dyDescent="0.25">
      <c r="A712" s="220"/>
      <c r="B712" s="220"/>
      <c r="C712" s="220"/>
      <c r="D712" s="220"/>
      <c r="E712" s="220"/>
      <c r="F712" s="220"/>
      <c r="G712" s="220"/>
      <c r="H712" s="220"/>
      <c r="I712" s="220"/>
      <c r="J712" s="220"/>
      <c r="K712" s="220"/>
      <c r="L712" s="220"/>
      <c r="M712" s="220"/>
      <c r="N712" s="220"/>
      <c r="O712" s="220"/>
      <c r="P712" s="220"/>
      <c r="Q712" s="220"/>
      <c r="R712" s="220"/>
      <c r="S712" s="220"/>
    </row>
    <row r="713" spans="1:19" x14ac:dyDescent="0.25">
      <c r="A713" s="220"/>
      <c r="B713" s="220"/>
      <c r="C713" s="220"/>
      <c r="D713" s="220"/>
      <c r="E713" s="220"/>
      <c r="F713" s="220"/>
      <c r="G713" s="220"/>
      <c r="H713" s="220"/>
      <c r="I713" s="220"/>
      <c r="J713" s="220"/>
      <c r="K713" s="220"/>
      <c r="L713" s="220"/>
      <c r="M713" s="220"/>
      <c r="N713" s="220"/>
      <c r="O713" s="220"/>
      <c r="P713" s="220"/>
      <c r="Q713" s="220"/>
      <c r="R713" s="220"/>
      <c r="S713" s="220"/>
    </row>
    <row r="714" spans="1:19" x14ac:dyDescent="0.25">
      <c r="A714" s="220"/>
      <c r="B714" s="220"/>
      <c r="C714" s="220"/>
      <c r="D714" s="220"/>
      <c r="E714" s="220"/>
      <c r="F714" s="220"/>
      <c r="G714" s="220"/>
      <c r="H714" s="220"/>
      <c r="I714" s="220"/>
      <c r="J714" s="220"/>
      <c r="K714" s="220"/>
      <c r="L714" s="220"/>
      <c r="M714" s="220"/>
      <c r="N714" s="220"/>
      <c r="O714" s="220"/>
      <c r="P714" s="220"/>
      <c r="Q714" s="220"/>
      <c r="R714" s="220"/>
      <c r="S714" s="220"/>
    </row>
    <row r="715" spans="1:19" x14ac:dyDescent="0.25">
      <c r="A715" s="220"/>
      <c r="B715" s="220"/>
      <c r="C715" s="220"/>
      <c r="D715" s="220"/>
      <c r="E715" s="220"/>
      <c r="F715" s="220"/>
      <c r="G715" s="220"/>
      <c r="H715" s="220"/>
      <c r="I715" s="220"/>
      <c r="J715" s="220"/>
      <c r="K715" s="220"/>
      <c r="L715" s="220"/>
      <c r="M715" s="220"/>
      <c r="N715" s="220"/>
      <c r="O715" s="220"/>
      <c r="P715" s="220"/>
      <c r="Q715" s="220"/>
      <c r="R715" s="220"/>
      <c r="S715" s="220"/>
    </row>
    <row r="716" spans="1:19" x14ac:dyDescent="0.25">
      <c r="A716" s="220"/>
      <c r="B716" s="220"/>
      <c r="C716" s="220"/>
      <c r="D716" s="220"/>
      <c r="E716" s="220"/>
      <c r="F716" s="220"/>
      <c r="G716" s="220"/>
      <c r="H716" s="220"/>
      <c r="I716" s="220"/>
      <c r="J716" s="220"/>
      <c r="K716" s="220"/>
      <c r="L716" s="220"/>
      <c r="M716" s="220"/>
      <c r="N716" s="220"/>
      <c r="O716" s="220"/>
      <c r="P716" s="220"/>
      <c r="Q716" s="220"/>
      <c r="R716" s="220"/>
      <c r="S716" s="220"/>
    </row>
    <row r="717" spans="1:19" x14ac:dyDescent="0.25">
      <c r="A717" s="220"/>
      <c r="B717" s="220"/>
      <c r="C717" s="220"/>
      <c r="D717" s="220"/>
      <c r="E717" s="220"/>
      <c r="F717" s="220"/>
      <c r="G717" s="220"/>
      <c r="H717" s="220"/>
      <c r="I717" s="220"/>
      <c r="J717" s="220"/>
      <c r="K717" s="220"/>
      <c r="L717" s="220"/>
      <c r="M717" s="220"/>
      <c r="N717" s="220"/>
      <c r="O717" s="220"/>
      <c r="P717" s="220"/>
      <c r="Q717" s="220"/>
      <c r="R717" s="220"/>
      <c r="S717" s="220"/>
    </row>
    <row r="718" spans="1:19" x14ac:dyDescent="0.25">
      <c r="A718" s="220"/>
      <c r="B718" s="220"/>
      <c r="C718" s="220"/>
      <c r="D718" s="220"/>
      <c r="E718" s="220"/>
      <c r="F718" s="220"/>
      <c r="G718" s="220"/>
      <c r="H718" s="220"/>
      <c r="I718" s="220"/>
      <c r="J718" s="220"/>
      <c r="K718" s="220"/>
      <c r="L718" s="220"/>
      <c r="M718" s="220"/>
      <c r="N718" s="220"/>
      <c r="O718" s="220"/>
      <c r="P718" s="220"/>
      <c r="Q718" s="220"/>
      <c r="R718" s="220"/>
      <c r="S718" s="220"/>
    </row>
    <row r="719" spans="1:19" x14ac:dyDescent="0.25">
      <c r="A719" s="220"/>
      <c r="B719" s="220"/>
      <c r="C719" s="220"/>
      <c r="D719" s="220"/>
      <c r="E719" s="220"/>
      <c r="F719" s="220"/>
      <c r="G719" s="220"/>
      <c r="H719" s="220"/>
      <c r="I719" s="220"/>
      <c r="J719" s="220"/>
      <c r="K719" s="220"/>
      <c r="L719" s="220"/>
      <c r="M719" s="220"/>
      <c r="N719" s="220"/>
      <c r="O719" s="220"/>
      <c r="P719" s="220"/>
      <c r="Q719" s="220"/>
      <c r="R719" s="220"/>
      <c r="S719" s="220"/>
    </row>
    <row r="720" spans="1:19" x14ac:dyDescent="0.25">
      <c r="A720" s="220"/>
      <c r="B720" s="220"/>
      <c r="C720" s="220"/>
      <c r="D720" s="220"/>
      <c r="E720" s="220"/>
      <c r="F720" s="220"/>
      <c r="G720" s="220"/>
      <c r="H720" s="220"/>
      <c r="I720" s="220"/>
      <c r="J720" s="220"/>
      <c r="K720" s="220"/>
      <c r="L720" s="220"/>
      <c r="M720" s="220"/>
      <c r="N720" s="220"/>
      <c r="O720" s="220"/>
      <c r="P720" s="220"/>
      <c r="Q720" s="220"/>
      <c r="R720" s="220"/>
      <c r="S720" s="220"/>
    </row>
    <row r="721" spans="1:19" x14ac:dyDescent="0.25">
      <c r="A721" s="220"/>
      <c r="B721" s="220"/>
      <c r="C721" s="220"/>
      <c r="D721" s="220"/>
      <c r="E721" s="220"/>
      <c r="F721" s="220"/>
      <c r="G721" s="220"/>
      <c r="H721" s="220"/>
      <c r="I721" s="220"/>
      <c r="J721" s="220"/>
      <c r="K721" s="220"/>
      <c r="L721" s="220"/>
      <c r="M721" s="220"/>
      <c r="N721" s="220"/>
      <c r="O721" s="220"/>
      <c r="P721" s="220"/>
      <c r="Q721" s="220"/>
      <c r="R721" s="220"/>
      <c r="S721" s="220"/>
    </row>
    <row r="722" spans="1:19" x14ac:dyDescent="0.25">
      <c r="A722" s="220"/>
      <c r="B722" s="220"/>
      <c r="C722" s="220"/>
      <c r="D722" s="220"/>
      <c r="E722" s="220"/>
      <c r="F722" s="220"/>
      <c r="G722" s="220"/>
      <c r="H722" s="220"/>
      <c r="I722" s="220"/>
      <c r="J722" s="220"/>
      <c r="K722" s="220"/>
      <c r="L722" s="220"/>
      <c r="M722" s="220"/>
      <c r="N722" s="220"/>
      <c r="O722" s="220"/>
      <c r="P722" s="220"/>
      <c r="Q722" s="220"/>
      <c r="R722" s="220"/>
      <c r="S722" s="220"/>
    </row>
    <row r="723" spans="1:19" x14ac:dyDescent="0.25">
      <c r="A723" s="220"/>
      <c r="B723" s="220"/>
      <c r="C723" s="220"/>
      <c r="D723" s="220"/>
      <c r="E723" s="220"/>
      <c r="F723" s="220"/>
      <c r="G723" s="220"/>
      <c r="H723" s="220"/>
      <c r="I723" s="220"/>
      <c r="J723" s="220"/>
      <c r="K723" s="220"/>
      <c r="L723" s="220"/>
      <c r="M723" s="220"/>
      <c r="N723" s="220"/>
      <c r="O723" s="220"/>
      <c r="P723" s="220"/>
      <c r="Q723" s="220"/>
      <c r="R723" s="220"/>
      <c r="S723" s="220"/>
    </row>
    <row r="724" spans="1:19" x14ac:dyDescent="0.25">
      <c r="A724" s="220"/>
      <c r="B724" s="220"/>
      <c r="C724" s="220"/>
      <c r="D724" s="220"/>
      <c r="E724" s="220"/>
      <c r="F724" s="220"/>
      <c r="G724" s="220"/>
      <c r="H724" s="220"/>
      <c r="I724" s="220"/>
      <c r="J724" s="220"/>
      <c r="K724" s="220"/>
      <c r="L724" s="220"/>
      <c r="M724" s="220"/>
      <c r="N724" s="220"/>
      <c r="O724" s="220"/>
      <c r="P724" s="220"/>
      <c r="Q724" s="220"/>
      <c r="R724" s="220"/>
      <c r="S724" s="220"/>
    </row>
    <row r="725" spans="1:19" x14ac:dyDescent="0.25">
      <c r="A725" s="220"/>
      <c r="B725" s="220"/>
      <c r="C725" s="220"/>
      <c r="D725" s="220"/>
      <c r="E725" s="220"/>
      <c r="F725" s="220"/>
      <c r="G725" s="220"/>
      <c r="H725" s="220"/>
      <c r="I725" s="220"/>
      <c r="J725" s="220"/>
      <c r="K725" s="220"/>
      <c r="L725" s="220"/>
      <c r="M725" s="220"/>
      <c r="N725" s="220"/>
      <c r="O725" s="220"/>
      <c r="P725" s="220"/>
      <c r="Q725" s="220"/>
      <c r="R725" s="220"/>
      <c r="S725" s="220"/>
    </row>
    <row r="726" spans="1:19" x14ac:dyDescent="0.25">
      <c r="A726" s="220"/>
      <c r="B726" s="220"/>
      <c r="C726" s="220"/>
      <c r="D726" s="220"/>
      <c r="E726" s="220"/>
      <c r="F726" s="220"/>
      <c r="G726" s="220"/>
      <c r="H726" s="220"/>
      <c r="I726" s="220"/>
      <c r="J726" s="220"/>
      <c r="K726" s="220"/>
      <c r="L726" s="220"/>
      <c r="M726" s="220"/>
      <c r="N726" s="220"/>
      <c r="O726" s="220"/>
      <c r="P726" s="220"/>
      <c r="Q726" s="220"/>
      <c r="R726" s="220"/>
      <c r="S726" s="220"/>
    </row>
    <row r="727" spans="1:19" x14ac:dyDescent="0.25">
      <c r="A727" s="220"/>
      <c r="B727" s="220"/>
      <c r="C727" s="220"/>
      <c r="D727" s="220"/>
      <c r="E727" s="220"/>
      <c r="F727" s="220"/>
      <c r="G727" s="220"/>
      <c r="H727" s="220"/>
      <c r="I727" s="220"/>
      <c r="J727" s="220"/>
      <c r="K727" s="220"/>
      <c r="L727" s="220"/>
      <c r="M727" s="220"/>
      <c r="N727" s="220"/>
      <c r="O727" s="220"/>
      <c r="P727" s="220"/>
      <c r="Q727" s="220"/>
      <c r="R727" s="220"/>
      <c r="S727" s="220"/>
    </row>
    <row r="728" spans="1:19" x14ac:dyDescent="0.25">
      <c r="A728" s="220"/>
      <c r="B728" s="220"/>
      <c r="C728" s="220"/>
      <c r="D728" s="220"/>
      <c r="E728" s="220"/>
      <c r="F728" s="220"/>
      <c r="G728" s="220"/>
      <c r="H728" s="220"/>
      <c r="I728" s="220"/>
      <c r="J728" s="220"/>
      <c r="K728" s="220"/>
      <c r="L728" s="220"/>
      <c r="M728" s="220"/>
      <c r="N728" s="220"/>
      <c r="O728" s="220"/>
      <c r="P728" s="220"/>
      <c r="Q728" s="220"/>
      <c r="R728" s="220"/>
      <c r="S728" s="220"/>
    </row>
    <row r="729" spans="1:19" x14ac:dyDescent="0.25">
      <c r="A729" s="220"/>
      <c r="B729" s="220"/>
      <c r="C729" s="220"/>
      <c r="D729" s="220"/>
      <c r="E729" s="220"/>
      <c r="F729" s="220"/>
      <c r="G729" s="220"/>
      <c r="H729" s="220"/>
      <c r="I729" s="220"/>
      <c r="J729" s="220"/>
      <c r="K729" s="220"/>
      <c r="L729" s="220"/>
      <c r="M729" s="220"/>
      <c r="N729" s="220"/>
      <c r="O729" s="220"/>
      <c r="P729" s="220"/>
      <c r="Q729" s="220"/>
      <c r="R729" s="220"/>
      <c r="S729" s="220"/>
    </row>
    <row r="730" spans="1:19" x14ac:dyDescent="0.25">
      <c r="A730" s="220"/>
      <c r="B730" s="220"/>
      <c r="C730" s="220"/>
      <c r="D730" s="220"/>
      <c r="E730" s="220"/>
      <c r="F730" s="220"/>
      <c r="G730" s="220"/>
      <c r="H730" s="220"/>
      <c r="I730" s="220"/>
      <c r="J730" s="220"/>
      <c r="K730" s="220"/>
      <c r="L730" s="220"/>
      <c r="M730" s="220"/>
      <c r="N730" s="220"/>
      <c r="O730" s="220"/>
      <c r="P730" s="220"/>
      <c r="Q730" s="220"/>
      <c r="R730" s="220"/>
      <c r="S730" s="220"/>
    </row>
    <row r="731" spans="1:19" x14ac:dyDescent="0.25">
      <c r="A731" s="220"/>
      <c r="B731" s="220"/>
      <c r="C731" s="220"/>
      <c r="D731" s="220"/>
      <c r="E731" s="220"/>
      <c r="F731" s="220"/>
      <c r="G731" s="220"/>
      <c r="H731" s="220"/>
      <c r="I731" s="220"/>
      <c r="J731" s="220"/>
      <c r="K731" s="220"/>
      <c r="L731" s="220"/>
      <c r="M731" s="220"/>
      <c r="N731" s="220"/>
      <c r="O731" s="220"/>
      <c r="P731" s="220"/>
      <c r="Q731" s="220"/>
      <c r="R731" s="220"/>
      <c r="S731" s="220"/>
    </row>
    <row r="732" spans="1:19" x14ac:dyDescent="0.25">
      <c r="A732" s="220"/>
      <c r="B732" s="220"/>
      <c r="C732" s="220"/>
      <c r="D732" s="220"/>
      <c r="E732" s="220"/>
      <c r="F732" s="220"/>
      <c r="G732" s="220"/>
      <c r="H732" s="220"/>
      <c r="I732" s="220"/>
      <c r="J732" s="220"/>
      <c r="K732" s="220"/>
      <c r="L732" s="220"/>
      <c r="M732" s="220"/>
      <c r="N732" s="220"/>
      <c r="O732" s="220"/>
      <c r="P732" s="220"/>
      <c r="Q732" s="220"/>
      <c r="R732" s="220"/>
      <c r="S732" s="220"/>
    </row>
    <row r="733" spans="1:19" x14ac:dyDescent="0.25">
      <c r="A733" s="220"/>
      <c r="B733" s="220"/>
      <c r="C733" s="220"/>
      <c r="D733" s="220"/>
      <c r="E733" s="220"/>
      <c r="F733" s="220"/>
      <c r="G733" s="220"/>
      <c r="H733" s="220"/>
      <c r="I733" s="220"/>
      <c r="J733" s="220"/>
      <c r="K733" s="220"/>
      <c r="L733" s="220"/>
      <c r="M733" s="220"/>
      <c r="N733" s="220"/>
      <c r="O733" s="220"/>
      <c r="P733" s="220"/>
      <c r="Q733" s="220"/>
      <c r="R733" s="220"/>
      <c r="S733" s="220"/>
    </row>
    <row r="734" spans="1:19" x14ac:dyDescent="0.25">
      <c r="A734" s="220"/>
      <c r="B734" s="220"/>
      <c r="C734" s="220"/>
      <c r="D734" s="220"/>
      <c r="E734" s="220"/>
      <c r="F734" s="220"/>
      <c r="G734" s="220"/>
      <c r="H734" s="220"/>
      <c r="I734" s="220"/>
      <c r="J734" s="220"/>
      <c r="K734" s="220"/>
      <c r="L734" s="220"/>
      <c r="M734" s="220"/>
      <c r="N734" s="220"/>
      <c r="O734" s="220"/>
      <c r="P734" s="220"/>
      <c r="Q734" s="220"/>
      <c r="R734" s="220"/>
      <c r="S734" s="220"/>
    </row>
    <row r="735" spans="1:19" x14ac:dyDescent="0.25">
      <c r="A735" s="220"/>
      <c r="B735" s="220"/>
      <c r="C735" s="220"/>
      <c r="D735" s="220"/>
      <c r="E735" s="220"/>
      <c r="F735" s="220"/>
      <c r="G735" s="220"/>
      <c r="H735" s="220"/>
      <c r="I735" s="220"/>
      <c r="J735" s="220"/>
      <c r="K735" s="220"/>
      <c r="L735" s="220"/>
      <c r="M735" s="220"/>
      <c r="N735" s="220"/>
      <c r="O735" s="220"/>
      <c r="P735" s="220"/>
      <c r="Q735" s="220"/>
      <c r="R735" s="220"/>
      <c r="S735" s="220"/>
    </row>
    <row r="736" spans="1:19" x14ac:dyDescent="0.25">
      <c r="A736" s="220"/>
      <c r="B736" s="220"/>
      <c r="C736" s="220"/>
      <c r="D736" s="220"/>
      <c r="E736" s="220"/>
      <c r="F736" s="220"/>
      <c r="G736" s="220"/>
      <c r="H736" s="220"/>
      <c r="I736" s="220"/>
      <c r="J736" s="220"/>
      <c r="K736" s="220"/>
      <c r="L736" s="220"/>
      <c r="M736" s="220"/>
      <c r="N736" s="220"/>
      <c r="O736" s="220"/>
      <c r="P736" s="220"/>
      <c r="Q736" s="220"/>
      <c r="R736" s="220"/>
      <c r="S736" s="220"/>
    </row>
    <row r="737" spans="1:19" x14ac:dyDescent="0.25">
      <c r="A737" s="220"/>
      <c r="B737" s="220"/>
      <c r="C737" s="220"/>
      <c r="D737" s="220"/>
      <c r="E737" s="220"/>
      <c r="F737" s="220"/>
      <c r="G737" s="220"/>
      <c r="H737" s="220"/>
      <c r="I737" s="220"/>
      <c r="J737" s="220"/>
      <c r="K737" s="220"/>
      <c r="L737" s="220"/>
      <c r="M737" s="220"/>
      <c r="N737" s="220"/>
      <c r="O737" s="220"/>
      <c r="P737" s="220"/>
      <c r="Q737" s="220"/>
      <c r="R737" s="220"/>
      <c r="S737" s="220"/>
    </row>
    <row r="738" spans="1:19" x14ac:dyDescent="0.25">
      <c r="A738" s="220"/>
      <c r="B738" s="220"/>
      <c r="C738" s="220"/>
      <c r="D738" s="220"/>
      <c r="E738" s="220"/>
      <c r="F738" s="220"/>
      <c r="G738" s="220"/>
      <c r="H738" s="220"/>
      <c r="I738" s="220"/>
      <c r="J738" s="220"/>
      <c r="K738" s="220"/>
      <c r="L738" s="220"/>
      <c r="M738" s="220"/>
      <c r="N738" s="220"/>
      <c r="O738" s="220"/>
      <c r="P738" s="220"/>
      <c r="Q738" s="220"/>
      <c r="R738" s="220"/>
      <c r="S738" s="220"/>
    </row>
    <row r="739" spans="1:19" x14ac:dyDescent="0.25">
      <c r="A739" s="220"/>
      <c r="B739" s="220"/>
      <c r="C739" s="220"/>
      <c r="D739" s="220"/>
      <c r="E739" s="220"/>
      <c r="F739" s="220"/>
      <c r="G739" s="220"/>
      <c r="H739" s="220"/>
      <c r="I739" s="220"/>
      <c r="J739" s="220"/>
      <c r="K739" s="220"/>
      <c r="L739" s="220"/>
      <c r="M739" s="220"/>
      <c r="N739" s="220"/>
      <c r="O739" s="220"/>
      <c r="P739" s="220"/>
      <c r="Q739" s="220"/>
      <c r="R739" s="220"/>
      <c r="S739" s="220"/>
    </row>
    <row r="740" spans="1:19" x14ac:dyDescent="0.25">
      <c r="A740" s="220"/>
      <c r="B740" s="220"/>
      <c r="C740" s="220"/>
      <c r="D740" s="220"/>
      <c r="E740" s="220"/>
      <c r="F740" s="220"/>
      <c r="G740" s="220"/>
      <c r="H740" s="220"/>
      <c r="I740" s="220"/>
      <c r="J740" s="220"/>
      <c r="K740" s="220"/>
      <c r="L740" s="220"/>
      <c r="M740" s="220"/>
      <c r="N740" s="220"/>
      <c r="O740" s="220"/>
      <c r="P740" s="220"/>
      <c r="Q740" s="220"/>
      <c r="R740" s="220"/>
      <c r="S740" s="220"/>
    </row>
    <row r="741" spans="1:19" x14ac:dyDescent="0.25">
      <c r="A741" s="220"/>
      <c r="B741" s="220"/>
      <c r="C741" s="220"/>
      <c r="D741" s="220"/>
      <c r="E741" s="220"/>
      <c r="F741" s="220"/>
      <c r="G741" s="220"/>
      <c r="H741" s="220"/>
      <c r="I741" s="220"/>
      <c r="J741" s="220"/>
      <c r="K741" s="220"/>
      <c r="L741" s="220"/>
      <c r="M741" s="220"/>
      <c r="N741" s="220"/>
      <c r="O741" s="220"/>
      <c r="P741" s="220"/>
      <c r="Q741" s="220"/>
      <c r="R741" s="220"/>
      <c r="S741" s="220"/>
    </row>
    <row r="742" spans="1:19" x14ac:dyDescent="0.25">
      <c r="A742" s="220"/>
      <c r="B742" s="220"/>
      <c r="C742" s="220"/>
      <c r="D742" s="220"/>
      <c r="E742" s="220"/>
      <c r="F742" s="220"/>
      <c r="G742" s="220"/>
      <c r="H742" s="220"/>
      <c r="I742" s="220"/>
      <c r="J742" s="220"/>
      <c r="K742" s="220"/>
      <c r="L742" s="220"/>
      <c r="M742" s="220"/>
      <c r="N742" s="220"/>
      <c r="O742" s="220"/>
      <c r="P742" s="220"/>
      <c r="Q742" s="220"/>
      <c r="R742" s="220"/>
      <c r="S742" s="220"/>
    </row>
    <row r="743" spans="1:19" x14ac:dyDescent="0.25">
      <c r="A743" s="220"/>
      <c r="B743" s="220"/>
      <c r="C743" s="220"/>
      <c r="D743" s="220"/>
      <c r="E743" s="220"/>
      <c r="F743" s="220"/>
      <c r="G743" s="220"/>
      <c r="H743" s="220"/>
      <c r="I743" s="220"/>
      <c r="J743" s="220"/>
      <c r="K743" s="220"/>
      <c r="L743" s="220"/>
      <c r="M743" s="220"/>
      <c r="N743" s="220"/>
      <c r="O743" s="220"/>
      <c r="P743" s="220"/>
      <c r="Q743" s="220"/>
      <c r="R743" s="220"/>
      <c r="S743" s="220"/>
    </row>
    <row r="744" spans="1:19" x14ac:dyDescent="0.25">
      <c r="A744" s="220"/>
      <c r="B744" s="220"/>
      <c r="C744" s="220"/>
      <c r="D744" s="220"/>
      <c r="E744" s="220"/>
      <c r="F744" s="220"/>
      <c r="G744" s="220"/>
      <c r="H744" s="220"/>
      <c r="I744" s="220"/>
      <c r="J744" s="220"/>
      <c r="K744" s="220"/>
      <c r="L744" s="220"/>
      <c r="M744" s="220"/>
      <c r="N744" s="220"/>
      <c r="O744" s="220"/>
      <c r="P744" s="220"/>
      <c r="Q744" s="220"/>
      <c r="R744" s="220"/>
      <c r="S744" s="220"/>
    </row>
    <row r="745" spans="1:19" x14ac:dyDescent="0.25">
      <c r="A745" s="220"/>
      <c r="B745" s="220"/>
      <c r="C745" s="220"/>
      <c r="D745" s="220"/>
      <c r="E745" s="220"/>
      <c r="F745" s="220"/>
      <c r="G745" s="220"/>
      <c r="H745" s="220"/>
      <c r="I745" s="220"/>
      <c r="J745" s="220"/>
      <c r="K745" s="220"/>
      <c r="L745" s="220"/>
      <c r="M745" s="220"/>
      <c r="N745" s="220"/>
      <c r="O745" s="220"/>
      <c r="P745" s="220"/>
      <c r="Q745" s="220"/>
      <c r="R745" s="220"/>
      <c r="S745" s="220"/>
    </row>
    <row r="746" spans="1:19" x14ac:dyDescent="0.25">
      <c r="A746" s="220"/>
      <c r="B746" s="220"/>
      <c r="C746" s="220"/>
      <c r="D746" s="220"/>
      <c r="E746" s="220"/>
      <c r="F746" s="220"/>
      <c r="G746" s="220"/>
      <c r="H746" s="220"/>
      <c r="I746" s="220"/>
      <c r="J746" s="220"/>
      <c r="K746" s="220"/>
      <c r="L746" s="220"/>
      <c r="M746" s="220"/>
      <c r="N746" s="220"/>
      <c r="O746" s="220"/>
      <c r="P746" s="220"/>
      <c r="Q746" s="220"/>
      <c r="R746" s="220"/>
      <c r="S746" s="220"/>
    </row>
    <row r="747" spans="1:19" x14ac:dyDescent="0.25">
      <c r="A747" s="220"/>
      <c r="B747" s="220"/>
      <c r="C747" s="220"/>
      <c r="D747" s="220"/>
      <c r="E747" s="220"/>
      <c r="F747" s="220"/>
      <c r="G747" s="220"/>
      <c r="H747" s="220"/>
      <c r="I747" s="220"/>
      <c r="J747" s="220"/>
      <c r="K747" s="220"/>
      <c r="L747" s="220"/>
      <c r="M747" s="220"/>
      <c r="N747" s="220"/>
      <c r="O747" s="220"/>
      <c r="P747" s="220"/>
      <c r="Q747" s="220"/>
      <c r="R747" s="220"/>
      <c r="S747" s="220"/>
    </row>
    <row r="748" spans="1:19" x14ac:dyDescent="0.25">
      <c r="A748" s="220"/>
      <c r="B748" s="220"/>
      <c r="C748" s="220"/>
      <c r="D748" s="220"/>
      <c r="E748" s="220"/>
      <c r="F748" s="220"/>
      <c r="G748" s="220"/>
      <c r="H748" s="220"/>
      <c r="I748" s="220"/>
      <c r="J748" s="220"/>
      <c r="K748" s="220"/>
      <c r="L748" s="220"/>
      <c r="M748" s="220"/>
      <c r="N748" s="220"/>
      <c r="O748" s="220"/>
      <c r="P748" s="220"/>
      <c r="Q748" s="220"/>
      <c r="R748" s="220"/>
      <c r="S748" s="220"/>
    </row>
    <row r="749" spans="1:19" x14ac:dyDescent="0.25">
      <c r="A749" s="220"/>
      <c r="B749" s="220"/>
      <c r="C749" s="220"/>
      <c r="D749" s="220"/>
      <c r="E749" s="220"/>
      <c r="F749" s="220"/>
      <c r="G749" s="220"/>
      <c r="H749" s="220"/>
      <c r="I749" s="220"/>
      <c r="J749" s="220"/>
      <c r="K749" s="220"/>
      <c r="L749" s="220"/>
      <c r="M749" s="220"/>
      <c r="N749" s="220"/>
      <c r="O749" s="220"/>
      <c r="P749" s="220"/>
      <c r="Q749" s="220"/>
      <c r="R749" s="220"/>
      <c r="S749" s="220"/>
    </row>
    <row r="750" spans="1:19" x14ac:dyDescent="0.25">
      <c r="A750" s="220"/>
      <c r="B750" s="220"/>
      <c r="C750" s="220"/>
      <c r="D750" s="220"/>
      <c r="E750" s="220"/>
      <c r="F750" s="220"/>
      <c r="G750" s="220"/>
      <c r="H750" s="220"/>
      <c r="I750" s="220"/>
      <c r="J750" s="220"/>
      <c r="K750" s="220"/>
      <c r="L750" s="220"/>
      <c r="M750" s="220"/>
      <c r="N750" s="220"/>
      <c r="O750" s="220"/>
      <c r="P750" s="220"/>
      <c r="Q750" s="220"/>
      <c r="R750" s="220"/>
      <c r="S750" s="220"/>
    </row>
    <row r="751" spans="1:19" x14ac:dyDescent="0.25">
      <c r="A751" s="220"/>
      <c r="B751" s="220"/>
      <c r="C751" s="220"/>
      <c r="D751" s="220"/>
      <c r="E751" s="220"/>
      <c r="F751" s="220"/>
      <c r="G751" s="220"/>
      <c r="H751" s="220"/>
      <c r="I751" s="220"/>
      <c r="J751" s="220"/>
      <c r="K751" s="220"/>
      <c r="L751" s="220"/>
      <c r="M751" s="220"/>
      <c r="N751" s="220"/>
      <c r="O751" s="220"/>
      <c r="P751" s="220"/>
      <c r="Q751" s="220"/>
      <c r="R751" s="220"/>
      <c r="S751" s="220"/>
    </row>
    <row r="752" spans="1:19" x14ac:dyDescent="0.25">
      <c r="A752" s="220"/>
      <c r="B752" s="220"/>
      <c r="C752" s="220"/>
      <c r="D752" s="220"/>
      <c r="E752" s="220"/>
      <c r="F752" s="220"/>
      <c r="G752" s="220"/>
      <c r="H752" s="220"/>
      <c r="I752" s="220"/>
      <c r="J752" s="220"/>
      <c r="K752" s="220"/>
      <c r="L752" s="220"/>
      <c r="M752" s="220"/>
      <c r="N752" s="220"/>
      <c r="O752" s="220"/>
      <c r="P752" s="220"/>
      <c r="Q752" s="220"/>
      <c r="R752" s="220"/>
      <c r="S752" s="220"/>
    </row>
    <row r="753" spans="1:19" x14ac:dyDescent="0.25">
      <c r="A753" s="220"/>
      <c r="B753" s="220"/>
      <c r="C753" s="220"/>
      <c r="D753" s="220"/>
      <c r="E753" s="220"/>
      <c r="F753" s="220"/>
      <c r="G753" s="220"/>
      <c r="H753" s="220"/>
      <c r="I753" s="220"/>
      <c r="J753" s="220"/>
      <c r="K753" s="220"/>
      <c r="L753" s="220"/>
      <c r="M753" s="220"/>
      <c r="N753" s="220"/>
      <c r="O753" s="220"/>
      <c r="P753" s="220"/>
      <c r="Q753" s="220"/>
      <c r="R753" s="220"/>
      <c r="S753" s="220"/>
    </row>
    <row r="754" spans="1:19" x14ac:dyDescent="0.25">
      <c r="A754" s="220"/>
      <c r="B754" s="220"/>
      <c r="C754" s="220"/>
      <c r="D754" s="220"/>
      <c r="E754" s="220"/>
      <c r="F754" s="220"/>
      <c r="G754" s="220"/>
      <c r="H754" s="220"/>
      <c r="I754" s="220"/>
      <c r="J754" s="220"/>
      <c r="K754" s="220"/>
      <c r="L754" s="220"/>
      <c r="M754" s="220"/>
      <c r="N754" s="220"/>
      <c r="O754" s="220"/>
      <c r="P754" s="220"/>
      <c r="Q754" s="220"/>
      <c r="R754" s="220"/>
      <c r="S754" s="220"/>
    </row>
    <row r="755" spans="1:19" x14ac:dyDescent="0.25">
      <c r="A755" s="220"/>
      <c r="B755" s="220"/>
      <c r="C755" s="220"/>
      <c r="D755" s="220"/>
      <c r="E755" s="220"/>
      <c r="F755" s="220"/>
      <c r="G755" s="220"/>
      <c r="H755" s="220"/>
      <c r="I755" s="220"/>
      <c r="J755" s="220"/>
      <c r="K755" s="220"/>
      <c r="L755" s="220"/>
      <c r="M755" s="220"/>
      <c r="N755" s="220"/>
      <c r="O755" s="220"/>
      <c r="P755" s="220"/>
      <c r="Q755" s="220"/>
      <c r="R755" s="220"/>
      <c r="S755" s="220"/>
    </row>
    <row r="756" spans="1:19" x14ac:dyDescent="0.25">
      <c r="A756" s="220"/>
      <c r="B756" s="220"/>
      <c r="C756" s="220"/>
      <c r="D756" s="220"/>
      <c r="E756" s="220"/>
      <c r="F756" s="220"/>
      <c r="G756" s="220"/>
      <c r="H756" s="220"/>
      <c r="I756" s="220"/>
      <c r="J756" s="220"/>
      <c r="K756" s="220"/>
      <c r="L756" s="220"/>
      <c r="M756" s="220"/>
      <c r="N756" s="220"/>
      <c r="O756" s="220"/>
      <c r="P756" s="220"/>
      <c r="Q756" s="220"/>
      <c r="R756" s="220"/>
      <c r="S756" s="220"/>
    </row>
    <row r="757" spans="1:19" x14ac:dyDescent="0.25">
      <c r="A757" s="220"/>
      <c r="B757" s="220"/>
      <c r="C757" s="220"/>
      <c r="D757" s="220"/>
      <c r="E757" s="220"/>
      <c r="F757" s="220"/>
      <c r="G757" s="220"/>
      <c r="H757" s="220"/>
      <c r="I757" s="220"/>
      <c r="J757" s="220"/>
      <c r="K757" s="220"/>
      <c r="L757" s="220"/>
      <c r="M757" s="220"/>
      <c r="N757" s="220"/>
      <c r="O757" s="220"/>
      <c r="P757" s="220"/>
      <c r="Q757" s="220"/>
      <c r="R757" s="220"/>
      <c r="S757" s="220"/>
    </row>
    <row r="758" spans="1:19" x14ac:dyDescent="0.25">
      <c r="A758" s="220"/>
      <c r="B758" s="220"/>
      <c r="C758" s="220"/>
      <c r="D758" s="220"/>
      <c r="E758" s="220"/>
      <c r="F758" s="220"/>
      <c r="G758" s="220"/>
      <c r="H758" s="220"/>
      <c r="I758" s="220"/>
      <c r="J758" s="220"/>
      <c r="K758" s="220"/>
      <c r="L758" s="220"/>
      <c r="M758" s="220"/>
      <c r="N758" s="220"/>
      <c r="O758" s="220"/>
      <c r="P758" s="220"/>
      <c r="Q758" s="220"/>
      <c r="R758" s="220"/>
      <c r="S758" s="220"/>
    </row>
    <row r="759" spans="1:19" x14ac:dyDescent="0.25">
      <c r="A759" s="220"/>
      <c r="B759" s="220"/>
      <c r="C759" s="220"/>
      <c r="D759" s="220"/>
      <c r="E759" s="220"/>
      <c r="F759" s="220"/>
      <c r="G759" s="220"/>
      <c r="H759" s="220"/>
      <c r="I759" s="220"/>
      <c r="J759" s="220"/>
      <c r="K759" s="220"/>
      <c r="L759" s="220"/>
      <c r="M759" s="220"/>
      <c r="N759" s="220"/>
      <c r="O759" s="220"/>
      <c r="P759" s="220"/>
      <c r="Q759" s="220"/>
      <c r="R759" s="220"/>
      <c r="S759" s="220"/>
    </row>
    <row r="760" spans="1:19" x14ac:dyDescent="0.25">
      <c r="A760" s="220"/>
      <c r="B760" s="220"/>
      <c r="C760" s="220"/>
      <c r="D760" s="220"/>
      <c r="E760" s="220"/>
      <c r="F760" s="220"/>
      <c r="G760" s="220"/>
      <c r="H760" s="220"/>
      <c r="I760" s="220"/>
      <c r="J760" s="220"/>
      <c r="K760" s="220"/>
      <c r="L760" s="220"/>
      <c r="M760" s="220"/>
      <c r="N760" s="220"/>
      <c r="O760" s="220"/>
      <c r="P760" s="220"/>
      <c r="Q760" s="220"/>
      <c r="R760" s="220"/>
      <c r="S760" s="220"/>
    </row>
    <row r="761" spans="1:19" x14ac:dyDescent="0.25">
      <c r="A761" s="220"/>
      <c r="B761" s="220"/>
      <c r="C761" s="220"/>
      <c r="D761" s="220"/>
      <c r="E761" s="220"/>
      <c r="F761" s="220"/>
      <c r="G761" s="220"/>
      <c r="H761" s="220"/>
      <c r="I761" s="220"/>
      <c r="J761" s="220"/>
      <c r="K761" s="220"/>
      <c r="L761" s="220"/>
      <c r="M761" s="220"/>
      <c r="N761" s="220"/>
      <c r="O761" s="220"/>
      <c r="P761" s="220"/>
      <c r="Q761" s="220"/>
      <c r="R761" s="220"/>
      <c r="S761" s="220"/>
    </row>
    <row r="762" spans="1:19" x14ac:dyDescent="0.25">
      <c r="A762" s="220"/>
      <c r="B762" s="220"/>
      <c r="C762" s="220"/>
      <c r="D762" s="220"/>
      <c r="E762" s="220"/>
      <c r="F762" s="220"/>
      <c r="G762" s="220"/>
      <c r="H762" s="220"/>
      <c r="I762" s="220"/>
      <c r="J762" s="220"/>
      <c r="K762" s="220"/>
      <c r="L762" s="220"/>
      <c r="M762" s="220"/>
      <c r="N762" s="220"/>
      <c r="O762" s="220"/>
      <c r="P762" s="220"/>
      <c r="Q762" s="220"/>
      <c r="R762" s="220"/>
      <c r="S762" s="220"/>
    </row>
    <row r="763" spans="1:19" x14ac:dyDescent="0.25">
      <c r="A763" s="220"/>
      <c r="B763" s="220"/>
      <c r="C763" s="220"/>
      <c r="D763" s="220"/>
      <c r="E763" s="220"/>
      <c r="F763" s="220"/>
      <c r="G763" s="220"/>
      <c r="H763" s="220"/>
      <c r="I763" s="220"/>
      <c r="J763" s="220"/>
      <c r="K763" s="220"/>
      <c r="L763" s="220"/>
      <c r="M763" s="220"/>
      <c r="N763" s="220"/>
      <c r="O763" s="220"/>
      <c r="P763" s="220"/>
      <c r="Q763" s="220"/>
      <c r="R763" s="220"/>
      <c r="S763" s="220"/>
    </row>
    <row r="764" spans="1:19" x14ac:dyDescent="0.25">
      <c r="A764" s="220"/>
      <c r="B764" s="220"/>
      <c r="C764" s="220"/>
      <c r="D764" s="220"/>
      <c r="E764" s="220"/>
      <c r="F764" s="220"/>
      <c r="G764" s="220"/>
      <c r="H764" s="220"/>
      <c r="I764" s="220"/>
      <c r="J764" s="220"/>
      <c r="K764" s="220"/>
      <c r="L764" s="220"/>
      <c r="M764" s="220"/>
      <c r="N764" s="220"/>
      <c r="O764" s="220"/>
      <c r="P764" s="220"/>
      <c r="Q764" s="220"/>
      <c r="R764" s="220"/>
      <c r="S764" s="220"/>
    </row>
    <row r="765" spans="1:19" x14ac:dyDescent="0.25">
      <c r="A765" s="220"/>
      <c r="B765" s="220"/>
      <c r="C765" s="220"/>
      <c r="D765" s="220"/>
      <c r="E765" s="220"/>
      <c r="F765" s="220"/>
      <c r="G765" s="220"/>
      <c r="H765" s="220"/>
      <c r="I765" s="220"/>
      <c r="J765" s="220"/>
      <c r="K765" s="220"/>
      <c r="L765" s="220"/>
      <c r="M765" s="220"/>
      <c r="N765" s="220"/>
      <c r="O765" s="220"/>
      <c r="P765" s="220"/>
      <c r="Q765" s="220"/>
      <c r="R765" s="220"/>
      <c r="S765" s="220"/>
    </row>
    <row r="766" spans="1:19" x14ac:dyDescent="0.25">
      <c r="A766" s="220"/>
      <c r="B766" s="220"/>
      <c r="C766" s="220"/>
      <c r="D766" s="220"/>
      <c r="E766" s="220"/>
      <c r="F766" s="220"/>
      <c r="G766" s="220"/>
      <c r="H766" s="220"/>
      <c r="I766" s="220"/>
      <c r="J766" s="220"/>
      <c r="K766" s="220"/>
      <c r="L766" s="220"/>
      <c r="M766" s="220"/>
      <c r="N766" s="220"/>
      <c r="O766" s="220"/>
      <c r="P766" s="220"/>
      <c r="Q766" s="220"/>
      <c r="R766" s="220"/>
      <c r="S766" s="220"/>
    </row>
    <row r="767" spans="1:19" x14ac:dyDescent="0.25">
      <c r="A767" s="220"/>
      <c r="B767" s="220"/>
      <c r="C767" s="220"/>
      <c r="D767" s="220"/>
      <c r="E767" s="220"/>
      <c r="F767" s="220"/>
      <c r="G767" s="220"/>
      <c r="H767" s="220"/>
      <c r="I767" s="220"/>
      <c r="J767" s="220"/>
      <c r="K767" s="220"/>
      <c r="L767" s="220"/>
      <c r="M767" s="220"/>
      <c r="N767" s="220"/>
      <c r="O767" s="220"/>
      <c r="P767" s="220"/>
      <c r="Q767" s="220"/>
      <c r="R767" s="220"/>
      <c r="S767" s="220"/>
    </row>
    <row r="768" spans="1:19" x14ac:dyDescent="0.25">
      <c r="A768" s="220"/>
      <c r="B768" s="220"/>
      <c r="C768" s="220"/>
      <c r="D768" s="220"/>
      <c r="E768" s="220"/>
      <c r="F768" s="220"/>
      <c r="G768" s="220"/>
      <c r="H768" s="220"/>
      <c r="I768" s="220"/>
      <c r="J768" s="220"/>
      <c r="K768" s="220"/>
      <c r="L768" s="220"/>
      <c r="M768" s="220"/>
      <c r="N768" s="220"/>
      <c r="O768" s="220"/>
      <c r="P768" s="220"/>
      <c r="Q768" s="220"/>
      <c r="R768" s="220"/>
      <c r="S768" s="220"/>
    </row>
    <row r="769" spans="1:19" x14ac:dyDescent="0.25">
      <c r="A769" s="220"/>
      <c r="B769" s="220"/>
      <c r="C769" s="220"/>
      <c r="D769" s="220"/>
      <c r="E769" s="220"/>
      <c r="F769" s="220"/>
      <c r="G769" s="220"/>
      <c r="H769" s="220"/>
      <c r="I769" s="220"/>
      <c r="J769" s="220"/>
      <c r="K769" s="220"/>
      <c r="L769" s="220"/>
      <c r="M769" s="220"/>
      <c r="N769" s="220"/>
      <c r="O769" s="220"/>
      <c r="P769" s="220"/>
      <c r="Q769" s="220"/>
      <c r="R769" s="220"/>
      <c r="S769" s="220"/>
    </row>
    <row r="770" spans="1:19" x14ac:dyDescent="0.25">
      <c r="A770" s="220"/>
      <c r="B770" s="220"/>
      <c r="C770" s="220"/>
      <c r="D770" s="220"/>
      <c r="E770" s="220"/>
      <c r="F770" s="220"/>
      <c r="G770" s="220"/>
      <c r="H770" s="220"/>
      <c r="I770" s="220"/>
      <c r="J770" s="220"/>
      <c r="K770" s="220"/>
      <c r="L770" s="220"/>
      <c r="M770" s="220"/>
      <c r="N770" s="220"/>
      <c r="O770" s="220"/>
      <c r="P770" s="220"/>
      <c r="Q770" s="220"/>
      <c r="R770" s="220"/>
      <c r="S770" s="220"/>
    </row>
    <row r="771" spans="1:19" x14ac:dyDescent="0.25">
      <c r="A771" s="220"/>
      <c r="B771" s="220"/>
      <c r="C771" s="220"/>
      <c r="D771" s="220"/>
      <c r="E771" s="220"/>
      <c r="F771" s="220"/>
      <c r="G771" s="220"/>
      <c r="H771" s="220"/>
      <c r="I771" s="220"/>
      <c r="J771" s="220"/>
      <c r="K771" s="220"/>
      <c r="L771" s="220"/>
      <c r="M771" s="220"/>
      <c r="N771" s="220"/>
      <c r="O771" s="220"/>
      <c r="P771" s="220"/>
      <c r="Q771" s="220"/>
      <c r="R771" s="220"/>
      <c r="S771" s="220"/>
    </row>
    <row r="772" spans="1:19" x14ac:dyDescent="0.25">
      <c r="A772" s="220"/>
      <c r="B772" s="220"/>
      <c r="C772" s="220"/>
      <c r="D772" s="220"/>
      <c r="E772" s="220"/>
      <c r="F772" s="220"/>
      <c r="G772" s="220"/>
      <c r="H772" s="220"/>
      <c r="I772" s="220"/>
      <c r="J772" s="220"/>
      <c r="K772" s="220"/>
      <c r="L772" s="220"/>
      <c r="M772" s="220"/>
      <c r="N772" s="220"/>
      <c r="O772" s="220"/>
      <c r="P772" s="220"/>
      <c r="Q772" s="220"/>
      <c r="R772" s="220"/>
      <c r="S772" s="220"/>
    </row>
    <row r="773" spans="1:19" x14ac:dyDescent="0.25">
      <c r="A773" s="220"/>
      <c r="B773" s="220"/>
      <c r="C773" s="220"/>
      <c r="D773" s="220"/>
      <c r="E773" s="220"/>
      <c r="F773" s="220"/>
      <c r="G773" s="220"/>
      <c r="H773" s="220"/>
      <c r="I773" s="220"/>
      <c r="J773" s="220"/>
      <c r="K773" s="220"/>
      <c r="L773" s="220"/>
      <c r="M773" s="220"/>
      <c r="N773" s="220"/>
      <c r="O773" s="220"/>
      <c r="P773" s="220"/>
      <c r="Q773" s="220"/>
      <c r="R773" s="220"/>
      <c r="S773" s="220"/>
    </row>
    <row r="774" spans="1:19" x14ac:dyDescent="0.25">
      <c r="A774" s="220"/>
      <c r="B774" s="220"/>
      <c r="C774" s="220"/>
      <c r="D774" s="220"/>
      <c r="E774" s="220"/>
      <c r="F774" s="220"/>
      <c r="G774" s="220"/>
      <c r="H774" s="220"/>
      <c r="I774" s="220"/>
      <c r="J774" s="220"/>
      <c r="K774" s="220"/>
      <c r="L774" s="220"/>
      <c r="M774" s="220"/>
      <c r="N774" s="220"/>
      <c r="O774" s="220"/>
      <c r="P774" s="220"/>
      <c r="Q774" s="220"/>
      <c r="R774" s="220"/>
      <c r="S774" s="220"/>
    </row>
    <row r="775" spans="1:19" x14ac:dyDescent="0.25">
      <c r="A775" s="220"/>
      <c r="B775" s="220"/>
      <c r="C775" s="220"/>
      <c r="D775" s="220"/>
      <c r="E775" s="220"/>
      <c r="F775" s="220"/>
      <c r="G775" s="220"/>
      <c r="H775" s="220"/>
      <c r="I775" s="220"/>
      <c r="J775" s="220"/>
      <c r="K775" s="220"/>
      <c r="L775" s="220"/>
      <c r="M775" s="220"/>
      <c r="N775" s="220"/>
      <c r="O775" s="220"/>
      <c r="P775" s="220"/>
      <c r="Q775" s="220"/>
      <c r="R775" s="220"/>
      <c r="S775" s="220"/>
    </row>
    <row r="776" spans="1:19" x14ac:dyDescent="0.25">
      <c r="A776" s="220"/>
      <c r="B776" s="220"/>
      <c r="C776" s="220"/>
      <c r="D776" s="220"/>
      <c r="E776" s="220"/>
      <c r="F776" s="220"/>
      <c r="G776" s="220"/>
      <c r="H776" s="220"/>
      <c r="I776" s="220"/>
      <c r="J776" s="220"/>
      <c r="K776" s="220"/>
      <c r="L776" s="220"/>
      <c r="M776" s="220"/>
      <c r="N776" s="220"/>
      <c r="O776" s="220"/>
      <c r="P776" s="220"/>
      <c r="Q776" s="220"/>
      <c r="R776" s="220"/>
      <c r="S776" s="220"/>
    </row>
    <row r="777" spans="1:19" x14ac:dyDescent="0.25">
      <c r="A777" s="220"/>
      <c r="B777" s="220"/>
      <c r="C777" s="220"/>
      <c r="D777" s="220"/>
      <c r="E777" s="220"/>
      <c r="F777" s="220"/>
      <c r="G777" s="220"/>
      <c r="H777" s="220"/>
      <c r="I777" s="220"/>
      <c r="J777" s="220"/>
      <c r="K777" s="220"/>
      <c r="L777" s="220"/>
      <c r="M777" s="220"/>
      <c r="N777" s="220"/>
      <c r="O777" s="220"/>
      <c r="P777" s="220"/>
      <c r="Q777" s="220"/>
      <c r="R777" s="220"/>
      <c r="S777" s="220"/>
    </row>
    <row r="778" spans="1:19" x14ac:dyDescent="0.25">
      <c r="A778" s="220"/>
      <c r="B778" s="220"/>
      <c r="C778" s="220"/>
      <c r="D778" s="220"/>
      <c r="E778" s="220"/>
      <c r="F778" s="220"/>
      <c r="G778" s="220"/>
      <c r="H778" s="220"/>
      <c r="I778" s="220"/>
      <c r="J778" s="220"/>
      <c r="K778" s="220"/>
      <c r="L778" s="220"/>
      <c r="M778" s="220"/>
      <c r="N778" s="220"/>
      <c r="O778" s="220"/>
      <c r="P778" s="220"/>
      <c r="Q778" s="220"/>
      <c r="R778" s="220"/>
      <c r="S778" s="220"/>
    </row>
    <row r="779" spans="1:19" x14ac:dyDescent="0.25">
      <c r="A779" s="220"/>
      <c r="B779" s="220"/>
      <c r="C779" s="220"/>
      <c r="D779" s="220"/>
      <c r="E779" s="220"/>
      <c r="F779" s="220"/>
      <c r="G779" s="220"/>
      <c r="H779" s="220"/>
      <c r="I779" s="220"/>
      <c r="J779" s="220"/>
      <c r="K779" s="220"/>
      <c r="L779" s="220"/>
      <c r="M779" s="220"/>
      <c r="N779" s="220"/>
      <c r="O779" s="220"/>
      <c r="P779" s="220"/>
      <c r="Q779" s="220"/>
      <c r="R779" s="220"/>
      <c r="S779" s="220"/>
    </row>
    <row r="780" spans="1:19" x14ac:dyDescent="0.25">
      <c r="A780" s="220"/>
      <c r="B780" s="220"/>
      <c r="C780" s="220"/>
      <c r="D780" s="220"/>
      <c r="E780" s="220"/>
      <c r="F780" s="220"/>
      <c r="G780" s="220"/>
      <c r="H780" s="220"/>
      <c r="I780" s="220"/>
      <c r="J780" s="220"/>
      <c r="K780" s="220"/>
      <c r="L780" s="220"/>
      <c r="M780" s="220"/>
      <c r="N780" s="220"/>
      <c r="O780" s="220"/>
      <c r="P780" s="220"/>
      <c r="Q780" s="220"/>
      <c r="R780" s="220"/>
      <c r="S780" s="220"/>
    </row>
    <row r="781" spans="1:19" x14ac:dyDescent="0.25">
      <c r="A781" s="220"/>
      <c r="B781" s="220"/>
      <c r="C781" s="220"/>
      <c r="D781" s="220"/>
      <c r="E781" s="220"/>
      <c r="F781" s="220"/>
      <c r="G781" s="220"/>
      <c r="H781" s="220"/>
      <c r="I781" s="220"/>
      <c r="J781" s="220"/>
      <c r="K781" s="220"/>
      <c r="L781" s="220"/>
      <c r="M781" s="220"/>
      <c r="N781" s="220"/>
      <c r="O781" s="220"/>
      <c r="P781" s="220"/>
      <c r="Q781" s="220"/>
      <c r="R781" s="220"/>
      <c r="S781" s="220"/>
    </row>
    <row r="782" spans="1:19" x14ac:dyDescent="0.25">
      <c r="A782" s="220"/>
      <c r="B782" s="220"/>
      <c r="C782" s="220"/>
      <c r="D782" s="220"/>
      <c r="E782" s="220"/>
      <c r="F782" s="220"/>
      <c r="G782" s="220"/>
      <c r="H782" s="220"/>
      <c r="I782" s="220"/>
      <c r="J782" s="220"/>
      <c r="K782" s="220"/>
      <c r="L782" s="220"/>
      <c r="M782" s="220"/>
      <c r="N782" s="220"/>
      <c r="O782" s="220"/>
      <c r="P782" s="220"/>
      <c r="Q782" s="220"/>
      <c r="R782" s="220"/>
      <c r="S782" s="220"/>
    </row>
    <row r="783" spans="1:19" x14ac:dyDescent="0.25">
      <c r="A783" s="220"/>
      <c r="B783" s="220"/>
      <c r="C783" s="220"/>
      <c r="D783" s="220"/>
      <c r="E783" s="220"/>
      <c r="F783" s="220"/>
      <c r="G783" s="220"/>
      <c r="H783" s="220"/>
      <c r="I783" s="220"/>
      <c r="J783" s="220"/>
      <c r="K783" s="220"/>
      <c r="L783" s="220"/>
      <c r="M783" s="220"/>
      <c r="N783" s="220"/>
      <c r="O783" s="220"/>
      <c r="P783" s="220"/>
      <c r="Q783" s="220"/>
      <c r="R783" s="220"/>
      <c r="S783" s="220"/>
    </row>
    <row r="784" spans="1:19" x14ac:dyDescent="0.25">
      <c r="A784" s="220"/>
      <c r="B784" s="220"/>
      <c r="C784" s="220"/>
      <c r="D784" s="220"/>
      <c r="E784" s="220"/>
      <c r="F784" s="220"/>
      <c r="G784" s="220"/>
      <c r="H784" s="220"/>
      <c r="I784" s="220"/>
      <c r="J784" s="220"/>
      <c r="K784" s="220"/>
      <c r="L784" s="220"/>
      <c r="M784" s="220"/>
      <c r="N784" s="220"/>
      <c r="O784" s="220"/>
      <c r="P784" s="220"/>
      <c r="Q784" s="220"/>
      <c r="R784" s="220"/>
      <c r="S784" s="220"/>
    </row>
    <row r="785" spans="1:19" x14ac:dyDescent="0.25">
      <c r="A785" s="220"/>
      <c r="B785" s="220"/>
      <c r="C785" s="220"/>
      <c r="D785" s="220"/>
      <c r="E785" s="220"/>
      <c r="F785" s="220"/>
      <c r="G785" s="220"/>
      <c r="H785" s="220"/>
      <c r="I785" s="220"/>
      <c r="J785" s="220"/>
      <c r="K785" s="220"/>
      <c r="L785" s="220"/>
      <c r="M785" s="220"/>
      <c r="N785" s="220"/>
      <c r="O785" s="220"/>
      <c r="P785" s="220"/>
      <c r="Q785" s="220"/>
      <c r="R785" s="220"/>
      <c r="S785" s="220"/>
    </row>
    <row r="786" spans="1:19" x14ac:dyDescent="0.25">
      <c r="A786" s="220"/>
      <c r="B786" s="220"/>
      <c r="C786" s="220"/>
      <c r="D786" s="220"/>
      <c r="E786" s="220"/>
      <c r="F786" s="220"/>
      <c r="G786" s="220"/>
      <c r="H786" s="220"/>
      <c r="I786" s="220"/>
      <c r="J786" s="220"/>
      <c r="K786" s="220"/>
      <c r="L786" s="220"/>
      <c r="M786" s="220"/>
      <c r="N786" s="220"/>
      <c r="O786" s="220"/>
      <c r="P786" s="220"/>
      <c r="Q786" s="220"/>
      <c r="R786" s="220"/>
      <c r="S786" s="220"/>
    </row>
    <row r="787" spans="1:19" x14ac:dyDescent="0.25">
      <c r="A787" s="220"/>
      <c r="B787" s="220"/>
      <c r="C787" s="220"/>
      <c r="D787" s="220"/>
      <c r="E787" s="220"/>
      <c r="F787" s="220"/>
      <c r="G787" s="220"/>
      <c r="H787" s="220"/>
      <c r="I787" s="220"/>
      <c r="J787" s="220"/>
      <c r="K787" s="220"/>
      <c r="L787" s="220"/>
      <c r="M787" s="220"/>
      <c r="N787" s="220"/>
      <c r="O787" s="220"/>
      <c r="P787" s="220"/>
      <c r="Q787" s="220"/>
      <c r="R787" s="220"/>
      <c r="S787" s="220"/>
    </row>
    <row r="788" spans="1:19" x14ac:dyDescent="0.25">
      <c r="A788" s="220"/>
      <c r="B788" s="220"/>
      <c r="C788" s="220"/>
      <c r="D788" s="220"/>
      <c r="E788" s="220"/>
      <c r="F788" s="220"/>
      <c r="G788" s="220"/>
      <c r="H788" s="220"/>
      <c r="I788" s="220"/>
      <c r="J788" s="220"/>
      <c r="K788" s="220"/>
      <c r="L788" s="220"/>
      <c r="M788" s="220"/>
      <c r="N788" s="220"/>
      <c r="O788" s="220"/>
      <c r="P788" s="220"/>
      <c r="Q788" s="220"/>
      <c r="R788" s="220"/>
      <c r="S788" s="220"/>
    </row>
    <row r="789" spans="1:19" x14ac:dyDescent="0.25">
      <c r="A789" s="220"/>
      <c r="B789" s="220"/>
      <c r="C789" s="220"/>
      <c r="D789" s="220"/>
      <c r="E789" s="220"/>
      <c r="F789" s="220"/>
      <c r="G789" s="220"/>
      <c r="H789" s="220"/>
      <c r="I789" s="220"/>
      <c r="J789" s="220"/>
      <c r="K789" s="220"/>
      <c r="L789" s="220"/>
      <c r="M789" s="220"/>
      <c r="N789" s="220"/>
      <c r="O789" s="220"/>
      <c r="P789" s="220"/>
      <c r="Q789" s="220"/>
      <c r="R789" s="220"/>
      <c r="S789" s="220"/>
    </row>
    <row r="790" spans="1:19" x14ac:dyDescent="0.25">
      <c r="A790" s="220"/>
      <c r="B790" s="220"/>
      <c r="C790" s="220"/>
      <c r="D790" s="220"/>
      <c r="E790" s="220"/>
      <c r="F790" s="220"/>
      <c r="G790" s="220"/>
      <c r="H790" s="220"/>
      <c r="I790" s="220"/>
      <c r="J790" s="220"/>
      <c r="K790" s="220"/>
      <c r="L790" s="220"/>
      <c r="M790" s="220"/>
      <c r="N790" s="220"/>
      <c r="O790" s="220"/>
      <c r="P790" s="220"/>
      <c r="Q790" s="220"/>
      <c r="R790" s="220"/>
      <c r="S790" s="220"/>
    </row>
    <row r="791" spans="1:19" x14ac:dyDescent="0.25">
      <c r="A791" s="220"/>
      <c r="B791" s="220"/>
      <c r="C791" s="220"/>
      <c r="D791" s="220"/>
      <c r="E791" s="220"/>
      <c r="F791" s="220"/>
      <c r="G791" s="220"/>
      <c r="H791" s="220"/>
      <c r="I791" s="220"/>
      <c r="J791" s="220"/>
      <c r="K791" s="220"/>
      <c r="L791" s="220"/>
      <c r="M791" s="220"/>
      <c r="N791" s="220"/>
      <c r="O791" s="220"/>
      <c r="P791" s="220"/>
      <c r="Q791" s="220"/>
      <c r="R791" s="220"/>
      <c r="S791" s="220"/>
    </row>
    <row r="792" spans="1:19" x14ac:dyDescent="0.25">
      <c r="A792" s="220"/>
      <c r="B792" s="220"/>
      <c r="C792" s="220"/>
      <c r="D792" s="220"/>
      <c r="E792" s="220"/>
      <c r="F792" s="220"/>
      <c r="G792" s="220"/>
      <c r="H792" s="220"/>
      <c r="I792" s="220"/>
      <c r="J792" s="220"/>
      <c r="K792" s="220"/>
      <c r="L792" s="220"/>
      <c r="M792" s="220"/>
      <c r="N792" s="220"/>
      <c r="O792" s="220"/>
      <c r="P792" s="220"/>
      <c r="Q792" s="220"/>
      <c r="R792" s="220"/>
      <c r="S792" s="220"/>
    </row>
    <row r="793" spans="1:19" x14ac:dyDescent="0.25">
      <c r="A793" s="220"/>
      <c r="B793" s="220"/>
      <c r="C793" s="220"/>
      <c r="D793" s="220"/>
      <c r="E793" s="220"/>
      <c r="F793" s="220"/>
      <c r="G793" s="220"/>
      <c r="H793" s="220"/>
      <c r="I793" s="220"/>
      <c r="J793" s="220"/>
      <c r="K793" s="220"/>
      <c r="L793" s="220"/>
      <c r="M793" s="220"/>
      <c r="N793" s="220"/>
      <c r="O793" s="220"/>
      <c r="P793" s="220"/>
      <c r="Q793" s="220"/>
      <c r="R793" s="220"/>
      <c r="S793" s="220"/>
    </row>
    <row r="794" spans="1:19" x14ac:dyDescent="0.25">
      <c r="A794" s="220"/>
      <c r="B794" s="220"/>
      <c r="C794" s="220"/>
      <c r="D794" s="220"/>
      <c r="E794" s="220"/>
      <c r="F794" s="220"/>
      <c r="G794" s="220"/>
      <c r="H794" s="220"/>
      <c r="I794" s="220"/>
      <c r="J794" s="220"/>
      <c r="K794" s="220"/>
      <c r="L794" s="220"/>
      <c r="M794" s="220"/>
      <c r="N794" s="220"/>
      <c r="O794" s="220"/>
      <c r="P794" s="220"/>
      <c r="Q794" s="220"/>
      <c r="R794" s="220"/>
      <c r="S794" s="220"/>
    </row>
    <row r="795" spans="1:19" x14ac:dyDescent="0.25">
      <c r="A795" s="220"/>
      <c r="B795" s="220"/>
      <c r="C795" s="220"/>
      <c r="D795" s="220"/>
      <c r="E795" s="220"/>
      <c r="F795" s="220"/>
      <c r="G795" s="220"/>
      <c r="H795" s="220"/>
      <c r="I795" s="220"/>
      <c r="J795" s="220"/>
      <c r="K795" s="220"/>
      <c r="L795" s="220"/>
      <c r="M795" s="220"/>
      <c r="N795" s="220"/>
      <c r="O795" s="220"/>
      <c r="P795" s="220"/>
      <c r="Q795" s="220"/>
      <c r="R795" s="220"/>
      <c r="S795" s="220"/>
    </row>
    <row r="796" spans="1:19" x14ac:dyDescent="0.25">
      <c r="A796" s="220"/>
      <c r="B796" s="220"/>
      <c r="C796" s="220"/>
      <c r="D796" s="220"/>
      <c r="E796" s="220"/>
      <c r="F796" s="220"/>
      <c r="G796" s="220"/>
      <c r="H796" s="220"/>
      <c r="I796" s="220"/>
      <c r="J796" s="220"/>
      <c r="K796" s="220"/>
      <c r="L796" s="220"/>
      <c r="M796" s="220"/>
      <c r="N796" s="220"/>
      <c r="O796" s="220"/>
      <c r="P796" s="220"/>
      <c r="Q796" s="220"/>
      <c r="R796" s="220"/>
      <c r="S796" s="220"/>
    </row>
    <row r="797" spans="1:19" x14ac:dyDescent="0.25">
      <c r="A797" s="220"/>
      <c r="B797" s="220"/>
      <c r="C797" s="220"/>
      <c r="D797" s="220"/>
      <c r="E797" s="220"/>
      <c r="F797" s="220"/>
      <c r="G797" s="220"/>
      <c r="H797" s="220"/>
      <c r="I797" s="220"/>
      <c r="J797" s="220"/>
      <c r="K797" s="220"/>
      <c r="L797" s="220"/>
      <c r="M797" s="220"/>
      <c r="N797" s="220"/>
      <c r="O797" s="220"/>
      <c r="P797" s="220"/>
      <c r="Q797" s="220"/>
      <c r="R797" s="220"/>
      <c r="S797" s="220"/>
    </row>
    <row r="798" spans="1:19" x14ac:dyDescent="0.25">
      <c r="A798" s="220"/>
      <c r="B798" s="220"/>
      <c r="C798" s="220"/>
      <c r="D798" s="220"/>
      <c r="E798" s="220"/>
      <c r="F798" s="220"/>
      <c r="G798" s="220"/>
      <c r="H798" s="220"/>
      <c r="I798" s="220"/>
      <c r="J798" s="220"/>
      <c r="K798" s="220"/>
      <c r="L798" s="220"/>
      <c r="M798" s="220"/>
      <c r="N798" s="220"/>
      <c r="O798" s="220"/>
      <c r="P798" s="220"/>
      <c r="Q798" s="220"/>
      <c r="R798" s="220"/>
      <c r="S798" s="220"/>
    </row>
    <row r="799" spans="1:19" x14ac:dyDescent="0.25">
      <c r="A799" s="220"/>
      <c r="B799" s="220"/>
      <c r="C799" s="220"/>
      <c r="D799" s="220"/>
      <c r="E799" s="220"/>
      <c r="F799" s="220"/>
      <c r="G799" s="220"/>
      <c r="H799" s="220"/>
      <c r="I799" s="220"/>
      <c r="J799" s="220"/>
      <c r="K799" s="220"/>
      <c r="L799" s="220"/>
      <c r="M799" s="220"/>
      <c r="N799" s="220"/>
      <c r="O799" s="220"/>
      <c r="P799" s="220"/>
      <c r="Q799" s="220"/>
      <c r="R799" s="220"/>
      <c r="S799" s="220"/>
    </row>
    <row r="800" spans="1:19" x14ac:dyDescent="0.25">
      <c r="A800" s="220"/>
      <c r="B800" s="220"/>
      <c r="C800" s="220"/>
      <c r="D800" s="220"/>
      <c r="E800" s="220"/>
      <c r="F800" s="220"/>
      <c r="G800" s="220"/>
      <c r="H800" s="220"/>
      <c r="I800" s="220"/>
      <c r="J800" s="220"/>
      <c r="K800" s="220"/>
      <c r="L800" s="220"/>
      <c r="M800" s="220"/>
      <c r="N800" s="220"/>
      <c r="O800" s="220"/>
      <c r="P800" s="220"/>
      <c r="Q800" s="220"/>
      <c r="R800" s="220"/>
      <c r="S800" s="220"/>
    </row>
    <row r="801" spans="1:19" x14ac:dyDescent="0.25">
      <c r="A801" s="220"/>
      <c r="B801" s="220"/>
      <c r="C801" s="220"/>
      <c r="D801" s="220"/>
      <c r="E801" s="220"/>
      <c r="F801" s="220"/>
      <c r="G801" s="220"/>
      <c r="H801" s="220"/>
      <c r="I801" s="220"/>
      <c r="J801" s="220"/>
      <c r="K801" s="220"/>
      <c r="L801" s="220"/>
      <c r="M801" s="220"/>
      <c r="N801" s="220"/>
      <c r="O801" s="220"/>
      <c r="P801" s="220"/>
      <c r="Q801" s="220"/>
      <c r="R801" s="220"/>
      <c r="S801" s="220"/>
    </row>
    <row r="802" spans="1:19" x14ac:dyDescent="0.25">
      <c r="A802" s="220"/>
      <c r="B802" s="220"/>
      <c r="C802" s="220"/>
      <c r="D802" s="220"/>
      <c r="E802" s="220"/>
      <c r="F802" s="220"/>
      <c r="G802" s="220"/>
      <c r="H802" s="220"/>
      <c r="I802" s="220"/>
      <c r="J802" s="220"/>
      <c r="K802" s="220"/>
      <c r="L802" s="220"/>
      <c r="M802" s="220"/>
      <c r="N802" s="220"/>
      <c r="O802" s="220"/>
      <c r="P802" s="220"/>
      <c r="Q802" s="220"/>
      <c r="R802" s="220"/>
      <c r="S802" s="220"/>
    </row>
    <row r="803" spans="1:19" x14ac:dyDescent="0.25">
      <c r="A803" s="220"/>
      <c r="B803" s="220"/>
      <c r="C803" s="220"/>
      <c r="D803" s="220"/>
      <c r="E803" s="220"/>
      <c r="F803" s="220"/>
      <c r="G803" s="220"/>
      <c r="H803" s="220"/>
      <c r="I803" s="220"/>
      <c r="J803" s="220"/>
      <c r="K803" s="220"/>
      <c r="L803" s="220"/>
      <c r="M803" s="220"/>
      <c r="N803" s="220"/>
      <c r="O803" s="220"/>
      <c r="P803" s="220"/>
      <c r="Q803" s="220"/>
      <c r="R803" s="220"/>
      <c r="S803" s="220"/>
    </row>
    <row r="804" spans="1:19" x14ac:dyDescent="0.25">
      <c r="A804" s="220"/>
      <c r="B804" s="220"/>
      <c r="C804" s="220"/>
      <c r="D804" s="220"/>
      <c r="E804" s="220"/>
      <c r="F804" s="220"/>
      <c r="G804" s="220"/>
      <c r="H804" s="220"/>
      <c r="I804" s="220"/>
      <c r="J804" s="220"/>
      <c r="K804" s="220"/>
      <c r="L804" s="220"/>
      <c r="M804" s="220"/>
      <c r="N804" s="220"/>
      <c r="O804" s="220"/>
      <c r="P804" s="220"/>
      <c r="Q804" s="220"/>
      <c r="R804" s="220"/>
      <c r="S804" s="220"/>
    </row>
    <row r="805" spans="1:19" x14ac:dyDescent="0.25">
      <c r="A805" s="220"/>
      <c r="B805" s="220"/>
      <c r="C805" s="220"/>
      <c r="D805" s="220"/>
      <c r="E805" s="220"/>
      <c r="F805" s="220"/>
      <c r="G805" s="220"/>
      <c r="H805" s="220"/>
      <c r="I805" s="220"/>
      <c r="J805" s="220"/>
      <c r="K805" s="220"/>
      <c r="L805" s="220"/>
      <c r="M805" s="220"/>
      <c r="N805" s="220"/>
      <c r="O805" s="220"/>
      <c r="P805" s="220"/>
      <c r="Q805" s="220"/>
      <c r="R805" s="220"/>
      <c r="S805" s="220"/>
    </row>
    <row r="806" spans="1:19" x14ac:dyDescent="0.25">
      <c r="A806" s="220"/>
      <c r="B806" s="220"/>
      <c r="C806" s="220"/>
      <c r="D806" s="220"/>
      <c r="E806" s="220"/>
      <c r="F806" s="220"/>
      <c r="G806" s="220"/>
      <c r="H806" s="220"/>
      <c r="I806" s="220"/>
      <c r="J806" s="220"/>
      <c r="K806" s="220"/>
      <c r="L806" s="220"/>
      <c r="M806" s="220"/>
      <c r="N806" s="220"/>
      <c r="O806" s="220"/>
      <c r="P806" s="220"/>
      <c r="Q806" s="220"/>
      <c r="R806" s="220"/>
      <c r="S806" s="220"/>
    </row>
    <row r="807" spans="1:19" x14ac:dyDescent="0.25">
      <c r="A807" s="220"/>
      <c r="B807" s="220"/>
      <c r="C807" s="220"/>
      <c r="D807" s="220"/>
      <c r="E807" s="220"/>
      <c r="F807" s="220"/>
      <c r="G807" s="220"/>
      <c r="H807" s="220"/>
      <c r="I807" s="220"/>
      <c r="J807" s="220"/>
      <c r="K807" s="220"/>
      <c r="L807" s="220"/>
      <c r="M807" s="220"/>
      <c r="N807" s="220"/>
      <c r="O807" s="220"/>
      <c r="P807" s="220"/>
      <c r="Q807" s="220"/>
      <c r="R807" s="220"/>
      <c r="S807" s="220"/>
    </row>
    <row r="808" spans="1:19" x14ac:dyDescent="0.25">
      <c r="A808" s="220"/>
      <c r="B808" s="220"/>
      <c r="C808" s="220"/>
      <c r="D808" s="220"/>
      <c r="E808" s="220"/>
      <c r="F808" s="220"/>
      <c r="G808" s="220"/>
      <c r="H808" s="220"/>
      <c r="I808" s="220"/>
      <c r="J808" s="220"/>
      <c r="K808" s="220"/>
      <c r="L808" s="220"/>
      <c r="M808" s="220"/>
      <c r="N808" s="220"/>
      <c r="O808" s="220"/>
      <c r="P808" s="220"/>
      <c r="Q808" s="220"/>
      <c r="R808" s="220"/>
      <c r="S808" s="220"/>
    </row>
    <row r="809" spans="1:19" x14ac:dyDescent="0.25">
      <c r="A809" s="220"/>
      <c r="B809" s="220"/>
      <c r="C809" s="220"/>
      <c r="D809" s="220"/>
      <c r="E809" s="220"/>
      <c r="F809" s="220"/>
      <c r="G809" s="220"/>
      <c r="H809" s="220"/>
      <c r="I809" s="220"/>
      <c r="J809" s="220"/>
      <c r="K809" s="220"/>
      <c r="L809" s="220"/>
      <c r="M809" s="220"/>
      <c r="N809" s="220"/>
      <c r="O809" s="220"/>
      <c r="P809" s="220"/>
      <c r="Q809" s="220"/>
      <c r="R809" s="220"/>
      <c r="S809" s="220"/>
    </row>
    <row r="810" spans="1:19" x14ac:dyDescent="0.25">
      <c r="A810" s="220"/>
      <c r="B810" s="220"/>
      <c r="C810" s="220"/>
      <c r="D810" s="220"/>
      <c r="E810" s="220"/>
      <c r="F810" s="220"/>
      <c r="G810" s="220"/>
      <c r="H810" s="220"/>
      <c r="I810" s="220"/>
      <c r="J810" s="220"/>
      <c r="K810" s="220"/>
      <c r="L810" s="220"/>
      <c r="M810" s="220"/>
      <c r="N810" s="220"/>
      <c r="O810" s="220"/>
      <c r="P810" s="220"/>
      <c r="Q810" s="220"/>
      <c r="R810" s="220"/>
      <c r="S810" s="220"/>
    </row>
    <row r="811" spans="1:19" x14ac:dyDescent="0.25">
      <c r="A811" s="220"/>
      <c r="B811" s="220"/>
      <c r="C811" s="220"/>
      <c r="D811" s="220"/>
      <c r="E811" s="220"/>
      <c r="F811" s="220"/>
      <c r="G811" s="220"/>
      <c r="H811" s="220"/>
      <c r="I811" s="220"/>
      <c r="J811" s="220"/>
      <c r="K811" s="220"/>
      <c r="L811" s="220"/>
      <c r="M811" s="220"/>
      <c r="N811" s="220"/>
      <c r="O811" s="220"/>
      <c r="P811" s="220"/>
      <c r="Q811" s="220"/>
      <c r="R811" s="220"/>
      <c r="S811" s="220"/>
    </row>
    <row r="812" spans="1:19" x14ac:dyDescent="0.25">
      <c r="A812" s="220"/>
      <c r="B812" s="220"/>
      <c r="C812" s="220"/>
      <c r="D812" s="220"/>
      <c r="E812" s="220"/>
      <c r="F812" s="220"/>
      <c r="G812" s="220"/>
      <c r="H812" s="220"/>
      <c r="I812" s="220"/>
      <c r="J812" s="220"/>
      <c r="K812" s="220"/>
      <c r="L812" s="220"/>
      <c r="M812" s="220"/>
      <c r="N812" s="220"/>
      <c r="O812" s="220"/>
      <c r="P812" s="220"/>
      <c r="Q812" s="220"/>
      <c r="R812" s="220"/>
      <c r="S812" s="220"/>
    </row>
    <row r="813" spans="1:19" x14ac:dyDescent="0.25">
      <c r="A813" s="220"/>
      <c r="B813" s="220"/>
      <c r="C813" s="220"/>
      <c r="D813" s="220"/>
      <c r="E813" s="220"/>
      <c r="F813" s="220"/>
      <c r="G813" s="220"/>
      <c r="H813" s="220"/>
      <c r="I813" s="220"/>
      <c r="J813" s="220"/>
      <c r="K813" s="220"/>
      <c r="L813" s="220"/>
      <c r="M813" s="220"/>
      <c r="N813" s="220"/>
      <c r="O813" s="220"/>
      <c r="P813" s="220"/>
      <c r="Q813" s="220"/>
      <c r="R813" s="220"/>
      <c r="S813" s="220"/>
    </row>
    <row r="814" spans="1:19" x14ac:dyDescent="0.25">
      <c r="A814" s="220"/>
      <c r="B814" s="220"/>
      <c r="C814" s="220"/>
      <c r="D814" s="220"/>
      <c r="E814" s="220"/>
      <c r="F814" s="220"/>
      <c r="G814" s="220"/>
      <c r="H814" s="220"/>
      <c r="I814" s="220"/>
      <c r="J814" s="220"/>
      <c r="K814" s="220"/>
      <c r="L814" s="220"/>
      <c r="M814" s="220"/>
      <c r="N814" s="220"/>
      <c r="O814" s="220"/>
      <c r="P814" s="220"/>
      <c r="Q814" s="220"/>
      <c r="R814" s="220"/>
      <c r="S814" s="220"/>
    </row>
    <row r="815" spans="1:19" x14ac:dyDescent="0.25">
      <c r="A815" s="220"/>
      <c r="B815" s="220"/>
      <c r="C815" s="220"/>
      <c r="D815" s="220"/>
      <c r="E815" s="220"/>
      <c r="F815" s="220"/>
      <c r="G815" s="220"/>
      <c r="H815" s="220"/>
      <c r="I815" s="220"/>
      <c r="J815" s="220"/>
      <c r="K815" s="220"/>
      <c r="L815" s="220"/>
      <c r="M815" s="220"/>
      <c r="N815" s="220"/>
      <c r="O815" s="220"/>
      <c r="P815" s="220"/>
      <c r="Q815" s="220"/>
      <c r="R815" s="220"/>
      <c r="S815" s="220"/>
    </row>
    <row r="816" spans="1:19" x14ac:dyDescent="0.25">
      <c r="A816" s="220"/>
      <c r="B816" s="220"/>
      <c r="C816" s="220"/>
      <c r="D816" s="220"/>
      <c r="E816" s="220"/>
      <c r="F816" s="220"/>
      <c r="G816" s="220"/>
      <c r="H816" s="220"/>
      <c r="I816" s="220"/>
      <c r="J816" s="220"/>
      <c r="K816" s="220"/>
      <c r="L816" s="220"/>
      <c r="M816" s="220"/>
      <c r="N816" s="220"/>
      <c r="O816" s="220"/>
      <c r="P816" s="220"/>
      <c r="Q816" s="220"/>
      <c r="R816" s="220"/>
      <c r="S816" s="220"/>
    </row>
    <row r="817" spans="1:19" x14ac:dyDescent="0.25">
      <c r="A817" s="220"/>
      <c r="B817" s="220"/>
      <c r="C817" s="220"/>
      <c r="D817" s="220"/>
      <c r="E817" s="220"/>
      <c r="F817" s="220"/>
      <c r="G817" s="220"/>
      <c r="H817" s="220"/>
      <c r="I817" s="220"/>
      <c r="J817" s="220"/>
      <c r="K817" s="220"/>
      <c r="L817" s="220"/>
      <c r="M817" s="220"/>
      <c r="N817" s="220"/>
      <c r="O817" s="220"/>
      <c r="P817" s="220"/>
      <c r="Q817" s="220"/>
      <c r="R817" s="220"/>
      <c r="S817" s="220"/>
    </row>
    <row r="818" spans="1:19" x14ac:dyDescent="0.25">
      <c r="A818" s="220"/>
      <c r="B818" s="220"/>
      <c r="C818" s="220"/>
      <c r="D818" s="220"/>
      <c r="E818" s="220"/>
      <c r="F818" s="220"/>
      <c r="G818" s="220"/>
      <c r="H818" s="220"/>
      <c r="I818" s="220"/>
      <c r="J818" s="220"/>
      <c r="K818" s="220"/>
      <c r="L818" s="220"/>
      <c r="M818" s="220"/>
      <c r="N818" s="220"/>
      <c r="O818" s="220"/>
      <c r="P818" s="220"/>
      <c r="Q818" s="220"/>
      <c r="R818" s="220"/>
      <c r="S818" s="220"/>
    </row>
    <row r="819" spans="1:19" x14ac:dyDescent="0.25">
      <c r="A819" s="220"/>
      <c r="B819" s="220"/>
      <c r="C819" s="220"/>
      <c r="D819" s="220"/>
      <c r="E819" s="220"/>
      <c r="F819" s="220"/>
      <c r="G819" s="220"/>
      <c r="H819" s="220"/>
      <c r="I819" s="220"/>
      <c r="J819" s="220"/>
      <c r="K819" s="220"/>
      <c r="L819" s="220"/>
      <c r="M819" s="220"/>
      <c r="N819" s="220"/>
      <c r="O819" s="220"/>
      <c r="P819" s="220"/>
      <c r="Q819" s="220"/>
      <c r="R819" s="220"/>
      <c r="S819" s="220"/>
    </row>
    <row r="820" spans="1:19" x14ac:dyDescent="0.25">
      <c r="A820" s="220"/>
      <c r="B820" s="220"/>
      <c r="C820" s="220"/>
      <c r="D820" s="220"/>
      <c r="E820" s="220"/>
      <c r="F820" s="220"/>
      <c r="G820" s="220"/>
      <c r="H820" s="220"/>
      <c r="I820" s="220"/>
      <c r="J820" s="220"/>
      <c r="K820" s="220"/>
      <c r="L820" s="220"/>
      <c r="M820" s="220"/>
      <c r="N820" s="220"/>
      <c r="O820" s="220"/>
      <c r="P820" s="220"/>
      <c r="Q820" s="220"/>
      <c r="R820" s="220"/>
      <c r="S820" s="220"/>
    </row>
    <row r="821" spans="1:19" x14ac:dyDescent="0.25">
      <c r="A821" s="220"/>
      <c r="B821" s="220"/>
      <c r="C821" s="220"/>
      <c r="D821" s="220"/>
      <c r="E821" s="220"/>
      <c r="F821" s="220"/>
      <c r="G821" s="220"/>
      <c r="H821" s="220"/>
      <c r="I821" s="220"/>
      <c r="J821" s="220"/>
      <c r="K821" s="220"/>
      <c r="L821" s="220"/>
      <c r="M821" s="220"/>
      <c r="N821" s="220"/>
      <c r="O821" s="220"/>
      <c r="P821" s="220"/>
      <c r="Q821" s="220"/>
      <c r="R821" s="220"/>
      <c r="S821" s="220"/>
    </row>
    <row r="822" spans="1:19" x14ac:dyDescent="0.25">
      <c r="A822" s="220"/>
      <c r="B822" s="220"/>
      <c r="C822" s="220"/>
      <c r="D822" s="220"/>
      <c r="E822" s="220"/>
      <c r="F822" s="220"/>
      <c r="G822" s="220"/>
      <c r="H822" s="220"/>
      <c r="I822" s="220"/>
      <c r="J822" s="220"/>
      <c r="K822" s="220"/>
      <c r="L822" s="220"/>
      <c r="M822" s="220"/>
      <c r="N822" s="220"/>
      <c r="O822" s="220"/>
      <c r="P822" s="220"/>
      <c r="Q822" s="220"/>
      <c r="R822" s="220"/>
      <c r="S822" s="220"/>
    </row>
    <row r="823" spans="1:19" x14ac:dyDescent="0.25">
      <c r="A823" s="220"/>
      <c r="B823" s="220"/>
      <c r="C823" s="220"/>
      <c r="D823" s="220"/>
      <c r="E823" s="220"/>
      <c r="F823" s="220"/>
      <c r="G823" s="220"/>
      <c r="H823" s="220"/>
      <c r="I823" s="220"/>
      <c r="J823" s="220"/>
      <c r="K823" s="220"/>
      <c r="L823" s="220"/>
      <c r="M823" s="220"/>
      <c r="N823" s="220"/>
      <c r="O823" s="220"/>
      <c r="P823" s="220"/>
      <c r="Q823" s="220"/>
      <c r="R823" s="220"/>
      <c r="S823" s="220"/>
    </row>
    <row r="824" spans="1:19" x14ac:dyDescent="0.25">
      <c r="A824" s="220"/>
      <c r="B824" s="220"/>
      <c r="C824" s="220"/>
      <c r="D824" s="220"/>
      <c r="E824" s="220"/>
      <c r="F824" s="220"/>
      <c r="G824" s="220"/>
      <c r="H824" s="220"/>
      <c r="I824" s="220"/>
      <c r="J824" s="220"/>
      <c r="K824" s="220"/>
      <c r="L824" s="220"/>
      <c r="M824" s="220"/>
      <c r="N824" s="220"/>
      <c r="O824" s="220"/>
      <c r="P824" s="220"/>
      <c r="Q824" s="220"/>
      <c r="R824" s="220"/>
      <c r="S824" s="220"/>
    </row>
    <row r="825" spans="1:19" x14ac:dyDescent="0.25">
      <c r="A825" s="220"/>
      <c r="B825" s="220"/>
      <c r="C825" s="220"/>
      <c r="D825" s="220"/>
      <c r="E825" s="220"/>
      <c r="F825" s="220"/>
      <c r="G825" s="220"/>
      <c r="H825" s="220"/>
      <c r="I825" s="220"/>
      <c r="J825" s="220"/>
      <c r="K825" s="220"/>
      <c r="L825" s="220"/>
      <c r="M825" s="220"/>
      <c r="N825" s="220"/>
      <c r="O825" s="220"/>
      <c r="P825" s="220"/>
      <c r="Q825" s="220"/>
      <c r="R825" s="220"/>
      <c r="S825" s="220"/>
    </row>
    <row r="826" spans="1:19" x14ac:dyDescent="0.25">
      <c r="A826" s="220"/>
      <c r="B826" s="220"/>
      <c r="C826" s="220"/>
      <c r="D826" s="220"/>
      <c r="E826" s="220"/>
      <c r="F826" s="220"/>
      <c r="G826" s="220"/>
      <c r="H826" s="220"/>
      <c r="I826" s="220"/>
      <c r="J826" s="220"/>
      <c r="K826" s="220"/>
      <c r="L826" s="220"/>
      <c r="M826" s="220"/>
      <c r="N826" s="220"/>
      <c r="O826" s="220"/>
      <c r="P826" s="220"/>
      <c r="Q826" s="220"/>
      <c r="R826" s="220"/>
      <c r="S826" s="220"/>
    </row>
    <row r="827" spans="1:19" x14ac:dyDescent="0.25">
      <c r="A827" s="220"/>
      <c r="B827" s="220"/>
      <c r="C827" s="220"/>
      <c r="D827" s="220"/>
      <c r="E827" s="220"/>
      <c r="F827" s="220"/>
      <c r="G827" s="220"/>
      <c r="H827" s="220"/>
      <c r="I827" s="220"/>
      <c r="J827" s="220"/>
      <c r="K827" s="220"/>
      <c r="L827" s="220"/>
      <c r="M827" s="220"/>
      <c r="N827" s="220"/>
      <c r="O827" s="220"/>
      <c r="P827" s="220"/>
      <c r="Q827" s="220"/>
      <c r="R827" s="220"/>
      <c r="S827" s="220"/>
    </row>
    <row r="828" spans="1:19" x14ac:dyDescent="0.25">
      <c r="A828" s="220"/>
      <c r="B828" s="220"/>
      <c r="C828" s="220"/>
      <c r="D828" s="220"/>
      <c r="E828" s="220"/>
      <c r="F828" s="220"/>
      <c r="G828" s="220"/>
      <c r="H828" s="220"/>
      <c r="I828" s="220"/>
      <c r="J828" s="220"/>
      <c r="K828" s="220"/>
      <c r="L828" s="220"/>
      <c r="M828" s="220"/>
      <c r="N828" s="220"/>
      <c r="O828" s="220"/>
      <c r="P828" s="220"/>
      <c r="Q828" s="220"/>
      <c r="R828" s="220"/>
      <c r="S828" s="220"/>
    </row>
    <row r="829" spans="1:19" x14ac:dyDescent="0.25">
      <c r="A829" s="220"/>
      <c r="B829" s="220"/>
      <c r="C829" s="220"/>
      <c r="D829" s="220"/>
      <c r="E829" s="220"/>
      <c r="F829" s="220"/>
      <c r="G829" s="220"/>
      <c r="H829" s="220"/>
      <c r="I829" s="220"/>
      <c r="J829" s="220"/>
      <c r="K829" s="220"/>
      <c r="L829" s="220"/>
      <c r="M829" s="220"/>
      <c r="N829" s="220"/>
      <c r="O829" s="220"/>
      <c r="P829" s="220"/>
      <c r="Q829" s="220"/>
      <c r="R829" s="220"/>
      <c r="S829" s="220"/>
    </row>
    <row r="830" spans="1:19" x14ac:dyDescent="0.25">
      <c r="A830" s="220"/>
      <c r="B830" s="220"/>
      <c r="C830" s="220"/>
      <c r="D830" s="220"/>
      <c r="E830" s="220"/>
      <c r="F830" s="220"/>
      <c r="G830" s="220"/>
      <c r="H830" s="220"/>
      <c r="I830" s="220"/>
      <c r="J830" s="220"/>
      <c r="K830" s="220"/>
      <c r="L830" s="220"/>
      <c r="M830" s="220"/>
      <c r="N830" s="220"/>
      <c r="O830" s="220"/>
      <c r="P830" s="220"/>
      <c r="Q830" s="220"/>
      <c r="R830" s="220"/>
      <c r="S830" s="220"/>
    </row>
    <row r="831" spans="1:19" x14ac:dyDescent="0.25">
      <c r="A831" s="220"/>
      <c r="B831" s="220"/>
      <c r="C831" s="220"/>
      <c r="D831" s="220"/>
      <c r="E831" s="220"/>
      <c r="F831" s="220"/>
      <c r="G831" s="220"/>
      <c r="H831" s="220"/>
      <c r="I831" s="220"/>
      <c r="J831" s="220"/>
      <c r="K831" s="220"/>
      <c r="L831" s="220"/>
      <c r="M831" s="220"/>
      <c r="N831" s="220"/>
      <c r="O831" s="220"/>
      <c r="P831" s="220"/>
      <c r="Q831" s="220"/>
      <c r="R831" s="220"/>
      <c r="S831" s="220"/>
    </row>
    <row r="832" spans="1:19" x14ac:dyDescent="0.25">
      <c r="A832" s="220"/>
      <c r="B832" s="220"/>
      <c r="C832" s="220"/>
      <c r="D832" s="220"/>
      <c r="E832" s="220"/>
      <c r="F832" s="220"/>
      <c r="G832" s="220"/>
      <c r="H832" s="220"/>
      <c r="I832" s="220"/>
      <c r="J832" s="220"/>
      <c r="K832" s="220"/>
      <c r="L832" s="220"/>
      <c r="M832" s="220"/>
      <c r="N832" s="220"/>
      <c r="O832" s="220"/>
      <c r="P832" s="220"/>
      <c r="Q832" s="220"/>
      <c r="R832" s="220"/>
      <c r="S832" s="220"/>
    </row>
    <row r="833" spans="1:19" x14ac:dyDescent="0.25">
      <c r="A833" s="220"/>
      <c r="B833" s="220"/>
      <c r="C833" s="220"/>
      <c r="D833" s="220"/>
      <c r="E833" s="220"/>
      <c r="F833" s="220"/>
      <c r="G833" s="220"/>
      <c r="H833" s="220"/>
      <c r="I833" s="220"/>
      <c r="J833" s="220"/>
      <c r="K833" s="220"/>
      <c r="L833" s="220"/>
      <c r="M833" s="220"/>
      <c r="N833" s="220"/>
      <c r="O833" s="220"/>
      <c r="P833" s="220"/>
      <c r="Q833" s="220"/>
      <c r="R833" s="220"/>
      <c r="S833" s="220"/>
    </row>
    <row r="834" spans="1:19" x14ac:dyDescent="0.25">
      <c r="A834" s="220"/>
      <c r="B834" s="220"/>
      <c r="C834" s="220"/>
      <c r="D834" s="220"/>
      <c r="E834" s="220"/>
      <c r="F834" s="220"/>
      <c r="G834" s="220"/>
      <c r="H834" s="220"/>
      <c r="I834" s="220"/>
      <c r="J834" s="220"/>
      <c r="K834" s="220"/>
      <c r="L834" s="220"/>
      <c r="M834" s="220"/>
      <c r="N834" s="220"/>
      <c r="O834" s="220"/>
      <c r="P834" s="220"/>
      <c r="Q834" s="220"/>
      <c r="R834" s="220"/>
      <c r="S834" s="220"/>
    </row>
    <row r="835" spans="1:19" x14ac:dyDescent="0.25">
      <c r="A835" s="220"/>
      <c r="B835" s="220"/>
      <c r="C835" s="220"/>
      <c r="D835" s="220"/>
      <c r="E835" s="220"/>
      <c r="F835" s="220"/>
      <c r="G835" s="220"/>
      <c r="H835" s="220"/>
      <c r="I835" s="220"/>
      <c r="J835" s="220"/>
      <c r="K835" s="220"/>
      <c r="L835" s="220"/>
      <c r="M835" s="220"/>
      <c r="N835" s="220"/>
      <c r="O835" s="220"/>
      <c r="P835" s="220"/>
      <c r="Q835" s="220"/>
      <c r="R835" s="220"/>
      <c r="S835" s="220"/>
    </row>
    <row r="836" spans="1:19" x14ac:dyDescent="0.25">
      <c r="A836" s="220"/>
      <c r="B836" s="220"/>
      <c r="C836" s="220"/>
      <c r="D836" s="220"/>
      <c r="E836" s="220"/>
      <c r="F836" s="220"/>
      <c r="G836" s="220"/>
      <c r="H836" s="220"/>
      <c r="I836" s="220"/>
      <c r="J836" s="220"/>
      <c r="K836" s="220"/>
      <c r="L836" s="220"/>
      <c r="M836" s="220"/>
      <c r="N836" s="220"/>
      <c r="O836" s="220"/>
      <c r="P836" s="220"/>
      <c r="Q836" s="220"/>
      <c r="R836" s="220"/>
      <c r="S836" s="220"/>
    </row>
    <row r="837" spans="1:19" x14ac:dyDescent="0.25">
      <c r="A837" s="220"/>
      <c r="B837" s="220"/>
      <c r="C837" s="220"/>
      <c r="D837" s="220"/>
      <c r="E837" s="220"/>
      <c r="F837" s="220"/>
      <c r="G837" s="220"/>
      <c r="H837" s="220"/>
      <c r="I837" s="220"/>
      <c r="J837" s="220"/>
      <c r="K837" s="220"/>
      <c r="L837" s="220"/>
      <c r="M837" s="220"/>
      <c r="N837" s="220"/>
      <c r="O837" s="220"/>
      <c r="P837" s="220"/>
      <c r="Q837" s="220"/>
      <c r="R837" s="220"/>
      <c r="S837" s="220"/>
    </row>
    <row r="838" spans="1:19" x14ac:dyDescent="0.25">
      <c r="A838" s="220"/>
      <c r="B838" s="220"/>
      <c r="C838" s="220"/>
      <c r="D838" s="220"/>
      <c r="E838" s="220"/>
      <c r="F838" s="220"/>
      <c r="G838" s="220"/>
      <c r="H838" s="220"/>
      <c r="I838" s="220"/>
      <c r="J838" s="220"/>
      <c r="K838" s="220"/>
      <c r="L838" s="220"/>
      <c r="M838" s="220"/>
      <c r="N838" s="220"/>
      <c r="O838" s="220"/>
      <c r="P838" s="220"/>
      <c r="Q838" s="220"/>
      <c r="R838" s="220"/>
      <c r="S838" s="220"/>
    </row>
    <row r="839" spans="1:19" x14ac:dyDescent="0.25">
      <c r="A839" s="220"/>
      <c r="B839" s="220"/>
      <c r="C839" s="220"/>
      <c r="D839" s="220"/>
      <c r="E839" s="220"/>
      <c r="F839" s="220"/>
      <c r="G839" s="220"/>
      <c r="H839" s="220"/>
      <c r="I839" s="220"/>
      <c r="J839" s="220"/>
      <c r="K839" s="220"/>
      <c r="L839" s="220"/>
      <c r="M839" s="220"/>
      <c r="N839" s="220"/>
      <c r="O839" s="220"/>
      <c r="P839" s="220"/>
      <c r="Q839" s="220"/>
      <c r="R839" s="220"/>
      <c r="S839" s="220"/>
    </row>
    <row r="840" spans="1:19" x14ac:dyDescent="0.25">
      <c r="A840" s="220"/>
      <c r="B840" s="220"/>
      <c r="C840" s="220"/>
      <c r="D840" s="220"/>
      <c r="E840" s="220"/>
      <c r="F840" s="220"/>
      <c r="G840" s="220"/>
      <c r="H840" s="220"/>
      <c r="I840" s="220"/>
      <c r="J840" s="220"/>
      <c r="K840" s="220"/>
      <c r="L840" s="220"/>
      <c r="M840" s="220"/>
      <c r="N840" s="220"/>
      <c r="O840" s="220"/>
      <c r="P840" s="220"/>
      <c r="Q840" s="220"/>
      <c r="R840" s="220"/>
      <c r="S840" s="220"/>
    </row>
    <row r="841" spans="1:19" x14ac:dyDescent="0.25">
      <c r="A841" s="220"/>
      <c r="B841" s="220"/>
      <c r="C841" s="220"/>
      <c r="D841" s="220"/>
      <c r="E841" s="220"/>
      <c r="F841" s="220"/>
      <c r="G841" s="220"/>
      <c r="H841" s="220"/>
      <c r="I841" s="220"/>
      <c r="J841" s="220"/>
      <c r="K841" s="220"/>
      <c r="L841" s="220"/>
      <c r="M841" s="220"/>
      <c r="N841" s="220"/>
      <c r="O841" s="220"/>
      <c r="P841" s="220"/>
      <c r="Q841" s="220"/>
      <c r="R841" s="220"/>
      <c r="S841" s="220"/>
    </row>
    <row r="842" spans="1:19" x14ac:dyDescent="0.25">
      <c r="A842" s="220"/>
      <c r="B842" s="220"/>
      <c r="C842" s="220"/>
      <c r="D842" s="220"/>
      <c r="E842" s="220"/>
      <c r="F842" s="220"/>
      <c r="G842" s="220"/>
      <c r="H842" s="220"/>
      <c r="I842" s="220"/>
      <c r="J842" s="220"/>
      <c r="K842" s="220"/>
      <c r="L842" s="220"/>
      <c r="M842" s="220"/>
      <c r="N842" s="220"/>
      <c r="O842" s="220"/>
      <c r="P842" s="220"/>
      <c r="Q842" s="220"/>
      <c r="R842" s="220"/>
      <c r="S842" s="220"/>
    </row>
    <row r="843" spans="1:19" x14ac:dyDescent="0.25">
      <c r="A843" s="220"/>
      <c r="B843" s="220"/>
      <c r="C843" s="220"/>
      <c r="D843" s="220"/>
      <c r="E843" s="220"/>
      <c r="F843" s="220"/>
      <c r="G843" s="220"/>
      <c r="H843" s="220"/>
      <c r="I843" s="220"/>
      <c r="J843" s="220"/>
      <c r="K843" s="220"/>
      <c r="L843" s="220"/>
      <c r="M843" s="220"/>
      <c r="N843" s="220"/>
      <c r="O843" s="220"/>
      <c r="P843" s="220"/>
      <c r="Q843" s="220"/>
      <c r="R843" s="220"/>
      <c r="S843" s="220"/>
    </row>
    <row r="844" spans="1:19" x14ac:dyDescent="0.25">
      <c r="A844" s="220"/>
      <c r="B844" s="220"/>
      <c r="C844" s="220"/>
      <c r="D844" s="220"/>
      <c r="E844" s="220"/>
      <c r="F844" s="220"/>
      <c r="G844" s="220"/>
      <c r="H844" s="220"/>
      <c r="I844" s="220"/>
      <c r="J844" s="220"/>
      <c r="K844" s="220"/>
      <c r="L844" s="220"/>
      <c r="M844" s="220"/>
      <c r="N844" s="220"/>
      <c r="O844" s="220"/>
      <c r="P844" s="220"/>
      <c r="Q844" s="220"/>
      <c r="R844" s="220"/>
      <c r="S844" s="220"/>
    </row>
    <row r="845" spans="1:19" x14ac:dyDescent="0.25">
      <c r="A845" s="220"/>
      <c r="B845" s="220"/>
      <c r="C845" s="220"/>
      <c r="D845" s="220"/>
      <c r="E845" s="220"/>
      <c r="F845" s="220"/>
      <c r="G845" s="220"/>
      <c r="H845" s="220"/>
      <c r="I845" s="220"/>
      <c r="J845" s="220"/>
      <c r="K845" s="220"/>
      <c r="L845" s="220"/>
      <c r="M845" s="220"/>
      <c r="N845" s="220"/>
      <c r="O845" s="220"/>
      <c r="P845" s="220"/>
      <c r="Q845" s="220"/>
      <c r="R845" s="220"/>
      <c r="S845" s="220"/>
    </row>
    <row r="846" spans="1:19" x14ac:dyDescent="0.25">
      <c r="A846" s="220"/>
      <c r="B846" s="220"/>
      <c r="C846" s="220"/>
      <c r="D846" s="220"/>
      <c r="E846" s="220"/>
      <c r="F846" s="220"/>
      <c r="G846" s="220"/>
      <c r="H846" s="220"/>
      <c r="I846" s="220"/>
      <c r="J846" s="220"/>
      <c r="K846" s="220"/>
      <c r="L846" s="220"/>
      <c r="M846" s="220"/>
      <c r="N846" s="220"/>
      <c r="O846" s="220"/>
      <c r="P846" s="220"/>
      <c r="Q846" s="220"/>
      <c r="R846" s="220"/>
      <c r="S846" s="220"/>
    </row>
    <row r="847" spans="1:19" x14ac:dyDescent="0.25">
      <c r="A847" s="220"/>
      <c r="B847" s="220"/>
      <c r="C847" s="220"/>
      <c r="D847" s="220"/>
      <c r="E847" s="220"/>
      <c r="F847" s="220"/>
      <c r="G847" s="220"/>
      <c r="H847" s="220"/>
      <c r="I847" s="220"/>
      <c r="J847" s="220"/>
      <c r="K847" s="220"/>
      <c r="L847" s="220"/>
      <c r="M847" s="220"/>
      <c r="N847" s="220"/>
      <c r="O847" s="220"/>
      <c r="P847" s="220"/>
      <c r="Q847" s="220"/>
      <c r="R847" s="220"/>
      <c r="S847" s="220"/>
    </row>
    <row r="848" spans="1:19" x14ac:dyDescent="0.25">
      <c r="A848" s="220"/>
      <c r="B848" s="220"/>
      <c r="C848" s="220"/>
      <c r="D848" s="220"/>
      <c r="E848" s="220"/>
      <c r="F848" s="220"/>
      <c r="G848" s="220"/>
      <c r="H848" s="220"/>
      <c r="I848" s="220"/>
      <c r="J848" s="220"/>
      <c r="K848" s="220"/>
      <c r="L848" s="220"/>
      <c r="M848" s="220"/>
      <c r="N848" s="220"/>
      <c r="O848" s="220"/>
      <c r="P848" s="220"/>
      <c r="Q848" s="220"/>
      <c r="R848" s="220"/>
      <c r="S848" s="220"/>
    </row>
    <row r="849" spans="1:19" x14ac:dyDescent="0.25">
      <c r="A849" s="220"/>
      <c r="B849" s="220"/>
      <c r="C849" s="220"/>
      <c r="D849" s="220"/>
      <c r="E849" s="220"/>
      <c r="F849" s="220"/>
      <c r="G849" s="220"/>
      <c r="H849" s="220"/>
      <c r="I849" s="220"/>
      <c r="J849" s="220"/>
      <c r="K849" s="220"/>
      <c r="L849" s="220"/>
      <c r="M849" s="220"/>
      <c r="N849" s="220"/>
      <c r="O849" s="220"/>
      <c r="P849" s="220"/>
      <c r="Q849" s="220"/>
      <c r="R849" s="220"/>
      <c r="S849" s="220"/>
    </row>
    <row r="850" spans="1:19" x14ac:dyDescent="0.25">
      <c r="A850" s="220"/>
      <c r="B850" s="220"/>
      <c r="C850" s="220"/>
      <c r="D850" s="220"/>
      <c r="E850" s="220"/>
      <c r="F850" s="220"/>
      <c r="G850" s="220"/>
      <c r="H850" s="220"/>
      <c r="I850" s="220"/>
      <c r="J850" s="220"/>
      <c r="K850" s="220"/>
      <c r="L850" s="220"/>
      <c r="M850" s="220"/>
      <c r="N850" s="220"/>
      <c r="O850" s="220"/>
      <c r="P850" s="220"/>
      <c r="Q850" s="220"/>
      <c r="R850" s="220"/>
      <c r="S850" s="220"/>
    </row>
    <row r="851" spans="1:19" x14ac:dyDescent="0.25">
      <c r="A851" s="220"/>
      <c r="B851" s="220"/>
      <c r="C851" s="220"/>
      <c r="D851" s="220"/>
      <c r="E851" s="220"/>
      <c r="F851" s="220"/>
      <c r="G851" s="220"/>
      <c r="H851" s="220"/>
      <c r="I851" s="220"/>
      <c r="J851" s="220"/>
      <c r="K851" s="220"/>
      <c r="L851" s="220"/>
      <c r="M851" s="220"/>
      <c r="N851" s="220"/>
      <c r="O851" s="220"/>
      <c r="P851" s="220"/>
      <c r="Q851" s="220"/>
      <c r="R851" s="220"/>
      <c r="S851" s="220"/>
    </row>
    <row r="852" spans="1:19" x14ac:dyDescent="0.25">
      <c r="A852" s="220"/>
      <c r="B852" s="220"/>
      <c r="C852" s="220"/>
      <c r="D852" s="220"/>
      <c r="E852" s="220"/>
      <c r="F852" s="220"/>
      <c r="G852" s="220"/>
      <c r="H852" s="220"/>
      <c r="I852" s="220"/>
      <c r="J852" s="220"/>
      <c r="K852" s="220"/>
      <c r="L852" s="220"/>
      <c r="M852" s="220"/>
      <c r="N852" s="220"/>
      <c r="O852" s="220"/>
      <c r="P852" s="220"/>
      <c r="Q852" s="220"/>
      <c r="R852" s="220"/>
      <c r="S852" s="220"/>
    </row>
    <row r="853" spans="1:19" x14ac:dyDescent="0.25">
      <c r="A853" s="220"/>
      <c r="B853" s="220"/>
      <c r="C853" s="220"/>
      <c r="D853" s="220"/>
      <c r="E853" s="220"/>
      <c r="F853" s="220"/>
      <c r="G853" s="220"/>
      <c r="H853" s="220"/>
      <c r="I853" s="220"/>
      <c r="J853" s="220"/>
      <c r="K853" s="220"/>
      <c r="L853" s="220"/>
      <c r="M853" s="220"/>
      <c r="N853" s="220"/>
      <c r="O853" s="220"/>
      <c r="P853" s="220"/>
      <c r="Q853" s="220"/>
      <c r="R853" s="220"/>
      <c r="S853" s="220"/>
    </row>
    <row r="854" spans="1:19" x14ac:dyDescent="0.25">
      <c r="A854" s="220"/>
      <c r="B854" s="220"/>
      <c r="C854" s="220"/>
      <c r="D854" s="220"/>
      <c r="E854" s="220"/>
      <c r="F854" s="220"/>
      <c r="G854" s="220"/>
      <c r="H854" s="220"/>
      <c r="I854" s="220"/>
      <c r="J854" s="220"/>
      <c r="K854" s="220"/>
      <c r="L854" s="220"/>
      <c r="M854" s="220"/>
      <c r="N854" s="220"/>
      <c r="O854" s="220"/>
      <c r="P854" s="220"/>
      <c r="Q854" s="220"/>
      <c r="R854" s="220"/>
      <c r="S854" s="220"/>
    </row>
    <row r="855" spans="1:19" x14ac:dyDescent="0.25">
      <c r="A855" s="220"/>
      <c r="B855" s="220"/>
      <c r="C855" s="220"/>
      <c r="D855" s="220"/>
      <c r="E855" s="220"/>
      <c r="F855" s="220"/>
      <c r="G855" s="220"/>
      <c r="H855" s="220"/>
      <c r="I855" s="220"/>
      <c r="J855" s="220"/>
      <c r="K855" s="220"/>
      <c r="L855" s="220"/>
      <c r="M855" s="220"/>
      <c r="N855" s="220"/>
      <c r="O855" s="220"/>
      <c r="P855" s="220"/>
      <c r="Q855" s="220"/>
      <c r="R855" s="220"/>
      <c r="S855" s="220"/>
    </row>
    <row r="856" spans="1:19" x14ac:dyDescent="0.25">
      <c r="A856" s="220"/>
      <c r="B856" s="220"/>
      <c r="C856" s="220"/>
      <c r="D856" s="220"/>
      <c r="E856" s="220"/>
      <c r="F856" s="220"/>
      <c r="G856" s="220"/>
      <c r="H856" s="220"/>
      <c r="I856" s="220"/>
      <c r="J856" s="220"/>
      <c r="K856" s="220"/>
      <c r="L856" s="220"/>
      <c r="M856" s="220"/>
      <c r="N856" s="220"/>
      <c r="O856" s="220"/>
      <c r="P856" s="220"/>
      <c r="Q856" s="220"/>
      <c r="R856" s="220"/>
      <c r="S856" s="220"/>
    </row>
    <row r="857" spans="1:19" x14ac:dyDescent="0.25">
      <c r="A857" s="220"/>
      <c r="B857" s="220"/>
      <c r="C857" s="220"/>
      <c r="D857" s="220"/>
      <c r="E857" s="220"/>
      <c r="F857" s="220"/>
      <c r="G857" s="220"/>
      <c r="H857" s="220"/>
      <c r="I857" s="220"/>
      <c r="J857" s="220"/>
      <c r="K857" s="220"/>
      <c r="L857" s="220"/>
      <c r="M857" s="220"/>
      <c r="N857" s="220"/>
      <c r="O857" s="220"/>
      <c r="P857" s="220"/>
      <c r="Q857" s="220"/>
      <c r="R857" s="220"/>
      <c r="S857" s="220"/>
    </row>
    <row r="858" spans="1:19" x14ac:dyDescent="0.25">
      <c r="A858" s="220"/>
      <c r="B858" s="220"/>
      <c r="C858" s="220"/>
      <c r="D858" s="220"/>
      <c r="E858" s="220"/>
      <c r="F858" s="220"/>
      <c r="G858" s="220"/>
      <c r="H858" s="220"/>
      <c r="I858" s="220"/>
      <c r="J858" s="220"/>
      <c r="K858" s="220"/>
      <c r="L858" s="220"/>
      <c r="M858" s="220"/>
      <c r="N858" s="220"/>
      <c r="O858" s="220"/>
      <c r="P858" s="220"/>
      <c r="Q858" s="220"/>
      <c r="R858" s="220"/>
      <c r="S858" s="220"/>
    </row>
    <row r="859" spans="1:19" x14ac:dyDescent="0.25">
      <c r="A859" s="220"/>
      <c r="B859" s="220"/>
      <c r="C859" s="220"/>
      <c r="D859" s="220"/>
      <c r="E859" s="220"/>
      <c r="F859" s="220"/>
      <c r="G859" s="220"/>
      <c r="H859" s="220"/>
      <c r="I859" s="220"/>
      <c r="J859" s="220"/>
      <c r="K859" s="220"/>
      <c r="L859" s="220"/>
      <c r="M859" s="220"/>
      <c r="N859" s="220"/>
      <c r="O859" s="220"/>
      <c r="P859" s="220"/>
      <c r="Q859" s="220"/>
      <c r="R859" s="220"/>
      <c r="S859" s="220"/>
    </row>
    <row r="860" spans="1:19" x14ac:dyDescent="0.25">
      <c r="A860" s="220"/>
      <c r="B860" s="220"/>
      <c r="C860" s="220"/>
      <c r="D860" s="220"/>
      <c r="E860" s="220"/>
      <c r="F860" s="220"/>
      <c r="G860" s="220"/>
      <c r="H860" s="220"/>
      <c r="I860" s="220"/>
      <c r="J860" s="220"/>
      <c r="K860" s="220"/>
      <c r="L860" s="220"/>
      <c r="M860" s="220"/>
      <c r="N860" s="220"/>
      <c r="O860" s="220"/>
      <c r="P860" s="220"/>
      <c r="Q860" s="220"/>
      <c r="R860" s="220"/>
      <c r="S860" s="220"/>
    </row>
    <row r="861" spans="1:19" x14ac:dyDescent="0.25">
      <c r="A861" s="220"/>
      <c r="B861" s="220"/>
      <c r="C861" s="220"/>
      <c r="D861" s="220"/>
      <c r="E861" s="220"/>
      <c r="F861" s="220"/>
      <c r="G861" s="220"/>
      <c r="H861" s="220"/>
      <c r="I861" s="220"/>
      <c r="J861" s="220"/>
      <c r="K861" s="220"/>
      <c r="L861" s="220"/>
      <c r="M861" s="220"/>
      <c r="N861" s="220"/>
      <c r="O861" s="220"/>
      <c r="P861" s="220"/>
      <c r="Q861" s="220"/>
      <c r="R861" s="220"/>
      <c r="S861" s="220"/>
    </row>
    <row r="862" spans="1:19" x14ac:dyDescent="0.25">
      <c r="A862" s="220"/>
      <c r="B862" s="220"/>
      <c r="C862" s="220"/>
      <c r="D862" s="220"/>
      <c r="E862" s="220"/>
      <c r="F862" s="220"/>
      <c r="G862" s="220"/>
      <c r="H862" s="220"/>
      <c r="I862" s="220"/>
      <c r="J862" s="220"/>
      <c r="K862" s="220"/>
      <c r="L862" s="220"/>
      <c r="M862" s="220"/>
      <c r="N862" s="220"/>
      <c r="O862" s="220"/>
      <c r="P862" s="220"/>
      <c r="Q862" s="220"/>
      <c r="R862" s="220"/>
      <c r="S862" s="220"/>
    </row>
    <row r="863" spans="1:19" x14ac:dyDescent="0.25">
      <c r="A863" s="220"/>
      <c r="B863" s="220"/>
      <c r="C863" s="220"/>
      <c r="D863" s="220"/>
      <c r="E863" s="220"/>
      <c r="F863" s="220"/>
      <c r="G863" s="220"/>
      <c r="H863" s="220"/>
      <c r="I863" s="220"/>
      <c r="J863" s="220"/>
      <c r="K863" s="220"/>
      <c r="L863" s="220"/>
      <c r="M863" s="220"/>
      <c r="N863" s="220"/>
      <c r="O863" s="220"/>
      <c r="P863" s="220"/>
      <c r="Q863" s="220"/>
      <c r="R863" s="220"/>
      <c r="S863" s="220"/>
    </row>
    <row r="864" spans="1:19" x14ac:dyDescent="0.25">
      <c r="A864" s="220"/>
      <c r="B864" s="220"/>
      <c r="C864" s="220"/>
      <c r="D864" s="220"/>
      <c r="E864" s="220"/>
      <c r="F864" s="220"/>
      <c r="G864" s="220"/>
      <c r="H864" s="220"/>
      <c r="I864" s="220"/>
      <c r="J864" s="220"/>
      <c r="K864" s="220"/>
      <c r="L864" s="220"/>
      <c r="M864" s="220"/>
      <c r="N864" s="220"/>
      <c r="O864" s="220"/>
      <c r="P864" s="220"/>
      <c r="Q864" s="220"/>
      <c r="R864" s="220"/>
      <c r="S864" s="220"/>
    </row>
    <row r="865" spans="1:19" x14ac:dyDescent="0.25">
      <c r="A865" s="220"/>
      <c r="B865" s="220"/>
      <c r="C865" s="220"/>
      <c r="D865" s="220"/>
      <c r="E865" s="220"/>
      <c r="F865" s="220"/>
      <c r="G865" s="220"/>
      <c r="H865" s="220"/>
      <c r="I865" s="220"/>
      <c r="J865" s="220"/>
      <c r="K865" s="220"/>
      <c r="L865" s="220"/>
      <c r="M865" s="220"/>
      <c r="N865" s="220"/>
      <c r="O865" s="220"/>
      <c r="P865" s="220"/>
      <c r="Q865" s="220"/>
      <c r="R865" s="220"/>
      <c r="S865" s="220"/>
    </row>
    <row r="866" spans="1:19" x14ac:dyDescent="0.25">
      <c r="A866" s="220"/>
      <c r="B866" s="220"/>
      <c r="C866" s="220"/>
      <c r="D866" s="220"/>
      <c r="E866" s="220"/>
      <c r="F866" s="220"/>
      <c r="G866" s="220"/>
      <c r="H866" s="220"/>
      <c r="I866" s="220"/>
      <c r="J866" s="220"/>
      <c r="K866" s="220"/>
      <c r="L866" s="220"/>
      <c r="M866" s="220"/>
      <c r="N866" s="220"/>
      <c r="O866" s="220"/>
      <c r="P866" s="220"/>
      <c r="Q866" s="220"/>
      <c r="R866" s="220"/>
      <c r="S866" s="220"/>
    </row>
    <row r="867" spans="1:19" x14ac:dyDescent="0.25">
      <c r="A867" s="220"/>
      <c r="B867" s="220"/>
      <c r="C867" s="220"/>
      <c r="D867" s="220"/>
      <c r="E867" s="220"/>
      <c r="F867" s="220"/>
      <c r="G867" s="220"/>
      <c r="H867" s="220"/>
      <c r="I867" s="220"/>
      <c r="J867" s="220"/>
      <c r="K867" s="220"/>
      <c r="L867" s="220"/>
      <c r="M867" s="220"/>
      <c r="N867" s="220"/>
      <c r="O867" s="220"/>
      <c r="P867" s="220"/>
      <c r="Q867" s="220"/>
      <c r="R867" s="220"/>
      <c r="S867" s="220"/>
    </row>
    <row r="868" spans="1:19" x14ac:dyDescent="0.25">
      <c r="A868" s="220"/>
      <c r="B868" s="220"/>
      <c r="C868" s="220"/>
      <c r="D868" s="220"/>
      <c r="E868" s="220"/>
      <c r="F868" s="220"/>
      <c r="G868" s="220"/>
      <c r="H868" s="220"/>
      <c r="I868" s="220"/>
      <c r="J868" s="220"/>
      <c r="K868" s="220"/>
      <c r="L868" s="220"/>
      <c r="M868" s="220"/>
      <c r="N868" s="220"/>
      <c r="O868" s="220"/>
      <c r="P868" s="220"/>
      <c r="Q868" s="220"/>
      <c r="R868" s="220"/>
      <c r="S868" s="220"/>
    </row>
    <row r="869" spans="1:19" x14ac:dyDescent="0.25">
      <c r="A869" s="220"/>
      <c r="B869" s="220"/>
      <c r="C869" s="220"/>
      <c r="D869" s="220"/>
      <c r="E869" s="220"/>
      <c r="F869" s="220"/>
      <c r="G869" s="220"/>
      <c r="H869" s="220"/>
      <c r="I869" s="220"/>
      <c r="J869" s="220"/>
      <c r="K869" s="220"/>
      <c r="L869" s="220"/>
      <c r="M869" s="220"/>
      <c r="N869" s="220"/>
      <c r="O869" s="220"/>
      <c r="P869" s="220"/>
      <c r="Q869" s="220"/>
      <c r="R869" s="220"/>
      <c r="S869" s="220"/>
    </row>
    <row r="870" spans="1:19" x14ac:dyDescent="0.25">
      <c r="A870" s="220"/>
      <c r="B870" s="220"/>
      <c r="C870" s="220"/>
      <c r="D870" s="220"/>
      <c r="E870" s="220"/>
      <c r="F870" s="220"/>
      <c r="G870" s="220"/>
      <c r="H870" s="220"/>
      <c r="I870" s="220"/>
      <c r="J870" s="220"/>
      <c r="K870" s="220"/>
      <c r="L870" s="220"/>
      <c r="M870" s="220"/>
      <c r="N870" s="220"/>
      <c r="O870" s="220"/>
      <c r="P870" s="220"/>
      <c r="Q870" s="220"/>
      <c r="R870" s="220"/>
      <c r="S870" s="220"/>
    </row>
    <row r="871" spans="1:19" x14ac:dyDescent="0.25">
      <c r="A871" s="220"/>
      <c r="B871" s="220"/>
      <c r="C871" s="220"/>
      <c r="D871" s="220"/>
      <c r="E871" s="220"/>
      <c r="F871" s="220"/>
      <c r="G871" s="220"/>
      <c r="H871" s="220"/>
      <c r="I871" s="220"/>
      <c r="J871" s="220"/>
      <c r="K871" s="220"/>
      <c r="L871" s="220"/>
      <c r="M871" s="220"/>
      <c r="N871" s="220"/>
      <c r="O871" s="220"/>
      <c r="P871" s="220"/>
      <c r="Q871" s="220"/>
      <c r="R871" s="220"/>
      <c r="S871" s="220"/>
    </row>
    <row r="872" spans="1:19" x14ac:dyDescent="0.25">
      <c r="A872" s="220"/>
      <c r="B872" s="220"/>
      <c r="C872" s="220"/>
      <c r="D872" s="220"/>
      <c r="E872" s="220"/>
      <c r="F872" s="220"/>
      <c r="G872" s="220"/>
      <c r="H872" s="220"/>
      <c r="I872" s="220"/>
      <c r="J872" s="220"/>
      <c r="K872" s="220"/>
      <c r="L872" s="220"/>
      <c r="M872" s="220"/>
      <c r="N872" s="220"/>
      <c r="O872" s="220"/>
      <c r="P872" s="220"/>
      <c r="Q872" s="220"/>
      <c r="R872" s="220"/>
      <c r="S872" s="220"/>
    </row>
    <row r="873" spans="1:19" x14ac:dyDescent="0.25">
      <c r="A873" s="220"/>
      <c r="B873" s="220"/>
      <c r="C873" s="220"/>
      <c r="D873" s="220"/>
      <c r="E873" s="220"/>
      <c r="F873" s="220"/>
      <c r="G873" s="220"/>
      <c r="H873" s="220"/>
      <c r="I873" s="220"/>
      <c r="J873" s="220"/>
      <c r="K873" s="220"/>
      <c r="L873" s="220"/>
      <c r="M873" s="220"/>
      <c r="N873" s="220"/>
      <c r="O873" s="220"/>
      <c r="P873" s="220"/>
      <c r="Q873" s="220"/>
      <c r="R873" s="220"/>
      <c r="S873" s="220"/>
    </row>
    <row r="874" spans="1:19" x14ac:dyDescent="0.25">
      <c r="A874" s="220"/>
      <c r="B874" s="220"/>
      <c r="C874" s="220"/>
      <c r="D874" s="220"/>
      <c r="E874" s="220"/>
      <c r="F874" s="220"/>
      <c r="G874" s="220"/>
      <c r="H874" s="220"/>
      <c r="I874" s="220"/>
      <c r="J874" s="220"/>
      <c r="K874" s="220"/>
      <c r="L874" s="220"/>
      <c r="M874" s="220"/>
      <c r="N874" s="220"/>
      <c r="O874" s="220"/>
      <c r="P874" s="220"/>
      <c r="Q874" s="220"/>
      <c r="R874" s="220"/>
      <c r="S874" s="220"/>
    </row>
    <row r="875" spans="1:19" x14ac:dyDescent="0.25">
      <c r="A875" s="220"/>
      <c r="B875" s="220"/>
      <c r="C875" s="220"/>
      <c r="D875" s="220"/>
      <c r="E875" s="220"/>
      <c r="F875" s="220"/>
      <c r="G875" s="220"/>
      <c r="H875" s="220"/>
      <c r="I875" s="220"/>
      <c r="J875" s="220"/>
      <c r="K875" s="220"/>
      <c r="L875" s="220"/>
      <c r="M875" s="220"/>
      <c r="N875" s="220"/>
      <c r="O875" s="220"/>
      <c r="P875" s="220"/>
      <c r="Q875" s="220"/>
      <c r="R875" s="220"/>
      <c r="S875" s="220"/>
    </row>
    <row r="876" spans="1:19" x14ac:dyDescent="0.25">
      <c r="A876" s="220"/>
      <c r="B876" s="220"/>
      <c r="C876" s="220"/>
      <c r="D876" s="220"/>
      <c r="E876" s="220"/>
      <c r="F876" s="220"/>
      <c r="G876" s="220"/>
      <c r="H876" s="220"/>
      <c r="I876" s="220"/>
      <c r="J876" s="220"/>
      <c r="K876" s="220"/>
      <c r="L876" s="220"/>
      <c r="M876" s="220"/>
      <c r="N876" s="220"/>
      <c r="O876" s="220"/>
      <c r="P876" s="220"/>
      <c r="Q876" s="220"/>
      <c r="R876" s="220"/>
      <c r="S876" s="220"/>
    </row>
    <row r="877" spans="1:19" x14ac:dyDescent="0.25">
      <c r="A877" s="220"/>
      <c r="B877" s="220"/>
      <c r="C877" s="220"/>
      <c r="D877" s="220"/>
      <c r="E877" s="220"/>
      <c r="F877" s="220"/>
      <c r="G877" s="220"/>
      <c r="H877" s="220"/>
      <c r="I877" s="220"/>
      <c r="J877" s="220"/>
      <c r="K877" s="220"/>
      <c r="L877" s="220"/>
      <c r="M877" s="220"/>
      <c r="N877" s="220"/>
      <c r="O877" s="220"/>
      <c r="P877" s="220"/>
      <c r="Q877" s="220"/>
      <c r="R877" s="220"/>
      <c r="S877" s="220"/>
    </row>
    <row r="878" spans="1:19" x14ac:dyDescent="0.25">
      <c r="A878" s="220"/>
      <c r="B878" s="220"/>
      <c r="C878" s="220"/>
      <c r="D878" s="220"/>
      <c r="E878" s="220"/>
      <c r="F878" s="220"/>
      <c r="G878" s="220"/>
      <c r="H878" s="220"/>
      <c r="I878" s="220"/>
      <c r="J878" s="220"/>
      <c r="K878" s="220"/>
      <c r="L878" s="220"/>
      <c r="M878" s="220"/>
      <c r="N878" s="220"/>
      <c r="O878" s="220"/>
      <c r="P878" s="220"/>
      <c r="Q878" s="220"/>
      <c r="R878" s="220"/>
      <c r="S878" s="220"/>
    </row>
    <row r="879" spans="1:19" x14ac:dyDescent="0.25">
      <c r="A879" s="220"/>
      <c r="B879" s="220"/>
      <c r="C879" s="220"/>
      <c r="D879" s="220"/>
      <c r="E879" s="220"/>
      <c r="F879" s="220"/>
      <c r="G879" s="220"/>
      <c r="H879" s="220"/>
      <c r="I879" s="220"/>
      <c r="J879" s="220"/>
      <c r="K879" s="220"/>
      <c r="L879" s="220"/>
      <c r="M879" s="220"/>
      <c r="N879" s="220"/>
      <c r="O879" s="220"/>
      <c r="P879" s="220"/>
      <c r="Q879" s="220"/>
      <c r="R879" s="220"/>
      <c r="S879" s="220"/>
    </row>
    <row r="880" spans="1:19" x14ac:dyDescent="0.25">
      <c r="A880" s="220"/>
      <c r="B880" s="220"/>
      <c r="C880" s="220"/>
      <c r="D880" s="220"/>
      <c r="E880" s="220"/>
      <c r="F880" s="220"/>
      <c r="G880" s="220"/>
      <c r="H880" s="220"/>
      <c r="I880" s="220"/>
      <c r="J880" s="220"/>
      <c r="K880" s="220"/>
      <c r="L880" s="220"/>
      <c r="M880" s="220"/>
      <c r="N880" s="220"/>
      <c r="O880" s="220"/>
      <c r="P880" s="220"/>
      <c r="Q880" s="220"/>
      <c r="R880" s="220"/>
      <c r="S880" s="220"/>
    </row>
    <row r="881" spans="1:19" x14ac:dyDescent="0.25">
      <c r="A881" s="220"/>
      <c r="B881" s="220"/>
      <c r="C881" s="220"/>
      <c r="D881" s="220"/>
      <c r="E881" s="220"/>
      <c r="F881" s="220"/>
      <c r="G881" s="220"/>
      <c r="H881" s="220"/>
      <c r="I881" s="220"/>
      <c r="J881" s="220"/>
      <c r="K881" s="220"/>
      <c r="L881" s="220"/>
      <c r="M881" s="220"/>
      <c r="N881" s="220"/>
      <c r="O881" s="220"/>
      <c r="P881" s="220"/>
      <c r="Q881" s="220"/>
      <c r="R881" s="220"/>
      <c r="S881" s="220"/>
    </row>
    <row r="882" spans="1:19" x14ac:dyDescent="0.25">
      <c r="A882" s="220"/>
      <c r="B882" s="220"/>
      <c r="C882" s="220"/>
      <c r="D882" s="220"/>
      <c r="E882" s="220"/>
      <c r="F882" s="220"/>
      <c r="G882" s="220"/>
      <c r="H882" s="220"/>
      <c r="I882" s="220"/>
      <c r="J882" s="220"/>
      <c r="K882" s="220"/>
      <c r="L882" s="220"/>
      <c r="M882" s="220"/>
      <c r="N882" s="220"/>
      <c r="O882" s="220"/>
      <c r="P882" s="220"/>
      <c r="Q882" s="220"/>
      <c r="R882" s="220"/>
      <c r="S882" s="220"/>
    </row>
    <row r="883" spans="1:19" x14ac:dyDescent="0.25">
      <c r="A883" s="220"/>
      <c r="B883" s="220"/>
      <c r="C883" s="220"/>
      <c r="D883" s="220"/>
      <c r="E883" s="220"/>
      <c r="F883" s="220"/>
      <c r="G883" s="220"/>
      <c r="H883" s="220"/>
      <c r="I883" s="220"/>
      <c r="J883" s="220"/>
      <c r="K883" s="220"/>
      <c r="L883" s="220"/>
      <c r="M883" s="220"/>
      <c r="N883" s="220"/>
      <c r="O883" s="220"/>
      <c r="P883" s="220"/>
      <c r="Q883" s="220"/>
      <c r="R883" s="220"/>
      <c r="S883" s="220"/>
    </row>
    <row r="884" spans="1:19" x14ac:dyDescent="0.25">
      <c r="A884" s="220"/>
      <c r="B884" s="220"/>
      <c r="C884" s="220"/>
      <c r="D884" s="220"/>
      <c r="E884" s="220"/>
      <c r="F884" s="220"/>
      <c r="G884" s="220"/>
      <c r="H884" s="220"/>
      <c r="I884" s="220"/>
      <c r="J884" s="220"/>
      <c r="K884" s="220"/>
      <c r="L884" s="220"/>
      <c r="M884" s="220"/>
      <c r="N884" s="220"/>
      <c r="O884" s="220"/>
      <c r="P884" s="220"/>
      <c r="Q884" s="220"/>
      <c r="R884" s="220"/>
      <c r="S884" s="220"/>
    </row>
    <row r="885" spans="1:19" x14ac:dyDescent="0.25">
      <c r="A885" s="220"/>
      <c r="B885" s="220"/>
      <c r="C885" s="220"/>
      <c r="D885" s="220"/>
      <c r="E885" s="220"/>
      <c r="F885" s="220"/>
      <c r="G885" s="220"/>
      <c r="H885" s="220"/>
      <c r="I885" s="220"/>
      <c r="J885" s="220"/>
      <c r="K885" s="220"/>
      <c r="L885" s="220"/>
      <c r="M885" s="220"/>
      <c r="N885" s="220"/>
      <c r="O885" s="220"/>
      <c r="P885" s="220"/>
      <c r="Q885" s="220"/>
      <c r="R885" s="220"/>
      <c r="S885" s="220"/>
    </row>
    <row r="886" spans="1:19" x14ac:dyDescent="0.25">
      <c r="A886" s="220"/>
      <c r="B886" s="220"/>
      <c r="C886" s="220"/>
      <c r="D886" s="220"/>
      <c r="E886" s="220"/>
      <c r="F886" s="220"/>
      <c r="G886" s="220"/>
      <c r="H886" s="220"/>
      <c r="I886" s="220"/>
      <c r="J886" s="220"/>
      <c r="K886" s="220"/>
      <c r="L886" s="220"/>
      <c r="M886" s="220"/>
      <c r="N886" s="220"/>
      <c r="O886" s="220"/>
      <c r="P886" s="220"/>
      <c r="Q886" s="220"/>
      <c r="R886" s="220"/>
      <c r="S886" s="220"/>
    </row>
    <row r="887" spans="1:19" x14ac:dyDescent="0.25">
      <c r="A887" s="220"/>
      <c r="B887" s="220"/>
      <c r="C887" s="220"/>
      <c r="D887" s="220"/>
      <c r="E887" s="220"/>
      <c r="F887" s="220"/>
      <c r="G887" s="220"/>
      <c r="H887" s="220"/>
      <c r="I887" s="220"/>
      <c r="J887" s="220"/>
      <c r="K887" s="220"/>
      <c r="L887" s="220"/>
      <c r="M887" s="220"/>
      <c r="N887" s="220"/>
      <c r="O887" s="220"/>
      <c r="P887" s="220"/>
      <c r="Q887" s="220"/>
      <c r="R887" s="220"/>
      <c r="S887" s="220"/>
    </row>
    <row r="888" spans="1:19" x14ac:dyDescent="0.25">
      <c r="A888" s="220"/>
      <c r="B888" s="220"/>
      <c r="C888" s="220"/>
      <c r="D888" s="220"/>
      <c r="E888" s="220"/>
      <c r="F888" s="220"/>
      <c r="G888" s="220"/>
      <c r="H888" s="220"/>
      <c r="I888" s="220"/>
      <c r="J888" s="220"/>
      <c r="K888" s="220"/>
      <c r="L888" s="220"/>
      <c r="M888" s="220"/>
      <c r="N888" s="220"/>
      <c r="O888" s="220"/>
      <c r="P888" s="220"/>
      <c r="Q888" s="220"/>
      <c r="R888" s="220"/>
      <c r="S888" s="220"/>
    </row>
    <row r="889" spans="1:19" x14ac:dyDescent="0.25">
      <c r="A889" s="220"/>
      <c r="B889" s="220"/>
      <c r="C889" s="220"/>
      <c r="D889" s="220"/>
      <c r="E889" s="220"/>
      <c r="F889" s="220"/>
      <c r="G889" s="220"/>
      <c r="H889" s="220"/>
      <c r="I889" s="220"/>
      <c r="J889" s="220"/>
      <c r="K889" s="220"/>
      <c r="L889" s="220"/>
      <c r="M889" s="220"/>
      <c r="N889" s="220"/>
      <c r="O889" s="220"/>
      <c r="P889" s="220"/>
      <c r="Q889" s="220"/>
      <c r="R889" s="220"/>
      <c r="S889" s="220"/>
    </row>
    <row r="890" spans="1:19" x14ac:dyDescent="0.25">
      <c r="A890" s="220"/>
      <c r="B890" s="220"/>
      <c r="C890" s="220"/>
      <c r="D890" s="220"/>
      <c r="E890" s="220"/>
      <c r="F890" s="220"/>
      <c r="G890" s="220"/>
      <c r="H890" s="220"/>
      <c r="I890" s="220"/>
      <c r="J890" s="220"/>
      <c r="K890" s="220"/>
      <c r="L890" s="220"/>
      <c r="M890" s="220"/>
      <c r="N890" s="220"/>
      <c r="O890" s="220"/>
      <c r="P890" s="220"/>
      <c r="Q890" s="220"/>
      <c r="R890" s="220"/>
      <c r="S890" s="220"/>
    </row>
    <row r="891" spans="1:19" x14ac:dyDescent="0.25">
      <c r="A891" s="220"/>
      <c r="B891" s="220"/>
      <c r="C891" s="220"/>
      <c r="D891" s="220"/>
      <c r="E891" s="220"/>
      <c r="F891" s="220"/>
      <c r="G891" s="220"/>
      <c r="H891" s="220"/>
      <c r="I891" s="220"/>
      <c r="J891" s="220"/>
      <c r="K891" s="220"/>
      <c r="L891" s="220"/>
      <c r="M891" s="220"/>
      <c r="N891" s="220"/>
      <c r="O891" s="220"/>
      <c r="P891" s="220"/>
      <c r="Q891" s="220"/>
      <c r="R891" s="220"/>
      <c r="S891" s="220"/>
    </row>
    <row r="892" spans="1:19" x14ac:dyDescent="0.25">
      <c r="A892" s="220"/>
      <c r="B892" s="220"/>
      <c r="C892" s="220"/>
      <c r="D892" s="220"/>
      <c r="E892" s="220"/>
      <c r="F892" s="220"/>
      <c r="G892" s="220"/>
      <c r="H892" s="220"/>
      <c r="I892" s="220"/>
      <c r="J892" s="220"/>
      <c r="K892" s="220"/>
      <c r="L892" s="220"/>
      <c r="M892" s="220"/>
      <c r="N892" s="220"/>
      <c r="O892" s="220"/>
      <c r="P892" s="220"/>
      <c r="Q892" s="220"/>
      <c r="R892" s="220"/>
      <c r="S892" s="220"/>
    </row>
    <row r="893" spans="1:19" x14ac:dyDescent="0.25">
      <c r="A893" s="220"/>
      <c r="B893" s="220"/>
      <c r="C893" s="220"/>
      <c r="D893" s="220"/>
      <c r="E893" s="220"/>
      <c r="F893" s="220"/>
      <c r="G893" s="220"/>
      <c r="H893" s="220"/>
      <c r="I893" s="220"/>
      <c r="J893" s="220"/>
      <c r="K893" s="220"/>
      <c r="L893" s="220"/>
      <c r="M893" s="220"/>
      <c r="N893" s="220"/>
      <c r="O893" s="220"/>
      <c r="P893" s="220"/>
      <c r="Q893" s="220"/>
      <c r="R893" s="220"/>
      <c r="S893" s="220"/>
    </row>
    <row r="894" spans="1:19" x14ac:dyDescent="0.25">
      <c r="A894" s="220"/>
      <c r="B894" s="220"/>
      <c r="C894" s="220"/>
      <c r="D894" s="220"/>
      <c r="E894" s="220"/>
      <c r="F894" s="220"/>
      <c r="G894" s="220"/>
      <c r="H894" s="220"/>
      <c r="I894" s="220"/>
      <c r="J894" s="220"/>
      <c r="K894" s="220"/>
      <c r="L894" s="220"/>
      <c r="M894" s="220"/>
      <c r="N894" s="220"/>
      <c r="O894" s="220"/>
      <c r="P894" s="220"/>
      <c r="Q894" s="220"/>
      <c r="R894" s="220"/>
      <c r="S894" s="220"/>
    </row>
    <row r="895" spans="1:19" x14ac:dyDescent="0.25">
      <c r="A895" s="220"/>
      <c r="B895" s="220"/>
      <c r="C895" s="220"/>
      <c r="D895" s="220"/>
      <c r="E895" s="220"/>
      <c r="F895" s="220"/>
      <c r="G895" s="220"/>
      <c r="H895" s="220"/>
      <c r="I895" s="220"/>
      <c r="J895" s="220"/>
      <c r="K895" s="220"/>
      <c r="L895" s="220"/>
      <c r="M895" s="220"/>
      <c r="N895" s="220"/>
      <c r="O895" s="220"/>
      <c r="P895" s="220"/>
      <c r="Q895" s="220"/>
      <c r="R895" s="220"/>
      <c r="S895" s="220"/>
    </row>
    <row r="896" spans="1:19" x14ac:dyDescent="0.25">
      <c r="A896" s="220"/>
      <c r="B896" s="220"/>
      <c r="C896" s="220"/>
      <c r="D896" s="220"/>
      <c r="E896" s="220"/>
      <c r="F896" s="220"/>
      <c r="G896" s="220"/>
      <c r="H896" s="220"/>
      <c r="I896" s="220"/>
      <c r="J896" s="220"/>
      <c r="K896" s="220"/>
      <c r="L896" s="220"/>
      <c r="M896" s="220"/>
      <c r="N896" s="220"/>
      <c r="O896" s="220"/>
      <c r="P896" s="220"/>
      <c r="Q896" s="220"/>
      <c r="R896" s="220"/>
      <c r="S896" s="220"/>
    </row>
    <row r="897" spans="1:19" x14ac:dyDescent="0.25">
      <c r="A897" s="220"/>
      <c r="B897" s="220"/>
      <c r="C897" s="220"/>
      <c r="D897" s="220"/>
      <c r="E897" s="220"/>
      <c r="F897" s="220"/>
      <c r="G897" s="220"/>
      <c r="H897" s="220"/>
      <c r="I897" s="220"/>
      <c r="J897" s="220"/>
      <c r="K897" s="220"/>
      <c r="L897" s="220"/>
      <c r="M897" s="220"/>
      <c r="N897" s="220"/>
      <c r="O897" s="220"/>
      <c r="P897" s="220"/>
      <c r="Q897" s="220"/>
      <c r="R897" s="220"/>
      <c r="S897" s="220"/>
    </row>
    <row r="898" spans="1:19" x14ac:dyDescent="0.25">
      <c r="A898" s="220"/>
      <c r="B898" s="220"/>
      <c r="C898" s="220"/>
      <c r="D898" s="220"/>
      <c r="E898" s="220"/>
      <c r="F898" s="220"/>
      <c r="G898" s="220"/>
      <c r="H898" s="220"/>
      <c r="I898" s="220"/>
      <c r="J898" s="220"/>
      <c r="K898" s="220"/>
      <c r="L898" s="220"/>
      <c r="M898" s="220"/>
      <c r="N898" s="220"/>
      <c r="O898" s="220"/>
      <c r="P898" s="220"/>
      <c r="Q898" s="220"/>
      <c r="R898" s="220"/>
      <c r="S898" s="220"/>
    </row>
    <row r="899" spans="1:19" x14ac:dyDescent="0.25">
      <c r="A899" s="220"/>
      <c r="B899" s="220"/>
      <c r="C899" s="220"/>
      <c r="D899" s="220"/>
      <c r="E899" s="220"/>
      <c r="F899" s="220"/>
      <c r="G899" s="220"/>
      <c r="H899" s="220"/>
      <c r="I899" s="220"/>
      <c r="J899" s="220"/>
      <c r="K899" s="220"/>
      <c r="L899" s="220"/>
      <c r="M899" s="220"/>
      <c r="N899" s="220"/>
      <c r="O899" s="220"/>
      <c r="P899" s="220"/>
      <c r="Q899" s="220"/>
      <c r="R899" s="220"/>
      <c r="S899" s="220"/>
    </row>
    <row r="900" spans="1:19" x14ac:dyDescent="0.25">
      <c r="A900" s="220"/>
      <c r="B900" s="220"/>
      <c r="C900" s="220"/>
      <c r="D900" s="220"/>
      <c r="E900" s="220"/>
      <c r="F900" s="220"/>
      <c r="G900" s="220"/>
      <c r="H900" s="220"/>
      <c r="I900" s="220"/>
      <c r="J900" s="220"/>
      <c r="K900" s="220"/>
      <c r="L900" s="220"/>
      <c r="M900" s="220"/>
      <c r="N900" s="220"/>
      <c r="O900" s="220"/>
      <c r="P900" s="220"/>
      <c r="Q900" s="220"/>
      <c r="R900" s="220"/>
      <c r="S900" s="220"/>
    </row>
    <row r="901" spans="1:19" x14ac:dyDescent="0.25">
      <c r="A901" s="220"/>
      <c r="B901" s="220"/>
      <c r="C901" s="220"/>
      <c r="D901" s="220"/>
      <c r="E901" s="220"/>
      <c r="F901" s="220"/>
      <c r="G901" s="220"/>
      <c r="H901" s="220"/>
      <c r="I901" s="220"/>
      <c r="J901" s="220"/>
      <c r="K901" s="220"/>
      <c r="L901" s="220"/>
      <c r="M901" s="220"/>
      <c r="N901" s="220"/>
      <c r="O901" s="220"/>
      <c r="P901" s="220"/>
      <c r="Q901" s="220"/>
      <c r="R901" s="220"/>
      <c r="S901" s="220"/>
    </row>
    <row r="902" spans="1:19" x14ac:dyDescent="0.25">
      <c r="A902" s="220"/>
      <c r="B902" s="220"/>
      <c r="C902" s="220"/>
      <c r="D902" s="220"/>
      <c r="E902" s="220"/>
      <c r="F902" s="220"/>
      <c r="G902" s="220"/>
      <c r="H902" s="220"/>
      <c r="I902" s="220"/>
      <c r="J902" s="220"/>
      <c r="K902" s="220"/>
      <c r="L902" s="220"/>
      <c r="M902" s="220"/>
      <c r="N902" s="220"/>
      <c r="O902" s="220"/>
      <c r="P902" s="220"/>
      <c r="Q902" s="220"/>
      <c r="R902" s="220"/>
      <c r="S902" s="220"/>
    </row>
    <row r="903" spans="1:19" x14ac:dyDescent="0.25">
      <c r="A903" s="220"/>
      <c r="B903" s="220"/>
      <c r="C903" s="220"/>
      <c r="D903" s="220"/>
      <c r="E903" s="220"/>
      <c r="F903" s="220"/>
      <c r="G903" s="220"/>
      <c r="H903" s="220"/>
      <c r="I903" s="220"/>
      <c r="J903" s="220"/>
      <c r="K903" s="220"/>
      <c r="L903" s="220"/>
      <c r="M903" s="220"/>
      <c r="N903" s="220"/>
      <c r="O903" s="220"/>
      <c r="P903" s="220"/>
      <c r="Q903" s="220"/>
      <c r="R903" s="220"/>
      <c r="S903" s="220"/>
    </row>
    <row r="904" spans="1:19" x14ac:dyDescent="0.25">
      <c r="A904" s="220"/>
      <c r="B904" s="220"/>
      <c r="C904" s="220"/>
      <c r="D904" s="220"/>
      <c r="E904" s="220"/>
      <c r="F904" s="220"/>
      <c r="G904" s="220"/>
      <c r="H904" s="220"/>
      <c r="I904" s="220"/>
      <c r="J904" s="220"/>
      <c r="K904" s="220"/>
      <c r="L904" s="220"/>
      <c r="M904" s="220"/>
      <c r="N904" s="220"/>
      <c r="O904" s="220"/>
      <c r="P904" s="220"/>
      <c r="Q904" s="220"/>
      <c r="R904" s="220"/>
      <c r="S904" s="220"/>
    </row>
    <row r="905" spans="1:19" x14ac:dyDescent="0.25">
      <c r="A905" s="220"/>
      <c r="B905" s="220"/>
      <c r="C905" s="220"/>
      <c r="D905" s="220"/>
      <c r="E905" s="220"/>
      <c r="F905" s="220"/>
      <c r="G905" s="220"/>
      <c r="H905" s="220"/>
      <c r="I905" s="220"/>
      <c r="J905" s="220"/>
      <c r="K905" s="220"/>
      <c r="L905" s="220"/>
      <c r="M905" s="220"/>
      <c r="N905" s="220"/>
      <c r="O905" s="220"/>
      <c r="P905" s="220"/>
      <c r="Q905" s="220"/>
      <c r="R905" s="220"/>
      <c r="S905" s="220"/>
    </row>
    <row r="906" spans="1:19" x14ac:dyDescent="0.25">
      <c r="A906" s="220"/>
      <c r="B906" s="220"/>
      <c r="C906" s="220"/>
      <c r="D906" s="220"/>
      <c r="E906" s="220"/>
      <c r="F906" s="220"/>
      <c r="G906" s="220"/>
      <c r="H906" s="220"/>
      <c r="I906" s="220"/>
      <c r="J906" s="220"/>
      <c r="K906" s="220"/>
      <c r="L906" s="220"/>
      <c r="M906" s="220"/>
      <c r="N906" s="220"/>
      <c r="O906" s="220"/>
      <c r="P906" s="220"/>
      <c r="Q906" s="220"/>
      <c r="R906" s="220"/>
      <c r="S906" s="220"/>
    </row>
    <row r="907" spans="1:19" x14ac:dyDescent="0.25">
      <c r="A907" s="220"/>
      <c r="B907" s="220"/>
      <c r="C907" s="220"/>
      <c r="D907" s="220"/>
      <c r="E907" s="220"/>
      <c r="F907" s="220"/>
      <c r="G907" s="220"/>
      <c r="H907" s="220"/>
      <c r="I907" s="220"/>
      <c r="J907" s="220"/>
      <c r="K907" s="220"/>
      <c r="L907" s="220"/>
      <c r="M907" s="220"/>
      <c r="N907" s="220"/>
      <c r="O907" s="220"/>
      <c r="P907" s="220"/>
      <c r="Q907" s="220"/>
      <c r="R907" s="220"/>
      <c r="S907" s="220"/>
    </row>
    <row r="908" spans="1:19" x14ac:dyDescent="0.25">
      <c r="A908" s="220"/>
      <c r="B908" s="220"/>
      <c r="C908" s="220"/>
      <c r="D908" s="220"/>
      <c r="E908" s="220"/>
      <c r="F908" s="220"/>
      <c r="G908" s="220"/>
      <c r="H908" s="220"/>
      <c r="I908" s="220"/>
      <c r="J908" s="220"/>
      <c r="K908" s="220"/>
      <c r="L908" s="220"/>
      <c r="M908" s="220"/>
      <c r="N908" s="220"/>
      <c r="O908" s="220"/>
      <c r="P908" s="220"/>
      <c r="Q908" s="220"/>
      <c r="R908" s="220"/>
      <c r="S908" s="220"/>
    </row>
    <row r="909" spans="1:19" x14ac:dyDescent="0.25">
      <c r="A909" s="220"/>
      <c r="B909" s="220"/>
      <c r="C909" s="220"/>
      <c r="D909" s="220"/>
      <c r="E909" s="220"/>
      <c r="F909" s="220"/>
      <c r="G909" s="220"/>
      <c r="H909" s="220"/>
      <c r="I909" s="220"/>
      <c r="J909" s="220"/>
      <c r="K909" s="220"/>
      <c r="L909" s="220"/>
      <c r="M909" s="220"/>
      <c r="N909" s="220"/>
      <c r="O909" s="220"/>
      <c r="P909" s="220"/>
      <c r="Q909" s="220"/>
      <c r="R909" s="220"/>
      <c r="S909" s="220"/>
    </row>
    <row r="910" spans="1:19" x14ac:dyDescent="0.25">
      <c r="A910" s="220"/>
      <c r="B910" s="220"/>
      <c r="C910" s="220"/>
      <c r="D910" s="220"/>
      <c r="E910" s="220"/>
      <c r="F910" s="220"/>
      <c r="G910" s="220"/>
      <c r="H910" s="220"/>
      <c r="I910" s="220"/>
      <c r="J910" s="220"/>
      <c r="K910" s="220"/>
      <c r="L910" s="220"/>
      <c r="M910" s="220"/>
      <c r="N910" s="220"/>
      <c r="O910" s="220"/>
      <c r="P910" s="220"/>
      <c r="Q910" s="220"/>
      <c r="R910" s="220"/>
      <c r="S910" s="220"/>
    </row>
    <row r="911" spans="1:19" x14ac:dyDescent="0.25">
      <c r="A911" s="220"/>
      <c r="B911" s="220"/>
      <c r="C911" s="220"/>
      <c r="D911" s="220"/>
      <c r="E911" s="220"/>
      <c r="F911" s="220"/>
      <c r="G911" s="220"/>
      <c r="H911" s="220"/>
      <c r="I911" s="220"/>
      <c r="J911" s="220"/>
      <c r="K911" s="220"/>
      <c r="L911" s="220"/>
      <c r="M911" s="220"/>
      <c r="N911" s="220"/>
      <c r="O911" s="220"/>
      <c r="P911" s="220"/>
      <c r="Q911" s="220"/>
      <c r="R911" s="220"/>
      <c r="S911" s="220"/>
    </row>
    <row r="912" spans="1:19" x14ac:dyDescent="0.25">
      <c r="A912" s="220"/>
      <c r="B912" s="220"/>
      <c r="C912" s="220"/>
      <c r="D912" s="220"/>
      <c r="E912" s="220"/>
      <c r="F912" s="220"/>
      <c r="G912" s="220"/>
      <c r="H912" s="220"/>
      <c r="I912" s="220"/>
      <c r="J912" s="220"/>
      <c r="K912" s="220"/>
      <c r="L912" s="220"/>
      <c r="M912" s="220"/>
      <c r="N912" s="220"/>
      <c r="O912" s="220"/>
      <c r="P912" s="220"/>
      <c r="Q912" s="220"/>
      <c r="R912" s="220"/>
      <c r="S912" s="220"/>
    </row>
    <row r="913" spans="1:19" x14ac:dyDescent="0.25">
      <c r="A913" s="220"/>
      <c r="B913" s="220"/>
      <c r="C913" s="220"/>
      <c r="D913" s="220"/>
      <c r="E913" s="220"/>
      <c r="F913" s="220"/>
      <c r="G913" s="220"/>
      <c r="H913" s="220"/>
      <c r="I913" s="220"/>
      <c r="J913" s="220"/>
      <c r="K913" s="220"/>
      <c r="L913" s="220"/>
      <c r="M913" s="220"/>
      <c r="N913" s="220"/>
      <c r="O913" s="220"/>
      <c r="P913" s="220"/>
      <c r="Q913" s="220"/>
      <c r="R913" s="220"/>
      <c r="S913" s="220"/>
    </row>
    <row r="914" spans="1:19" x14ac:dyDescent="0.25">
      <c r="A914" s="220"/>
      <c r="B914" s="220"/>
      <c r="C914" s="220"/>
      <c r="D914" s="220"/>
      <c r="E914" s="220"/>
      <c r="F914" s="220"/>
      <c r="G914" s="220"/>
      <c r="H914" s="220"/>
      <c r="I914" s="220"/>
      <c r="J914" s="220"/>
      <c r="K914" s="220"/>
      <c r="L914" s="220"/>
      <c r="M914" s="220"/>
      <c r="N914" s="220"/>
      <c r="O914" s="220"/>
      <c r="P914" s="220"/>
      <c r="Q914" s="220"/>
      <c r="R914" s="220"/>
      <c r="S914" s="220"/>
    </row>
    <row r="915" spans="1:19" x14ac:dyDescent="0.25">
      <c r="A915" s="220"/>
      <c r="B915" s="220"/>
      <c r="C915" s="220"/>
      <c r="D915" s="220"/>
      <c r="E915" s="220"/>
      <c r="F915" s="220"/>
      <c r="G915" s="220"/>
      <c r="H915" s="220"/>
      <c r="I915" s="220"/>
      <c r="J915" s="220"/>
      <c r="K915" s="220"/>
      <c r="L915" s="220"/>
      <c r="M915" s="220"/>
      <c r="N915" s="220"/>
      <c r="O915" s="220"/>
      <c r="P915" s="220"/>
      <c r="Q915" s="220"/>
      <c r="R915" s="220"/>
      <c r="S915" s="220"/>
    </row>
    <row r="916" spans="1:19" x14ac:dyDescent="0.25">
      <c r="A916" s="220"/>
      <c r="B916" s="220"/>
      <c r="C916" s="220"/>
      <c r="D916" s="220"/>
      <c r="E916" s="220"/>
      <c r="F916" s="220"/>
      <c r="G916" s="220"/>
      <c r="H916" s="220"/>
      <c r="I916" s="220"/>
      <c r="J916" s="220"/>
      <c r="K916" s="220"/>
      <c r="L916" s="220"/>
      <c r="M916" s="220"/>
      <c r="N916" s="220"/>
      <c r="O916" s="220"/>
      <c r="P916" s="220"/>
      <c r="Q916" s="220"/>
      <c r="R916" s="220"/>
      <c r="S916" s="220"/>
    </row>
    <row r="917" spans="1:19" x14ac:dyDescent="0.25">
      <c r="A917" s="220"/>
      <c r="B917" s="220"/>
      <c r="C917" s="220"/>
      <c r="D917" s="220"/>
      <c r="E917" s="220"/>
      <c r="F917" s="220"/>
      <c r="G917" s="220"/>
      <c r="H917" s="220"/>
      <c r="I917" s="220"/>
      <c r="J917" s="220"/>
      <c r="K917" s="220"/>
      <c r="L917" s="220"/>
      <c r="M917" s="220"/>
      <c r="N917" s="220"/>
      <c r="O917" s="220"/>
      <c r="P917" s="220"/>
      <c r="Q917" s="220"/>
      <c r="R917" s="220"/>
      <c r="S917" s="220"/>
    </row>
    <row r="918" spans="1:19" x14ac:dyDescent="0.25">
      <c r="A918" s="220"/>
      <c r="B918" s="220"/>
      <c r="C918" s="220"/>
      <c r="D918" s="220"/>
      <c r="E918" s="220"/>
      <c r="F918" s="220"/>
      <c r="G918" s="220"/>
      <c r="H918" s="220"/>
      <c r="I918" s="220"/>
      <c r="J918" s="220"/>
      <c r="K918" s="220"/>
      <c r="L918" s="220"/>
      <c r="M918" s="220"/>
      <c r="N918" s="220"/>
      <c r="O918" s="220"/>
      <c r="P918" s="220"/>
      <c r="Q918" s="220"/>
      <c r="R918" s="220"/>
      <c r="S918" s="220"/>
    </row>
    <row r="919" spans="1:19" x14ac:dyDescent="0.25">
      <c r="A919" s="220"/>
      <c r="B919" s="220"/>
      <c r="C919" s="220"/>
      <c r="D919" s="220"/>
      <c r="E919" s="220"/>
      <c r="F919" s="220"/>
      <c r="G919" s="220"/>
      <c r="H919" s="220"/>
      <c r="I919" s="220"/>
      <c r="J919" s="220"/>
      <c r="K919" s="220"/>
      <c r="L919" s="220"/>
      <c r="M919" s="220"/>
      <c r="N919" s="220"/>
      <c r="O919" s="220"/>
      <c r="P919" s="220"/>
      <c r="Q919" s="220"/>
      <c r="R919" s="220"/>
      <c r="S919" s="220"/>
    </row>
    <row r="920" spans="1:19" x14ac:dyDescent="0.25">
      <c r="A920" s="220"/>
      <c r="B920" s="220"/>
      <c r="C920" s="220"/>
      <c r="D920" s="220"/>
      <c r="E920" s="220"/>
      <c r="F920" s="220"/>
      <c r="G920" s="220"/>
      <c r="H920" s="220"/>
      <c r="I920" s="220"/>
      <c r="J920" s="220"/>
      <c r="K920" s="220"/>
      <c r="L920" s="220"/>
      <c r="M920" s="220"/>
      <c r="N920" s="220"/>
      <c r="O920" s="220"/>
      <c r="P920" s="220"/>
      <c r="Q920" s="220"/>
      <c r="R920" s="220"/>
      <c r="S920" s="220"/>
    </row>
    <row r="921" spans="1:19" x14ac:dyDescent="0.25">
      <c r="A921" s="220"/>
      <c r="B921" s="220"/>
      <c r="C921" s="220"/>
      <c r="D921" s="220"/>
      <c r="E921" s="220"/>
      <c r="F921" s="220"/>
      <c r="G921" s="220"/>
      <c r="H921" s="220"/>
      <c r="I921" s="220"/>
      <c r="J921" s="220"/>
      <c r="K921" s="220"/>
      <c r="L921" s="220"/>
      <c r="M921" s="220"/>
      <c r="N921" s="220"/>
      <c r="O921" s="220"/>
      <c r="P921" s="220"/>
      <c r="Q921" s="220"/>
      <c r="R921" s="220"/>
      <c r="S921" s="220"/>
    </row>
    <row r="922" spans="1:19" x14ac:dyDescent="0.25">
      <c r="A922" s="220"/>
      <c r="B922" s="220"/>
      <c r="C922" s="220"/>
      <c r="D922" s="220"/>
      <c r="E922" s="220"/>
      <c r="F922" s="220"/>
      <c r="G922" s="220"/>
      <c r="H922" s="220"/>
      <c r="I922" s="220"/>
      <c r="J922" s="220"/>
      <c r="K922" s="220"/>
      <c r="L922" s="220"/>
      <c r="M922" s="220"/>
      <c r="N922" s="220"/>
      <c r="O922" s="220"/>
      <c r="P922" s="220"/>
      <c r="Q922" s="220"/>
      <c r="R922" s="220"/>
      <c r="S922" s="220"/>
    </row>
    <row r="923" spans="1:19" x14ac:dyDescent="0.25">
      <c r="A923" s="220"/>
      <c r="B923" s="220"/>
      <c r="C923" s="220"/>
      <c r="D923" s="220"/>
      <c r="E923" s="220"/>
      <c r="F923" s="220"/>
      <c r="G923" s="220"/>
      <c r="H923" s="220"/>
      <c r="I923" s="220"/>
      <c r="J923" s="220"/>
      <c r="K923" s="220"/>
      <c r="L923" s="220"/>
      <c r="M923" s="220"/>
      <c r="N923" s="220"/>
      <c r="O923" s="220"/>
      <c r="P923" s="220"/>
      <c r="Q923" s="220"/>
      <c r="R923" s="220"/>
      <c r="S923" s="220"/>
    </row>
    <row r="924" spans="1:19" x14ac:dyDescent="0.25">
      <c r="A924" s="220"/>
      <c r="B924" s="220"/>
      <c r="C924" s="220"/>
      <c r="D924" s="220"/>
      <c r="E924" s="220"/>
      <c r="F924" s="220"/>
      <c r="G924" s="220"/>
      <c r="H924" s="220"/>
      <c r="I924" s="220"/>
      <c r="J924" s="220"/>
      <c r="K924" s="220"/>
      <c r="L924" s="220"/>
      <c r="M924" s="220"/>
      <c r="N924" s="220"/>
      <c r="O924" s="220"/>
      <c r="P924" s="220"/>
      <c r="Q924" s="220"/>
      <c r="R924" s="220"/>
      <c r="S924" s="220"/>
    </row>
    <row r="925" spans="1:19" x14ac:dyDescent="0.25">
      <c r="A925" s="220"/>
      <c r="B925" s="220"/>
      <c r="C925" s="220"/>
      <c r="D925" s="220"/>
      <c r="E925" s="220"/>
      <c r="F925" s="220"/>
      <c r="G925" s="220"/>
      <c r="H925" s="220"/>
      <c r="I925" s="220"/>
      <c r="J925" s="220"/>
      <c r="K925" s="220"/>
      <c r="L925" s="220"/>
      <c r="M925" s="220"/>
      <c r="N925" s="220"/>
      <c r="O925" s="220"/>
      <c r="P925" s="220"/>
      <c r="Q925" s="220"/>
      <c r="R925" s="220"/>
      <c r="S925" s="220"/>
    </row>
    <row r="926" spans="1:19" x14ac:dyDescent="0.25">
      <c r="A926" s="220"/>
      <c r="B926" s="220"/>
      <c r="C926" s="220"/>
      <c r="D926" s="220"/>
      <c r="E926" s="220"/>
      <c r="F926" s="220"/>
      <c r="G926" s="220"/>
      <c r="H926" s="220"/>
      <c r="I926" s="220"/>
      <c r="J926" s="220"/>
      <c r="K926" s="220"/>
      <c r="L926" s="220"/>
      <c r="M926" s="220"/>
      <c r="N926" s="220"/>
      <c r="O926" s="220"/>
      <c r="P926" s="220"/>
      <c r="Q926" s="220"/>
      <c r="R926" s="220"/>
      <c r="S926" s="220"/>
    </row>
    <row r="927" spans="1:19" x14ac:dyDescent="0.25">
      <c r="A927" s="220"/>
      <c r="B927" s="220"/>
      <c r="C927" s="220"/>
      <c r="D927" s="220"/>
      <c r="E927" s="220"/>
      <c r="F927" s="220"/>
      <c r="G927" s="220"/>
      <c r="H927" s="220"/>
      <c r="I927" s="220"/>
      <c r="J927" s="220"/>
      <c r="K927" s="220"/>
      <c r="L927" s="220"/>
      <c r="M927" s="220"/>
      <c r="N927" s="220"/>
      <c r="O927" s="220"/>
      <c r="P927" s="220"/>
      <c r="Q927" s="220"/>
      <c r="R927" s="220"/>
      <c r="S927" s="220"/>
    </row>
    <row r="928" spans="1:19" x14ac:dyDescent="0.25">
      <c r="A928" s="220"/>
      <c r="B928" s="220"/>
      <c r="C928" s="220"/>
      <c r="D928" s="220"/>
      <c r="E928" s="220"/>
      <c r="F928" s="220"/>
      <c r="G928" s="220"/>
      <c r="H928" s="220"/>
      <c r="I928" s="220"/>
      <c r="J928" s="220"/>
      <c r="K928" s="220"/>
      <c r="L928" s="220"/>
      <c r="M928" s="220"/>
      <c r="N928" s="220"/>
      <c r="O928" s="220"/>
      <c r="P928" s="220"/>
      <c r="Q928" s="220"/>
      <c r="R928" s="220"/>
      <c r="S928" s="220"/>
    </row>
    <row r="929" spans="1:19" x14ac:dyDescent="0.25">
      <c r="A929" s="220"/>
      <c r="B929" s="220"/>
      <c r="C929" s="220"/>
      <c r="D929" s="220"/>
      <c r="E929" s="220"/>
      <c r="F929" s="220"/>
      <c r="G929" s="220"/>
      <c r="H929" s="220"/>
      <c r="I929" s="220"/>
      <c r="J929" s="220"/>
      <c r="K929" s="220"/>
      <c r="L929" s="220"/>
      <c r="M929" s="220"/>
      <c r="N929" s="220"/>
      <c r="O929" s="220"/>
      <c r="P929" s="220"/>
      <c r="Q929" s="220"/>
      <c r="R929" s="220"/>
      <c r="S929" s="220"/>
    </row>
    <row r="930" spans="1:19" x14ac:dyDescent="0.25">
      <c r="A930" s="220"/>
      <c r="B930" s="220"/>
      <c r="C930" s="220"/>
      <c r="D930" s="220"/>
      <c r="E930" s="220"/>
      <c r="F930" s="220"/>
      <c r="G930" s="220"/>
      <c r="H930" s="220"/>
      <c r="I930" s="220"/>
      <c r="J930" s="220"/>
      <c r="K930" s="220"/>
      <c r="L930" s="220"/>
      <c r="M930" s="220"/>
      <c r="N930" s="220"/>
      <c r="O930" s="220"/>
      <c r="P930" s="220"/>
      <c r="Q930" s="220"/>
      <c r="R930" s="220"/>
      <c r="S930" s="220"/>
    </row>
    <row r="931" spans="1:19" x14ac:dyDescent="0.25">
      <c r="A931" s="220"/>
      <c r="B931" s="220"/>
      <c r="C931" s="220"/>
      <c r="D931" s="220"/>
      <c r="E931" s="220"/>
      <c r="F931" s="220"/>
      <c r="G931" s="220"/>
      <c r="H931" s="220"/>
      <c r="I931" s="220"/>
      <c r="J931" s="220"/>
      <c r="K931" s="220"/>
      <c r="L931" s="220"/>
      <c r="M931" s="220"/>
      <c r="N931" s="220"/>
      <c r="O931" s="220"/>
      <c r="P931" s="220"/>
      <c r="Q931" s="220"/>
      <c r="R931" s="220"/>
      <c r="S931" s="220"/>
    </row>
    <row r="932" spans="1:19" x14ac:dyDescent="0.25">
      <c r="A932" s="220"/>
      <c r="B932" s="220"/>
      <c r="C932" s="220"/>
      <c r="D932" s="220"/>
      <c r="E932" s="220"/>
      <c r="F932" s="220"/>
      <c r="G932" s="220"/>
      <c r="H932" s="220"/>
      <c r="I932" s="220"/>
      <c r="J932" s="220"/>
      <c r="K932" s="220"/>
      <c r="L932" s="220"/>
      <c r="M932" s="220"/>
      <c r="N932" s="220"/>
      <c r="O932" s="220"/>
      <c r="P932" s="220"/>
      <c r="Q932" s="220"/>
      <c r="R932" s="220"/>
      <c r="S932" s="220"/>
    </row>
    <row r="933" spans="1:19" x14ac:dyDescent="0.25">
      <c r="A933" s="220"/>
      <c r="B933" s="220"/>
      <c r="C933" s="220"/>
      <c r="D933" s="220"/>
      <c r="E933" s="220"/>
      <c r="F933" s="220"/>
      <c r="G933" s="220"/>
      <c r="H933" s="220"/>
      <c r="I933" s="220"/>
      <c r="J933" s="220"/>
      <c r="K933" s="220"/>
      <c r="L933" s="220"/>
      <c r="M933" s="220"/>
      <c r="N933" s="220"/>
      <c r="O933" s="220"/>
      <c r="P933" s="220"/>
      <c r="Q933" s="220"/>
      <c r="R933" s="220"/>
      <c r="S933" s="220"/>
    </row>
    <row r="934" spans="1:19" x14ac:dyDescent="0.25">
      <c r="A934" s="220"/>
      <c r="B934" s="220"/>
      <c r="C934" s="220"/>
      <c r="D934" s="220"/>
      <c r="E934" s="220"/>
      <c r="F934" s="220"/>
      <c r="G934" s="220"/>
      <c r="H934" s="220"/>
      <c r="I934" s="220"/>
      <c r="J934" s="220"/>
      <c r="K934" s="220"/>
      <c r="L934" s="220"/>
      <c r="M934" s="220"/>
      <c r="N934" s="220"/>
      <c r="O934" s="220"/>
      <c r="P934" s="220"/>
      <c r="Q934" s="220"/>
      <c r="R934" s="220"/>
      <c r="S934" s="220"/>
    </row>
    <row r="935" spans="1:19" x14ac:dyDescent="0.25">
      <c r="A935" s="220"/>
      <c r="B935" s="220"/>
      <c r="C935" s="220"/>
      <c r="D935" s="220"/>
      <c r="E935" s="220"/>
      <c r="F935" s="220"/>
      <c r="G935" s="220"/>
      <c r="H935" s="220"/>
      <c r="I935" s="220"/>
      <c r="J935" s="220"/>
      <c r="K935" s="220"/>
      <c r="L935" s="220"/>
      <c r="M935" s="220"/>
      <c r="N935" s="220"/>
      <c r="O935" s="220"/>
      <c r="P935" s="220"/>
      <c r="Q935" s="220"/>
      <c r="R935" s="220"/>
      <c r="S935" s="220"/>
    </row>
    <row r="936" spans="1:19" x14ac:dyDescent="0.25">
      <c r="A936" s="220"/>
      <c r="B936" s="220"/>
      <c r="C936" s="220"/>
      <c r="D936" s="220"/>
      <c r="E936" s="220"/>
      <c r="F936" s="220"/>
      <c r="G936" s="220"/>
      <c r="H936" s="220"/>
      <c r="I936" s="220"/>
      <c r="J936" s="220"/>
      <c r="K936" s="220"/>
      <c r="L936" s="220"/>
      <c r="M936" s="220"/>
      <c r="N936" s="220"/>
      <c r="O936" s="220"/>
      <c r="P936" s="220"/>
      <c r="Q936" s="220"/>
      <c r="R936" s="220"/>
      <c r="S936" s="220"/>
    </row>
    <row r="937" spans="1:19" x14ac:dyDescent="0.25">
      <c r="A937" s="220"/>
      <c r="B937" s="220"/>
      <c r="C937" s="220"/>
      <c r="D937" s="220"/>
      <c r="E937" s="220"/>
      <c r="F937" s="220"/>
      <c r="G937" s="220"/>
      <c r="H937" s="220"/>
      <c r="I937" s="220"/>
      <c r="J937" s="220"/>
      <c r="K937" s="220"/>
      <c r="L937" s="220"/>
      <c r="M937" s="220"/>
      <c r="N937" s="220"/>
      <c r="O937" s="220"/>
      <c r="P937" s="220"/>
      <c r="Q937" s="220"/>
      <c r="R937" s="220"/>
      <c r="S937" s="220"/>
    </row>
    <row r="938" spans="1:19" x14ac:dyDescent="0.25">
      <c r="A938" s="220"/>
      <c r="B938" s="220"/>
      <c r="C938" s="220"/>
      <c r="D938" s="220"/>
      <c r="E938" s="220"/>
      <c r="F938" s="220"/>
      <c r="G938" s="220"/>
      <c r="H938" s="220"/>
      <c r="I938" s="220"/>
      <c r="J938" s="220"/>
      <c r="K938" s="220"/>
      <c r="L938" s="220"/>
      <c r="M938" s="220"/>
      <c r="N938" s="220"/>
      <c r="O938" s="220"/>
      <c r="P938" s="220"/>
      <c r="Q938" s="220"/>
      <c r="R938" s="220"/>
      <c r="S938" s="220"/>
    </row>
    <row r="939" spans="1:19" x14ac:dyDescent="0.25">
      <c r="A939" s="220"/>
      <c r="B939" s="220"/>
      <c r="C939" s="220"/>
      <c r="D939" s="220"/>
      <c r="E939" s="220"/>
      <c r="F939" s="220"/>
      <c r="G939" s="220"/>
      <c r="H939" s="220"/>
      <c r="I939" s="220"/>
      <c r="J939" s="220"/>
      <c r="K939" s="220"/>
      <c r="L939" s="220"/>
      <c r="M939" s="220"/>
      <c r="N939" s="220"/>
      <c r="O939" s="220"/>
      <c r="P939" s="220"/>
      <c r="Q939" s="220"/>
      <c r="R939" s="220"/>
      <c r="S939" s="220"/>
    </row>
    <row r="940" spans="1:19" x14ac:dyDescent="0.25">
      <c r="A940" s="220"/>
      <c r="B940" s="220"/>
      <c r="C940" s="220"/>
      <c r="D940" s="220"/>
      <c r="E940" s="220"/>
      <c r="F940" s="220"/>
      <c r="G940" s="220"/>
      <c r="H940" s="220"/>
      <c r="I940" s="220"/>
      <c r="J940" s="220"/>
      <c r="K940" s="220"/>
      <c r="L940" s="220"/>
      <c r="M940" s="220"/>
      <c r="N940" s="220"/>
      <c r="O940" s="220"/>
      <c r="P940" s="220"/>
      <c r="Q940" s="220"/>
      <c r="R940" s="220"/>
      <c r="S940" s="220"/>
    </row>
    <row r="941" spans="1:19" x14ac:dyDescent="0.25">
      <c r="A941" s="220"/>
      <c r="B941" s="220"/>
      <c r="C941" s="220"/>
      <c r="D941" s="220"/>
      <c r="E941" s="220"/>
      <c r="F941" s="220"/>
      <c r="G941" s="220"/>
      <c r="H941" s="220"/>
      <c r="I941" s="220"/>
      <c r="J941" s="220"/>
      <c r="K941" s="220"/>
      <c r="L941" s="220"/>
      <c r="M941" s="220"/>
      <c r="N941" s="220"/>
      <c r="O941" s="220"/>
      <c r="P941" s="220"/>
      <c r="Q941" s="220"/>
      <c r="R941" s="220"/>
      <c r="S941" s="220"/>
    </row>
    <row r="942" spans="1:19" x14ac:dyDescent="0.25">
      <c r="A942" s="220"/>
      <c r="B942" s="220"/>
      <c r="C942" s="220"/>
      <c r="D942" s="220"/>
      <c r="E942" s="220"/>
      <c r="F942" s="220"/>
      <c r="G942" s="220"/>
      <c r="H942" s="220"/>
      <c r="I942" s="220"/>
      <c r="J942" s="220"/>
      <c r="K942" s="220"/>
      <c r="L942" s="220"/>
      <c r="M942" s="220"/>
      <c r="N942" s="220"/>
      <c r="O942" s="220"/>
      <c r="P942" s="220"/>
      <c r="Q942" s="220"/>
      <c r="R942" s="220"/>
      <c r="S942" s="220"/>
    </row>
    <row r="943" spans="1:19" x14ac:dyDescent="0.25">
      <c r="A943" s="220"/>
      <c r="B943" s="220"/>
      <c r="C943" s="220"/>
      <c r="D943" s="220"/>
      <c r="E943" s="220"/>
      <c r="F943" s="220"/>
      <c r="G943" s="220"/>
      <c r="H943" s="220"/>
      <c r="I943" s="220"/>
      <c r="J943" s="220"/>
      <c r="K943" s="220"/>
      <c r="L943" s="220"/>
      <c r="M943" s="220"/>
      <c r="N943" s="220"/>
      <c r="O943" s="220"/>
      <c r="P943" s="220"/>
      <c r="Q943" s="220"/>
      <c r="R943" s="220"/>
      <c r="S943" s="220"/>
    </row>
    <row r="944" spans="1:19" x14ac:dyDescent="0.25">
      <c r="A944" s="220"/>
      <c r="B944" s="220"/>
      <c r="C944" s="220"/>
      <c r="D944" s="220"/>
      <c r="E944" s="220"/>
      <c r="F944" s="220"/>
      <c r="G944" s="220"/>
      <c r="H944" s="220"/>
      <c r="I944" s="220"/>
      <c r="J944" s="220"/>
      <c r="K944" s="220"/>
      <c r="L944" s="220"/>
      <c r="M944" s="220"/>
      <c r="N944" s="220"/>
      <c r="O944" s="220"/>
      <c r="P944" s="220"/>
      <c r="Q944" s="220"/>
      <c r="R944" s="220"/>
      <c r="S944" s="220"/>
    </row>
    <row r="945" spans="1:19" x14ac:dyDescent="0.25">
      <c r="A945" s="220"/>
      <c r="B945" s="220"/>
      <c r="C945" s="220"/>
      <c r="D945" s="220"/>
      <c r="E945" s="220"/>
      <c r="F945" s="220"/>
      <c r="G945" s="220"/>
      <c r="H945" s="220"/>
      <c r="I945" s="220"/>
      <c r="J945" s="220"/>
      <c r="K945" s="220"/>
      <c r="L945" s="220"/>
      <c r="M945" s="220"/>
      <c r="N945" s="220"/>
      <c r="O945" s="220"/>
      <c r="P945" s="220"/>
      <c r="Q945" s="220"/>
      <c r="R945" s="220"/>
      <c r="S945" s="220"/>
    </row>
    <row r="946" spans="1:19" x14ac:dyDescent="0.25">
      <c r="A946" s="220"/>
      <c r="B946" s="220"/>
      <c r="C946" s="220"/>
      <c r="D946" s="220"/>
      <c r="E946" s="220"/>
      <c r="F946" s="220"/>
      <c r="G946" s="220"/>
      <c r="H946" s="220"/>
      <c r="I946" s="220"/>
      <c r="J946" s="220"/>
      <c r="K946" s="220"/>
      <c r="L946" s="220"/>
      <c r="M946" s="220"/>
      <c r="N946" s="220"/>
      <c r="O946" s="220"/>
      <c r="P946" s="220"/>
      <c r="Q946" s="220"/>
      <c r="R946" s="220"/>
      <c r="S946" s="220"/>
    </row>
    <row r="947" spans="1:19" x14ac:dyDescent="0.25">
      <c r="A947" s="220"/>
      <c r="B947" s="220"/>
      <c r="C947" s="220"/>
      <c r="D947" s="220"/>
      <c r="E947" s="220"/>
      <c r="F947" s="220"/>
      <c r="G947" s="220"/>
      <c r="H947" s="220"/>
      <c r="I947" s="220"/>
      <c r="J947" s="220"/>
      <c r="K947" s="220"/>
      <c r="L947" s="220"/>
      <c r="M947" s="220"/>
      <c r="N947" s="220"/>
      <c r="O947" s="220"/>
      <c r="P947" s="220"/>
      <c r="Q947" s="220"/>
      <c r="R947" s="220"/>
      <c r="S947" s="220"/>
    </row>
    <row r="948" spans="1:19" x14ac:dyDescent="0.25">
      <c r="A948" s="220"/>
      <c r="B948" s="220"/>
      <c r="C948" s="220"/>
      <c r="D948" s="220"/>
      <c r="E948" s="220"/>
      <c r="F948" s="220"/>
      <c r="G948" s="220"/>
      <c r="H948" s="220"/>
      <c r="I948" s="220"/>
      <c r="J948" s="220"/>
      <c r="K948" s="220"/>
      <c r="L948" s="220"/>
      <c r="M948" s="220"/>
      <c r="N948" s="220"/>
      <c r="O948" s="220"/>
      <c r="P948" s="220"/>
      <c r="Q948" s="220"/>
      <c r="R948" s="220"/>
      <c r="S948" s="220"/>
    </row>
    <row r="949" spans="1:19" x14ac:dyDescent="0.25">
      <c r="A949" s="220"/>
      <c r="B949" s="220"/>
      <c r="C949" s="220"/>
      <c r="D949" s="220"/>
      <c r="E949" s="220"/>
      <c r="F949" s="220"/>
      <c r="G949" s="220"/>
      <c r="H949" s="220"/>
      <c r="I949" s="220"/>
      <c r="J949" s="220"/>
      <c r="K949" s="220"/>
      <c r="L949" s="220"/>
      <c r="M949" s="220"/>
      <c r="N949" s="220"/>
      <c r="O949" s="220"/>
      <c r="P949" s="220"/>
      <c r="Q949" s="220"/>
      <c r="R949" s="220"/>
      <c r="S949" s="220"/>
    </row>
    <row r="950" spans="1:19" x14ac:dyDescent="0.25">
      <c r="A950" s="220"/>
      <c r="B950" s="220"/>
      <c r="C950" s="220"/>
      <c r="D950" s="220"/>
      <c r="E950" s="220"/>
      <c r="F950" s="220"/>
      <c r="G950" s="220"/>
      <c r="H950" s="220"/>
      <c r="I950" s="220"/>
      <c r="J950" s="220"/>
      <c r="K950" s="220"/>
      <c r="L950" s="220"/>
      <c r="M950" s="220"/>
      <c r="N950" s="220"/>
      <c r="O950" s="220"/>
      <c r="P950" s="220"/>
      <c r="Q950" s="220"/>
      <c r="R950" s="220"/>
      <c r="S950" s="220"/>
    </row>
    <row r="951" spans="1:19" x14ac:dyDescent="0.25">
      <c r="A951" s="220"/>
      <c r="B951" s="220"/>
      <c r="C951" s="220"/>
      <c r="D951" s="220"/>
      <c r="E951" s="220"/>
      <c r="F951" s="220"/>
      <c r="G951" s="220"/>
      <c r="H951" s="220"/>
      <c r="I951" s="220"/>
      <c r="J951" s="220"/>
      <c r="K951" s="220"/>
      <c r="L951" s="220"/>
      <c r="M951" s="220"/>
      <c r="N951" s="220"/>
      <c r="O951" s="220"/>
      <c r="P951" s="220"/>
      <c r="Q951" s="220"/>
      <c r="R951" s="220"/>
      <c r="S951" s="220"/>
    </row>
    <row r="952" spans="1:19" x14ac:dyDescent="0.25">
      <c r="A952" s="220"/>
      <c r="B952" s="220"/>
      <c r="C952" s="220"/>
      <c r="D952" s="220"/>
      <c r="E952" s="220"/>
      <c r="F952" s="220"/>
      <c r="G952" s="220"/>
      <c r="H952" s="220"/>
      <c r="I952" s="220"/>
      <c r="J952" s="220"/>
      <c r="K952" s="220"/>
      <c r="L952" s="220"/>
      <c r="M952" s="220"/>
      <c r="N952" s="220"/>
      <c r="O952" s="220"/>
      <c r="P952" s="220"/>
      <c r="Q952" s="220"/>
      <c r="R952" s="220"/>
      <c r="S952" s="220"/>
    </row>
    <row r="953" spans="1:19" x14ac:dyDescent="0.25">
      <c r="A953" s="220"/>
      <c r="B953" s="220"/>
      <c r="C953" s="220"/>
      <c r="D953" s="220"/>
      <c r="E953" s="220"/>
      <c r="F953" s="220"/>
      <c r="G953" s="220"/>
      <c r="H953" s="220"/>
      <c r="I953" s="220"/>
      <c r="J953" s="220"/>
      <c r="K953" s="220"/>
      <c r="L953" s="220"/>
      <c r="M953" s="220"/>
      <c r="N953" s="220"/>
      <c r="O953" s="220"/>
      <c r="P953" s="220"/>
      <c r="Q953" s="220"/>
      <c r="R953" s="220"/>
      <c r="S953" s="220"/>
    </row>
    <row r="954" spans="1:19" x14ac:dyDescent="0.25">
      <c r="A954" s="220"/>
      <c r="B954" s="220"/>
      <c r="C954" s="220"/>
      <c r="D954" s="220"/>
      <c r="E954" s="220"/>
      <c r="F954" s="220"/>
      <c r="G954" s="220"/>
      <c r="H954" s="220"/>
      <c r="I954" s="220"/>
      <c r="J954" s="220"/>
      <c r="K954" s="220"/>
      <c r="L954" s="220"/>
      <c r="M954" s="220"/>
      <c r="N954" s="220"/>
      <c r="O954" s="220"/>
      <c r="P954" s="220"/>
      <c r="Q954" s="220"/>
      <c r="R954" s="220"/>
      <c r="S954" s="220"/>
    </row>
    <row r="955" spans="1:19" x14ac:dyDescent="0.25">
      <c r="A955" s="220"/>
      <c r="B955" s="220"/>
      <c r="C955" s="220"/>
      <c r="D955" s="220"/>
      <c r="E955" s="220"/>
      <c r="F955" s="220"/>
      <c r="G955" s="220"/>
      <c r="H955" s="220"/>
      <c r="I955" s="220"/>
      <c r="J955" s="220"/>
      <c r="K955" s="220"/>
      <c r="L955" s="220"/>
      <c r="M955" s="220"/>
      <c r="N955" s="220"/>
      <c r="O955" s="220"/>
      <c r="P955" s="220"/>
      <c r="Q955" s="220"/>
      <c r="R955" s="220"/>
      <c r="S955" s="220"/>
    </row>
    <row r="956" spans="1:19" x14ac:dyDescent="0.25">
      <c r="A956" s="220"/>
      <c r="B956" s="220"/>
      <c r="C956" s="220"/>
      <c r="D956" s="220"/>
      <c r="E956" s="220"/>
      <c r="F956" s="220"/>
      <c r="G956" s="220"/>
      <c r="H956" s="220"/>
      <c r="I956" s="220"/>
      <c r="J956" s="220"/>
      <c r="K956" s="220"/>
      <c r="L956" s="220"/>
      <c r="M956" s="220"/>
      <c r="N956" s="220"/>
      <c r="O956" s="220"/>
      <c r="P956" s="220"/>
      <c r="Q956" s="220"/>
      <c r="R956" s="220"/>
      <c r="S956" s="220"/>
    </row>
    <row r="957" spans="1:19" x14ac:dyDescent="0.25">
      <c r="A957" s="220"/>
      <c r="B957" s="220"/>
      <c r="C957" s="220"/>
      <c r="D957" s="220"/>
      <c r="E957" s="220"/>
      <c r="F957" s="220"/>
      <c r="G957" s="220"/>
      <c r="H957" s="220"/>
      <c r="I957" s="220"/>
      <c r="J957" s="220"/>
      <c r="K957" s="220"/>
      <c r="L957" s="220"/>
      <c r="M957" s="220"/>
      <c r="N957" s="220"/>
      <c r="O957" s="220"/>
      <c r="P957" s="220"/>
      <c r="Q957" s="220"/>
      <c r="R957" s="220"/>
      <c r="S957" s="220"/>
    </row>
    <row r="958" spans="1:19" x14ac:dyDescent="0.25">
      <c r="A958" s="220"/>
      <c r="B958" s="220"/>
      <c r="C958" s="220"/>
      <c r="D958" s="220"/>
      <c r="E958" s="220"/>
      <c r="F958" s="220"/>
      <c r="G958" s="220"/>
      <c r="H958" s="220"/>
      <c r="I958" s="220"/>
      <c r="J958" s="220"/>
      <c r="K958" s="220"/>
      <c r="L958" s="220"/>
      <c r="M958" s="220"/>
      <c r="N958" s="220"/>
      <c r="O958" s="220"/>
      <c r="P958" s="220"/>
      <c r="Q958" s="220"/>
      <c r="R958" s="220"/>
      <c r="S958" s="220"/>
    </row>
    <row r="959" spans="1:19" x14ac:dyDescent="0.25">
      <c r="A959" s="220"/>
      <c r="B959" s="220"/>
      <c r="C959" s="220"/>
      <c r="D959" s="220"/>
      <c r="E959" s="220"/>
      <c r="F959" s="220"/>
      <c r="G959" s="220"/>
      <c r="H959" s="220"/>
      <c r="I959" s="220"/>
      <c r="J959" s="220"/>
      <c r="K959" s="220"/>
      <c r="L959" s="220"/>
      <c r="M959" s="220"/>
      <c r="N959" s="220"/>
      <c r="O959" s="220"/>
      <c r="P959" s="220"/>
      <c r="Q959" s="220"/>
      <c r="R959" s="220"/>
      <c r="S959" s="220"/>
    </row>
    <row r="960" spans="1:19" x14ac:dyDescent="0.25">
      <c r="A960" s="220"/>
      <c r="B960" s="220"/>
      <c r="C960" s="220"/>
      <c r="D960" s="220"/>
      <c r="E960" s="220"/>
      <c r="F960" s="220"/>
      <c r="G960" s="220"/>
      <c r="H960" s="220"/>
      <c r="I960" s="220"/>
      <c r="J960" s="220"/>
      <c r="K960" s="220"/>
      <c r="L960" s="220"/>
      <c r="M960" s="220"/>
      <c r="N960" s="220"/>
      <c r="O960" s="220"/>
      <c r="P960" s="220"/>
      <c r="Q960" s="220"/>
      <c r="R960" s="220"/>
      <c r="S960" s="220"/>
    </row>
    <row r="961" spans="1:19" x14ac:dyDescent="0.25">
      <c r="A961" s="220"/>
      <c r="B961" s="220"/>
      <c r="C961" s="220"/>
      <c r="D961" s="220"/>
      <c r="E961" s="220"/>
      <c r="F961" s="220"/>
      <c r="G961" s="220"/>
      <c r="H961" s="220"/>
      <c r="I961" s="220"/>
      <c r="J961" s="220"/>
      <c r="K961" s="220"/>
      <c r="L961" s="220"/>
      <c r="M961" s="220"/>
      <c r="N961" s="220"/>
      <c r="O961" s="220"/>
      <c r="P961" s="220"/>
      <c r="Q961" s="220"/>
      <c r="R961" s="220"/>
      <c r="S961" s="220"/>
    </row>
    <row r="962" spans="1:19" x14ac:dyDescent="0.25">
      <c r="A962" s="220"/>
      <c r="B962" s="220"/>
      <c r="C962" s="220"/>
      <c r="D962" s="220"/>
      <c r="E962" s="220"/>
      <c r="F962" s="220"/>
      <c r="G962" s="220"/>
      <c r="H962" s="220"/>
      <c r="I962" s="220"/>
      <c r="J962" s="220"/>
      <c r="K962" s="220"/>
      <c r="L962" s="220"/>
      <c r="M962" s="220"/>
      <c r="N962" s="220"/>
      <c r="O962" s="220"/>
      <c r="P962" s="220"/>
      <c r="Q962" s="220"/>
      <c r="R962" s="220"/>
      <c r="S962" s="220"/>
    </row>
    <row r="963" spans="1:19" x14ac:dyDescent="0.25">
      <c r="A963" s="220"/>
      <c r="B963" s="220"/>
      <c r="C963" s="220"/>
      <c r="D963" s="220"/>
      <c r="E963" s="220"/>
      <c r="F963" s="220"/>
      <c r="G963" s="220"/>
      <c r="H963" s="220"/>
      <c r="I963" s="220"/>
      <c r="J963" s="220"/>
      <c r="K963" s="220"/>
      <c r="L963" s="220"/>
      <c r="M963" s="220"/>
      <c r="N963" s="220"/>
      <c r="O963" s="220"/>
      <c r="P963" s="220"/>
      <c r="Q963" s="220"/>
      <c r="R963" s="220"/>
      <c r="S963" s="220"/>
    </row>
    <row r="964" spans="1:19" x14ac:dyDescent="0.25">
      <c r="A964" s="220"/>
      <c r="B964" s="220"/>
      <c r="C964" s="220"/>
      <c r="D964" s="220"/>
      <c r="E964" s="220"/>
      <c r="F964" s="220"/>
      <c r="G964" s="220"/>
      <c r="H964" s="220"/>
      <c r="I964" s="220"/>
      <c r="J964" s="220"/>
      <c r="K964" s="220"/>
      <c r="L964" s="220"/>
      <c r="M964" s="220"/>
      <c r="N964" s="220"/>
      <c r="O964" s="220"/>
      <c r="P964" s="220"/>
      <c r="Q964" s="220"/>
      <c r="R964" s="220"/>
      <c r="S964" s="220"/>
    </row>
    <row r="965" spans="1:19" x14ac:dyDescent="0.25">
      <c r="A965" s="220"/>
      <c r="B965" s="220"/>
      <c r="C965" s="220"/>
      <c r="D965" s="220"/>
      <c r="E965" s="220"/>
      <c r="F965" s="220"/>
      <c r="G965" s="220"/>
      <c r="H965" s="220"/>
      <c r="I965" s="220"/>
      <c r="J965" s="220"/>
      <c r="K965" s="220"/>
      <c r="L965" s="220"/>
      <c r="M965" s="220"/>
      <c r="N965" s="220"/>
      <c r="O965" s="220"/>
      <c r="P965" s="220"/>
      <c r="Q965" s="220"/>
      <c r="R965" s="220"/>
      <c r="S965" s="220"/>
    </row>
    <row r="966" spans="1:19" x14ac:dyDescent="0.25">
      <c r="A966" s="220"/>
      <c r="B966" s="220"/>
      <c r="C966" s="220"/>
      <c r="D966" s="220"/>
      <c r="E966" s="220"/>
      <c r="F966" s="220"/>
      <c r="G966" s="220"/>
      <c r="H966" s="220"/>
      <c r="I966" s="220"/>
      <c r="J966" s="220"/>
      <c r="K966" s="220"/>
      <c r="L966" s="220"/>
      <c r="M966" s="220"/>
      <c r="N966" s="220"/>
      <c r="O966" s="220"/>
      <c r="P966" s="220"/>
      <c r="Q966" s="220"/>
      <c r="R966" s="220"/>
      <c r="S966" s="220"/>
    </row>
    <row r="967" spans="1:19" x14ac:dyDescent="0.25">
      <c r="A967" s="220"/>
      <c r="B967" s="220"/>
      <c r="C967" s="220"/>
      <c r="D967" s="220"/>
      <c r="E967" s="220"/>
      <c r="F967" s="220"/>
      <c r="G967" s="220"/>
      <c r="H967" s="220"/>
      <c r="I967" s="220"/>
      <c r="J967" s="220"/>
      <c r="K967" s="220"/>
      <c r="L967" s="220"/>
      <c r="M967" s="220"/>
      <c r="N967" s="220"/>
      <c r="O967" s="220"/>
      <c r="P967" s="220"/>
      <c r="Q967" s="220"/>
      <c r="R967" s="220"/>
      <c r="S967" s="220"/>
    </row>
    <row r="968" spans="1:19" x14ac:dyDescent="0.25">
      <c r="A968" s="220"/>
      <c r="B968" s="220"/>
      <c r="C968" s="220"/>
      <c r="D968" s="220"/>
      <c r="E968" s="220"/>
      <c r="F968" s="220"/>
      <c r="G968" s="220"/>
      <c r="H968" s="220"/>
      <c r="I968" s="220"/>
      <c r="J968" s="220"/>
      <c r="K968" s="220"/>
      <c r="L968" s="220"/>
      <c r="M968" s="220"/>
      <c r="N968" s="220"/>
      <c r="O968" s="220"/>
      <c r="P968" s="220"/>
      <c r="Q968" s="220"/>
      <c r="R968" s="220"/>
      <c r="S968" s="220"/>
    </row>
    <row r="969" spans="1:19" x14ac:dyDescent="0.25">
      <c r="A969" s="220"/>
      <c r="B969" s="220"/>
      <c r="C969" s="220"/>
      <c r="D969" s="220"/>
      <c r="E969" s="220"/>
      <c r="F969" s="220"/>
      <c r="G969" s="220"/>
      <c r="H969" s="220"/>
      <c r="I969" s="220"/>
      <c r="J969" s="220"/>
      <c r="K969" s="220"/>
      <c r="L969" s="220"/>
      <c r="M969" s="220"/>
      <c r="N969" s="220"/>
      <c r="O969" s="220"/>
      <c r="P969" s="220"/>
      <c r="Q969" s="220"/>
      <c r="R969" s="220"/>
      <c r="S969" s="220"/>
    </row>
    <row r="970" spans="1:19" x14ac:dyDescent="0.25">
      <c r="A970" s="220"/>
      <c r="B970" s="220"/>
      <c r="C970" s="220"/>
      <c r="D970" s="220"/>
      <c r="E970" s="220"/>
      <c r="F970" s="220"/>
      <c r="G970" s="220"/>
      <c r="H970" s="220"/>
      <c r="I970" s="220"/>
      <c r="J970" s="220"/>
      <c r="K970" s="220"/>
      <c r="L970" s="220"/>
      <c r="M970" s="220"/>
      <c r="N970" s="220"/>
      <c r="O970" s="220"/>
      <c r="P970" s="220"/>
      <c r="Q970" s="220"/>
      <c r="R970" s="220"/>
      <c r="S970" s="220"/>
    </row>
    <row r="971" spans="1:19" x14ac:dyDescent="0.25">
      <c r="A971" s="220"/>
      <c r="B971" s="220"/>
      <c r="C971" s="220"/>
      <c r="D971" s="220"/>
      <c r="E971" s="220"/>
      <c r="F971" s="220"/>
      <c r="G971" s="220"/>
      <c r="H971" s="220"/>
      <c r="I971" s="220"/>
      <c r="J971" s="220"/>
      <c r="K971" s="220"/>
      <c r="L971" s="220"/>
      <c r="M971" s="220"/>
      <c r="N971" s="220"/>
      <c r="O971" s="220"/>
      <c r="P971" s="220"/>
      <c r="Q971" s="220"/>
      <c r="R971" s="220"/>
      <c r="S971" s="220"/>
    </row>
    <row r="972" spans="1:19" x14ac:dyDescent="0.25">
      <c r="A972" s="220"/>
      <c r="B972" s="220"/>
      <c r="C972" s="220"/>
      <c r="D972" s="220"/>
      <c r="E972" s="220"/>
      <c r="F972" s="220"/>
      <c r="G972" s="220"/>
      <c r="H972" s="220"/>
      <c r="I972" s="220"/>
      <c r="J972" s="220"/>
      <c r="K972" s="220"/>
      <c r="L972" s="220"/>
      <c r="M972" s="220"/>
      <c r="N972" s="220"/>
      <c r="O972" s="220"/>
      <c r="P972" s="220"/>
      <c r="Q972" s="220"/>
      <c r="R972" s="220"/>
      <c r="S972" s="220"/>
    </row>
    <row r="973" spans="1:19" x14ac:dyDescent="0.25">
      <c r="A973" s="220"/>
      <c r="B973" s="220"/>
      <c r="C973" s="220"/>
      <c r="D973" s="220"/>
      <c r="E973" s="220"/>
      <c r="F973" s="220"/>
      <c r="G973" s="220"/>
      <c r="H973" s="220"/>
      <c r="I973" s="220"/>
      <c r="J973" s="220"/>
      <c r="K973" s="220"/>
      <c r="L973" s="220"/>
      <c r="M973" s="220"/>
      <c r="N973" s="220"/>
      <c r="O973" s="220"/>
      <c r="P973" s="220"/>
      <c r="Q973" s="220"/>
      <c r="R973" s="220"/>
      <c r="S973" s="220"/>
    </row>
    <row r="974" spans="1:19" x14ac:dyDescent="0.25">
      <c r="A974" s="220"/>
      <c r="B974" s="220"/>
      <c r="C974" s="220"/>
      <c r="D974" s="220"/>
      <c r="E974" s="220"/>
      <c r="F974" s="220"/>
      <c r="G974" s="220"/>
      <c r="H974" s="220"/>
      <c r="I974" s="220"/>
      <c r="J974" s="220"/>
      <c r="K974" s="220"/>
      <c r="L974" s="220"/>
      <c r="M974" s="220"/>
      <c r="N974" s="220"/>
      <c r="O974" s="220"/>
      <c r="P974" s="220"/>
      <c r="Q974" s="220"/>
      <c r="R974" s="220"/>
      <c r="S974" s="220"/>
    </row>
    <row r="975" spans="1:19" x14ac:dyDescent="0.25">
      <c r="A975" s="220"/>
      <c r="B975" s="220"/>
      <c r="C975" s="220"/>
      <c r="D975" s="220"/>
      <c r="E975" s="220"/>
      <c r="F975" s="220"/>
      <c r="G975" s="220"/>
      <c r="H975" s="220"/>
      <c r="I975" s="220"/>
      <c r="J975" s="220"/>
      <c r="K975" s="220"/>
      <c r="L975" s="220"/>
      <c r="M975" s="220"/>
      <c r="N975" s="220"/>
      <c r="O975" s="220"/>
      <c r="P975" s="220"/>
      <c r="Q975" s="220"/>
      <c r="R975" s="220"/>
      <c r="S975" s="220"/>
    </row>
    <row r="976" spans="1:19" x14ac:dyDescent="0.25">
      <c r="A976" s="220"/>
      <c r="B976" s="220"/>
      <c r="C976" s="220"/>
      <c r="D976" s="220"/>
      <c r="E976" s="220"/>
      <c r="F976" s="220"/>
      <c r="G976" s="220"/>
      <c r="H976" s="220"/>
      <c r="I976" s="220"/>
      <c r="J976" s="220"/>
      <c r="K976" s="220"/>
      <c r="L976" s="220"/>
      <c r="M976" s="220"/>
      <c r="N976" s="220"/>
      <c r="O976" s="220"/>
      <c r="P976" s="220"/>
      <c r="Q976" s="220"/>
      <c r="R976" s="220"/>
      <c r="S976" s="220"/>
    </row>
    <row r="977" spans="1:19" x14ac:dyDescent="0.25">
      <c r="A977" s="220"/>
      <c r="B977" s="220"/>
      <c r="C977" s="220"/>
      <c r="D977" s="220"/>
      <c r="E977" s="220"/>
      <c r="F977" s="220"/>
      <c r="G977" s="220"/>
      <c r="H977" s="220"/>
      <c r="I977" s="220"/>
      <c r="J977" s="220"/>
      <c r="K977" s="220"/>
      <c r="L977" s="220"/>
      <c r="M977" s="220"/>
      <c r="N977" s="220"/>
      <c r="O977" s="220"/>
      <c r="P977" s="220"/>
      <c r="Q977" s="220"/>
      <c r="R977" s="220"/>
      <c r="S977" s="220"/>
    </row>
    <row r="978" spans="1:19" x14ac:dyDescent="0.25">
      <c r="A978" s="220"/>
      <c r="B978" s="220"/>
      <c r="C978" s="220"/>
      <c r="D978" s="220"/>
      <c r="E978" s="220"/>
      <c r="F978" s="220"/>
      <c r="G978" s="220"/>
      <c r="H978" s="220"/>
      <c r="I978" s="220"/>
      <c r="J978" s="220"/>
      <c r="K978" s="220"/>
      <c r="L978" s="220"/>
      <c r="M978" s="220"/>
      <c r="N978" s="220"/>
      <c r="O978" s="220"/>
      <c r="P978" s="220"/>
      <c r="Q978" s="220"/>
      <c r="R978" s="220"/>
      <c r="S978" s="220"/>
    </row>
    <row r="979" spans="1:19" x14ac:dyDescent="0.25">
      <c r="A979" s="220"/>
      <c r="B979" s="220"/>
      <c r="C979" s="220"/>
      <c r="D979" s="220"/>
      <c r="E979" s="220"/>
      <c r="F979" s="220"/>
      <c r="G979" s="220"/>
      <c r="H979" s="220"/>
      <c r="I979" s="220"/>
      <c r="J979" s="220"/>
      <c r="K979" s="220"/>
      <c r="L979" s="220"/>
      <c r="M979" s="220"/>
      <c r="N979" s="220"/>
      <c r="O979" s="220"/>
      <c r="P979" s="220"/>
      <c r="Q979" s="220"/>
      <c r="R979" s="220"/>
      <c r="S979" s="220"/>
    </row>
    <row r="980" spans="1:19" x14ac:dyDescent="0.25">
      <c r="A980" s="220"/>
      <c r="B980" s="220"/>
      <c r="C980" s="220"/>
      <c r="D980" s="220"/>
      <c r="E980" s="220"/>
      <c r="F980" s="220"/>
      <c r="G980" s="220"/>
      <c r="H980" s="220"/>
      <c r="I980" s="220"/>
      <c r="J980" s="220"/>
      <c r="K980" s="220"/>
      <c r="L980" s="220"/>
      <c r="M980" s="220"/>
      <c r="N980" s="220"/>
      <c r="O980" s="220"/>
      <c r="P980" s="220"/>
      <c r="Q980" s="220"/>
      <c r="R980" s="220"/>
      <c r="S980" s="220"/>
    </row>
    <row r="981" spans="1:19" x14ac:dyDescent="0.25">
      <c r="A981" s="220"/>
      <c r="B981" s="220"/>
      <c r="C981" s="220"/>
      <c r="D981" s="220"/>
      <c r="E981" s="220"/>
      <c r="F981" s="220"/>
      <c r="G981" s="220"/>
      <c r="H981" s="220"/>
      <c r="I981" s="220"/>
      <c r="J981" s="220"/>
      <c r="K981" s="220"/>
      <c r="L981" s="220"/>
      <c r="M981" s="220"/>
      <c r="N981" s="220"/>
      <c r="O981" s="220"/>
      <c r="P981" s="220"/>
      <c r="Q981" s="220"/>
      <c r="R981" s="220"/>
      <c r="S981" s="220"/>
    </row>
    <row r="982" spans="1:19" x14ac:dyDescent="0.25">
      <c r="A982" s="220"/>
      <c r="B982" s="220"/>
      <c r="C982" s="220"/>
      <c r="D982" s="220"/>
      <c r="E982" s="220"/>
      <c r="F982" s="220"/>
      <c r="G982" s="220"/>
      <c r="H982" s="220"/>
      <c r="I982" s="220"/>
      <c r="J982" s="220"/>
      <c r="K982" s="220"/>
      <c r="L982" s="220"/>
      <c r="M982" s="220"/>
      <c r="N982" s="220"/>
      <c r="O982" s="220"/>
      <c r="P982" s="220"/>
      <c r="Q982" s="220"/>
      <c r="R982" s="220"/>
      <c r="S982" s="220"/>
    </row>
    <row r="983" spans="1:19" x14ac:dyDescent="0.25">
      <c r="A983" s="220"/>
      <c r="B983" s="220"/>
      <c r="C983" s="220"/>
      <c r="D983" s="220"/>
      <c r="E983" s="220"/>
      <c r="F983" s="220"/>
      <c r="G983" s="220"/>
      <c r="H983" s="220"/>
      <c r="I983" s="220"/>
      <c r="J983" s="220"/>
      <c r="K983" s="220"/>
      <c r="L983" s="220"/>
      <c r="M983" s="220"/>
      <c r="N983" s="220"/>
      <c r="O983" s="220"/>
      <c r="P983" s="220"/>
      <c r="Q983" s="220"/>
      <c r="R983" s="220"/>
      <c r="S983" s="220"/>
    </row>
    <row r="984" spans="1:19" x14ac:dyDescent="0.25">
      <c r="A984" s="220"/>
      <c r="B984" s="220"/>
      <c r="C984" s="220"/>
      <c r="D984" s="220"/>
      <c r="E984" s="220"/>
      <c r="F984" s="220"/>
      <c r="G984" s="220"/>
      <c r="H984" s="220"/>
      <c r="I984" s="220"/>
      <c r="J984" s="220"/>
      <c r="K984" s="220"/>
      <c r="L984" s="220"/>
      <c r="M984" s="220"/>
      <c r="N984" s="220"/>
      <c r="O984" s="220"/>
      <c r="P984" s="220"/>
      <c r="Q984" s="220"/>
      <c r="R984" s="220"/>
      <c r="S984" s="220"/>
    </row>
    <row r="985" spans="1:19" x14ac:dyDescent="0.25">
      <c r="A985" s="220"/>
      <c r="B985" s="220"/>
      <c r="C985" s="220"/>
      <c r="D985" s="220"/>
      <c r="E985" s="220"/>
      <c r="F985" s="220"/>
      <c r="G985" s="220"/>
      <c r="H985" s="220"/>
      <c r="I985" s="220"/>
      <c r="J985" s="220"/>
      <c r="K985" s="220"/>
      <c r="L985" s="220"/>
      <c r="M985" s="220"/>
      <c r="N985" s="220"/>
      <c r="O985" s="220"/>
      <c r="P985" s="220"/>
      <c r="Q985" s="220"/>
      <c r="R985" s="220"/>
      <c r="S985" s="220"/>
    </row>
    <row r="986" spans="1:19" x14ac:dyDescent="0.25">
      <c r="A986" s="220"/>
      <c r="B986" s="220"/>
      <c r="C986" s="220"/>
      <c r="D986" s="220"/>
      <c r="E986" s="220"/>
      <c r="F986" s="220"/>
      <c r="G986" s="220"/>
      <c r="H986" s="220"/>
      <c r="I986" s="220"/>
      <c r="J986" s="220"/>
      <c r="K986" s="220"/>
      <c r="L986" s="220"/>
      <c r="M986" s="220"/>
      <c r="N986" s="220"/>
      <c r="O986" s="220"/>
      <c r="P986" s="220"/>
      <c r="Q986" s="220"/>
      <c r="R986" s="220"/>
      <c r="S986" s="220"/>
    </row>
    <row r="987" spans="1:19" x14ac:dyDescent="0.25">
      <c r="A987" s="220"/>
      <c r="B987" s="220"/>
      <c r="C987" s="220"/>
      <c r="D987" s="220"/>
      <c r="E987" s="220"/>
      <c r="F987" s="220"/>
      <c r="G987" s="220"/>
      <c r="H987" s="220"/>
      <c r="I987" s="220"/>
      <c r="J987" s="220"/>
      <c r="K987" s="220"/>
      <c r="L987" s="220"/>
      <c r="M987" s="220"/>
      <c r="N987" s="220"/>
      <c r="O987" s="220"/>
      <c r="P987" s="220"/>
      <c r="Q987" s="220"/>
      <c r="R987" s="220"/>
      <c r="S987" s="220"/>
    </row>
    <row r="988" spans="1:19" x14ac:dyDescent="0.25">
      <c r="A988" s="220"/>
      <c r="B988" s="220"/>
      <c r="C988" s="220"/>
      <c r="D988" s="220"/>
      <c r="E988" s="220"/>
      <c r="F988" s="220"/>
      <c r="G988" s="220"/>
      <c r="H988" s="220"/>
      <c r="I988" s="220"/>
      <c r="J988" s="220"/>
      <c r="K988" s="220"/>
      <c r="L988" s="220"/>
      <c r="M988" s="220"/>
      <c r="N988" s="220"/>
      <c r="O988" s="220"/>
      <c r="P988" s="220"/>
      <c r="Q988" s="220"/>
      <c r="R988" s="220"/>
      <c r="S988" s="220"/>
    </row>
    <row r="989" spans="1:19" x14ac:dyDescent="0.25">
      <c r="A989" s="220"/>
      <c r="B989" s="220"/>
      <c r="C989" s="220"/>
      <c r="D989" s="220"/>
      <c r="E989" s="220"/>
      <c r="F989" s="220"/>
      <c r="G989" s="220"/>
      <c r="H989" s="220"/>
      <c r="I989" s="220"/>
      <c r="J989" s="220"/>
      <c r="K989" s="220"/>
      <c r="L989" s="220"/>
      <c r="M989" s="220"/>
      <c r="N989" s="220"/>
      <c r="O989" s="220"/>
      <c r="P989" s="220"/>
      <c r="Q989" s="220"/>
      <c r="R989" s="220"/>
      <c r="S989" s="220"/>
    </row>
    <row r="990" spans="1:19" x14ac:dyDescent="0.25">
      <c r="A990" s="220"/>
      <c r="B990" s="220"/>
      <c r="C990" s="220"/>
      <c r="D990" s="220"/>
      <c r="E990" s="220"/>
      <c r="F990" s="220"/>
      <c r="G990" s="220"/>
      <c r="H990" s="220"/>
      <c r="I990" s="220"/>
      <c r="J990" s="220"/>
      <c r="K990" s="220"/>
      <c r="L990" s="220"/>
      <c r="M990" s="220"/>
      <c r="N990" s="220"/>
      <c r="O990" s="220"/>
      <c r="P990" s="220"/>
      <c r="Q990" s="220"/>
      <c r="R990" s="220"/>
      <c r="S990" s="220"/>
    </row>
    <row r="991" spans="1:19" x14ac:dyDescent="0.25">
      <c r="A991" s="220"/>
      <c r="B991" s="220"/>
      <c r="C991" s="220"/>
      <c r="D991" s="220"/>
      <c r="E991" s="220"/>
      <c r="F991" s="220"/>
      <c r="G991" s="220"/>
      <c r="H991" s="220"/>
      <c r="I991" s="220"/>
      <c r="J991" s="220"/>
      <c r="K991" s="220"/>
      <c r="L991" s="220"/>
      <c r="M991" s="220"/>
      <c r="N991" s="220"/>
      <c r="O991" s="220"/>
      <c r="P991" s="220"/>
      <c r="Q991" s="220"/>
      <c r="R991" s="220"/>
      <c r="S991" s="220"/>
    </row>
    <row r="992" spans="1:19" x14ac:dyDescent="0.25">
      <c r="A992" s="220"/>
      <c r="B992" s="220"/>
      <c r="C992" s="220"/>
      <c r="D992" s="220"/>
      <c r="E992" s="220"/>
      <c r="F992" s="220"/>
      <c r="G992" s="220"/>
      <c r="H992" s="220"/>
      <c r="I992" s="220"/>
      <c r="J992" s="220"/>
      <c r="K992" s="220"/>
      <c r="L992" s="220"/>
      <c r="M992" s="220"/>
      <c r="N992" s="220"/>
      <c r="O992" s="220"/>
      <c r="P992" s="220"/>
      <c r="Q992" s="220"/>
      <c r="R992" s="220"/>
      <c r="S992" s="220"/>
    </row>
    <row r="993" spans="1:19" x14ac:dyDescent="0.25">
      <c r="A993" s="220"/>
      <c r="B993" s="220"/>
      <c r="C993" s="220"/>
      <c r="D993" s="220"/>
      <c r="E993" s="220"/>
      <c r="F993" s="220"/>
      <c r="G993" s="220"/>
      <c r="H993" s="220"/>
      <c r="I993" s="220"/>
      <c r="J993" s="220"/>
      <c r="K993" s="220"/>
      <c r="L993" s="220"/>
      <c r="M993" s="220"/>
      <c r="N993" s="220"/>
      <c r="O993" s="220"/>
      <c r="P993" s="220"/>
      <c r="Q993" s="220"/>
      <c r="R993" s="220"/>
      <c r="S993" s="220"/>
    </row>
    <row r="994" spans="1:19" x14ac:dyDescent="0.25">
      <c r="A994" s="220"/>
      <c r="B994" s="220"/>
      <c r="C994" s="220"/>
      <c r="D994" s="220"/>
      <c r="E994" s="220"/>
      <c r="F994" s="220"/>
      <c r="G994" s="220"/>
      <c r="H994" s="220"/>
      <c r="I994" s="220"/>
      <c r="J994" s="220"/>
      <c r="K994" s="220"/>
      <c r="L994" s="220"/>
      <c r="M994" s="220"/>
      <c r="N994" s="220"/>
      <c r="O994" s="220"/>
      <c r="P994" s="220"/>
      <c r="Q994" s="220"/>
      <c r="R994" s="220"/>
      <c r="S994" s="220"/>
    </row>
    <row r="995" spans="1:19" x14ac:dyDescent="0.25">
      <c r="A995" s="220"/>
      <c r="B995" s="220"/>
      <c r="C995" s="220"/>
      <c r="D995" s="220"/>
      <c r="E995" s="220"/>
      <c r="F995" s="220"/>
      <c r="G995" s="220"/>
      <c r="H995" s="220"/>
      <c r="I995" s="220"/>
      <c r="J995" s="220"/>
      <c r="K995" s="220"/>
      <c r="L995" s="220"/>
      <c r="M995" s="220"/>
      <c r="N995" s="220"/>
      <c r="O995" s="220"/>
      <c r="P995" s="220"/>
      <c r="Q995" s="220"/>
      <c r="R995" s="220"/>
      <c r="S995" s="220"/>
    </row>
    <row r="996" spans="1:19" x14ac:dyDescent="0.25">
      <c r="A996" s="220"/>
      <c r="B996" s="220"/>
      <c r="C996" s="220"/>
      <c r="D996" s="220"/>
      <c r="E996" s="220"/>
      <c r="F996" s="220"/>
      <c r="G996" s="220"/>
      <c r="H996" s="220"/>
      <c r="I996" s="220"/>
      <c r="J996" s="220"/>
      <c r="K996" s="220"/>
      <c r="L996" s="220"/>
      <c r="M996" s="220"/>
      <c r="N996" s="220"/>
      <c r="O996" s="220"/>
      <c r="P996" s="220"/>
      <c r="Q996" s="220"/>
      <c r="R996" s="220"/>
      <c r="S996" s="220"/>
    </row>
    <row r="997" spans="1:19" x14ac:dyDescent="0.25">
      <c r="A997" s="220"/>
      <c r="B997" s="220"/>
      <c r="C997" s="220"/>
      <c r="D997" s="220"/>
      <c r="E997" s="220"/>
      <c r="F997" s="220"/>
      <c r="G997" s="220"/>
      <c r="H997" s="220"/>
      <c r="I997" s="220"/>
      <c r="J997" s="220"/>
      <c r="K997" s="220"/>
      <c r="L997" s="220"/>
      <c r="M997" s="220"/>
      <c r="N997" s="220"/>
      <c r="O997" s="220"/>
      <c r="P997" s="220"/>
      <c r="Q997" s="220"/>
      <c r="R997" s="220"/>
      <c r="S997" s="220"/>
    </row>
    <row r="998" spans="1:19" x14ac:dyDescent="0.25">
      <c r="A998" s="220"/>
      <c r="B998" s="220"/>
      <c r="C998" s="220"/>
      <c r="D998" s="220"/>
      <c r="E998" s="220"/>
      <c r="F998" s="220"/>
      <c r="G998" s="220"/>
      <c r="H998" s="220"/>
      <c r="I998" s="220"/>
      <c r="J998" s="220"/>
      <c r="K998" s="220"/>
      <c r="L998" s="220"/>
      <c r="M998" s="220"/>
      <c r="N998" s="220"/>
      <c r="O998" s="220"/>
      <c r="P998" s="220"/>
      <c r="Q998" s="220"/>
      <c r="R998" s="220"/>
      <c r="S998" s="220"/>
    </row>
    <row r="999" spans="1:19" x14ac:dyDescent="0.25">
      <c r="A999" s="220"/>
      <c r="B999" s="220"/>
      <c r="C999" s="220"/>
      <c r="D999" s="220"/>
      <c r="E999" s="220"/>
      <c r="F999" s="220"/>
      <c r="G999" s="220"/>
      <c r="H999" s="220"/>
      <c r="I999" s="220"/>
      <c r="J999" s="220"/>
      <c r="K999" s="220"/>
      <c r="L999" s="220"/>
      <c r="M999" s="220"/>
      <c r="N999" s="220"/>
      <c r="O999" s="220"/>
      <c r="P999" s="220"/>
      <c r="Q999" s="220"/>
      <c r="R999" s="220"/>
      <c r="S999" s="220"/>
    </row>
    <row r="1000" spans="1:19" x14ac:dyDescent="0.25">
      <c r="A1000" s="220"/>
      <c r="B1000" s="220"/>
      <c r="C1000" s="220"/>
      <c r="D1000" s="220"/>
      <c r="E1000" s="220"/>
      <c r="F1000" s="220"/>
      <c r="G1000" s="220"/>
      <c r="H1000" s="220"/>
      <c r="I1000" s="220"/>
      <c r="J1000" s="220"/>
      <c r="K1000" s="220"/>
      <c r="L1000" s="220"/>
      <c r="M1000" s="220"/>
      <c r="N1000" s="220"/>
      <c r="O1000" s="220"/>
      <c r="P1000" s="220"/>
      <c r="Q1000" s="220"/>
      <c r="R1000" s="220"/>
      <c r="S1000" s="220"/>
    </row>
    <row r="1001" spans="1:19" x14ac:dyDescent="0.25">
      <c r="A1001" s="220"/>
      <c r="B1001" s="220"/>
      <c r="C1001" s="220"/>
      <c r="D1001" s="220"/>
      <c r="E1001" s="220"/>
      <c r="F1001" s="220"/>
      <c r="G1001" s="220"/>
      <c r="H1001" s="220"/>
      <c r="I1001" s="220"/>
      <c r="J1001" s="220"/>
      <c r="K1001" s="220"/>
      <c r="L1001" s="220"/>
      <c r="M1001" s="220"/>
      <c r="N1001" s="220"/>
      <c r="O1001" s="220"/>
      <c r="P1001" s="220"/>
      <c r="Q1001" s="220"/>
      <c r="R1001" s="220"/>
      <c r="S1001" s="220"/>
    </row>
    <row r="1002" spans="1:19" x14ac:dyDescent="0.25">
      <c r="A1002" s="220"/>
      <c r="B1002" s="220"/>
      <c r="C1002" s="220"/>
      <c r="D1002" s="220"/>
      <c r="E1002" s="220"/>
      <c r="F1002" s="220"/>
      <c r="G1002" s="220"/>
      <c r="H1002" s="220"/>
      <c r="I1002" s="220"/>
      <c r="J1002" s="220"/>
      <c r="K1002" s="220"/>
      <c r="L1002" s="220"/>
      <c r="M1002" s="220"/>
      <c r="N1002" s="220"/>
      <c r="O1002" s="220"/>
      <c r="P1002" s="220"/>
      <c r="Q1002" s="220"/>
      <c r="R1002" s="220"/>
      <c r="S1002" s="220"/>
    </row>
    <row r="1003" spans="1:19" x14ac:dyDescent="0.25">
      <c r="A1003" s="220"/>
      <c r="B1003" s="220"/>
      <c r="C1003" s="220"/>
      <c r="D1003" s="220"/>
      <c r="E1003" s="220"/>
      <c r="F1003" s="220"/>
      <c r="G1003" s="220"/>
      <c r="H1003" s="220"/>
      <c r="I1003" s="220"/>
      <c r="J1003" s="220"/>
      <c r="K1003" s="220"/>
      <c r="L1003" s="220"/>
      <c r="M1003" s="220"/>
      <c r="N1003" s="220"/>
      <c r="O1003" s="220"/>
      <c r="P1003" s="220"/>
      <c r="Q1003" s="220"/>
      <c r="R1003" s="220"/>
      <c r="S1003" s="220"/>
    </row>
    <row r="1004" spans="1:19" x14ac:dyDescent="0.25">
      <c r="A1004" s="220"/>
      <c r="B1004" s="220"/>
      <c r="C1004" s="220"/>
      <c r="D1004" s="220"/>
      <c r="E1004" s="220"/>
      <c r="F1004" s="220"/>
      <c r="G1004" s="220"/>
      <c r="H1004" s="220"/>
      <c r="I1004" s="220"/>
      <c r="J1004" s="220"/>
      <c r="K1004" s="220"/>
      <c r="L1004" s="220"/>
      <c r="M1004" s="220"/>
      <c r="N1004" s="220"/>
      <c r="O1004" s="220"/>
      <c r="P1004" s="220"/>
      <c r="Q1004" s="220"/>
      <c r="R1004" s="220"/>
      <c r="S1004" s="220"/>
    </row>
    <row r="1005" spans="1:19" x14ac:dyDescent="0.25">
      <c r="A1005" s="220"/>
      <c r="B1005" s="220"/>
      <c r="C1005" s="220"/>
      <c r="D1005" s="220"/>
      <c r="E1005" s="220"/>
      <c r="F1005" s="220"/>
      <c r="G1005" s="220"/>
      <c r="H1005" s="220"/>
      <c r="I1005" s="220"/>
      <c r="J1005" s="220"/>
      <c r="K1005" s="220"/>
      <c r="L1005" s="220"/>
      <c r="M1005" s="220"/>
      <c r="N1005" s="220"/>
      <c r="O1005" s="220"/>
      <c r="P1005" s="220"/>
      <c r="Q1005" s="220"/>
      <c r="R1005" s="220"/>
      <c r="S1005" s="220"/>
    </row>
    <row r="1006" spans="1:19" x14ac:dyDescent="0.25">
      <c r="A1006" s="220"/>
      <c r="B1006" s="220"/>
      <c r="C1006" s="220"/>
      <c r="D1006" s="220"/>
      <c r="E1006" s="220"/>
      <c r="F1006" s="220"/>
      <c r="G1006" s="220"/>
      <c r="H1006" s="220"/>
      <c r="I1006" s="220"/>
      <c r="J1006" s="220"/>
      <c r="K1006" s="220"/>
      <c r="L1006" s="220"/>
      <c r="M1006" s="220"/>
      <c r="N1006" s="220"/>
      <c r="O1006" s="220"/>
      <c r="P1006" s="220"/>
      <c r="Q1006" s="220"/>
      <c r="R1006" s="220"/>
      <c r="S1006" s="220"/>
    </row>
    <row r="1007" spans="1:19" x14ac:dyDescent="0.25">
      <c r="A1007" s="220"/>
      <c r="B1007" s="220"/>
      <c r="C1007" s="220"/>
      <c r="D1007" s="220"/>
      <c r="E1007" s="220"/>
      <c r="F1007" s="220"/>
      <c r="G1007" s="220"/>
      <c r="H1007" s="220"/>
      <c r="I1007" s="220"/>
      <c r="J1007" s="220"/>
      <c r="K1007" s="220"/>
      <c r="L1007" s="220"/>
      <c r="M1007" s="220"/>
      <c r="N1007" s="220"/>
      <c r="O1007" s="220"/>
      <c r="P1007" s="220"/>
      <c r="Q1007" s="220"/>
      <c r="R1007" s="220"/>
      <c r="S1007" s="220"/>
    </row>
    <row r="1008" spans="1:19" x14ac:dyDescent="0.25">
      <c r="A1008" s="220"/>
      <c r="B1008" s="220"/>
      <c r="C1008" s="220"/>
      <c r="D1008" s="220"/>
      <c r="E1008" s="220"/>
      <c r="F1008" s="220"/>
      <c r="G1008" s="220"/>
      <c r="H1008" s="220"/>
      <c r="I1008" s="220"/>
      <c r="J1008" s="220"/>
      <c r="K1008" s="220"/>
      <c r="L1008" s="220"/>
      <c r="M1008" s="220"/>
      <c r="N1008" s="220"/>
      <c r="O1008" s="220"/>
      <c r="P1008" s="220"/>
      <c r="Q1008" s="220"/>
      <c r="R1008" s="220"/>
      <c r="S1008" s="220"/>
    </row>
    <row r="1009" spans="1:19" x14ac:dyDescent="0.25">
      <c r="A1009" s="220"/>
      <c r="B1009" s="220"/>
      <c r="C1009" s="220"/>
      <c r="D1009" s="220"/>
      <c r="E1009" s="220"/>
      <c r="F1009" s="220"/>
      <c r="G1009" s="220"/>
      <c r="H1009" s="220"/>
      <c r="I1009" s="220"/>
      <c r="J1009" s="220"/>
      <c r="K1009" s="220"/>
      <c r="L1009" s="220"/>
      <c r="M1009" s="220"/>
      <c r="N1009" s="220"/>
      <c r="O1009" s="220"/>
      <c r="P1009" s="220"/>
      <c r="Q1009" s="220"/>
      <c r="R1009" s="220"/>
      <c r="S1009" s="220"/>
    </row>
    <row r="1010" spans="1:19" x14ac:dyDescent="0.25">
      <c r="A1010" s="220"/>
      <c r="B1010" s="220"/>
      <c r="C1010" s="220"/>
      <c r="D1010" s="220"/>
      <c r="E1010" s="220"/>
      <c r="F1010" s="220"/>
      <c r="G1010" s="220"/>
      <c r="H1010" s="220"/>
      <c r="I1010" s="220"/>
      <c r="J1010" s="220"/>
      <c r="K1010" s="220"/>
      <c r="L1010" s="220"/>
      <c r="M1010" s="220"/>
      <c r="N1010" s="220"/>
      <c r="O1010" s="220"/>
      <c r="P1010" s="220"/>
      <c r="Q1010" s="220"/>
      <c r="R1010" s="220"/>
      <c r="S1010" s="220"/>
    </row>
    <row r="1011" spans="1:19" x14ac:dyDescent="0.25">
      <c r="A1011" s="220"/>
      <c r="B1011" s="220"/>
      <c r="C1011" s="220"/>
      <c r="D1011" s="220"/>
      <c r="E1011" s="220"/>
      <c r="F1011" s="220"/>
      <c r="G1011" s="220"/>
      <c r="H1011" s="220"/>
      <c r="I1011" s="220"/>
      <c r="J1011" s="220"/>
      <c r="K1011" s="220"/>
      <c r="L1011" s="220"/>
      <c r="M1011" s="220"/>
      <c r="N1011" s="220"/>
      <c r="O1011" s="220"/>
      <c r="P1011" s="220"/>
      <c r="Q1011" s="220"/>
      <c r="R1011" s="220"/>
      <c r="S1011" s="220"/>
    </row>
    <row r="1012" spans="1:19" x14ac:dyDescent="0.25">
      <c r="A1012" s="220"/>
      <c r="B1012" s="220"/>
      <c r="C1012" s="220"/>
      <c r="D1012" s="220"/>
      <c r="E1012" s="220"/>
      <c r="F1012" s="220"/>
      <c r="G1012" s="220"/>
      <c r="H1012" s="220"/>
      <c r="I1012" s="220"/>
      <c r="J1012" s="220"/>
      <c r="K1012" s="220"/>
      <c r="L1012" s="220"/>
      <c r="M1012" s="220"/>
      <c r="N1012" s="220"/>
      <c r="O1012" s="220"/>
      <c r="P1012" s="220"/>
      <c r="Q1012" s="220"/>
      <c r="R1012" s="220"/>
      <c r="S1012" s="220"/>
    </row>
    <row r="1013" spans="1:19" x14ac:dyDescent="0.25">
      <c r="A1013" s="220"/>
      <c r="B1013" s="220"/>
      <c r="C1013" s="220"/>
      <c r="D1013" s="220"/>
      <c r="E1013" s="220"/>
      <c r="F1013" s="220"/>
      <c r="G1013" s="220"/>
      <c r="H1013" s="220"/>
      <c r="I1013" s="220"/>
      <c r="J1013" s="220"/>
      <c r="K1013" s="220"/>
      <c r="L1013" s="220"/>
      <c r="M1013" s="220"/>
      <c r="N1013" s="220"/>
      <c r="O1013" s="220"/>
      <c r="P1013" s="220"/>
      <c r="Q1013" s="220"/>
      <c r="R1013" s="220"/>
      <c r="S1013" s="220"/>
    </row>
    <row r="1014" spans="1:19" x14ac:dyDescent="0.25">
      <c r="A1014" s="220"/>
      <c r="B1014" s="220"/>
      <c r="C1014" s="220"/>
      <c r="D1014" s="220"/>
      <c r="E1014" s="220"/>
      <c r="F1014" s="220"/>
      <c r="G1014" s="220"/>
      <c r="H1014" s="220"/>
      <c r="I1014" s="220"/>
      <c r="J1014" s="220"/>
      <c r="K1014" s="220"/>
      <c r="L1014" s="220"/>
      <c r="M1014" s="220"/>
      <c r="N1014" s="220"/>
      <c r="O1014" s="220"/>
      <c r="P1014" s="220"/>
      <c r="Q1014" s="220"/>
      <c r="R1014" s="220"/>
      <c r="S1014" s="220"/>
    </row>
    <row r="1015" spans="1:19" x14ac:dyDescent="0.25">
      <c r="A1015" s="220"/>
      <c r="B1015" s="220"/>
      <c r="C1015" s="220"/>
      <c r="D1015" s="220"/>
      <c r="E1015" s="220"/>
      <c r="F1015" s="220"/>
      <c r="G1015" s="220"/>
      <c r="H1015" s="220"/>
      <c r="I1015" s="220"/>
      <c r="J1015" s="220"/>
      <c r="K1015" s="220"/>
      <c r="L1015" s="220"/>
      <c r="M1015" s="220"/>
      <c r="N1015" s="220"/>
      <c r="O1015" s="220"/>
      <c r="P1015" s="220"/>
      <c r="Q1015" s="220"/>
      <c r="R1015" s="220"/>
      <c r="S1015" s="220"/>
    </row>
    <row r="1016" spans="1:19" x14ac:dyDescent="0.25">
      <c r="A1016" s="220"/>
      <c r="B1016" s="220"/>
      <c r="C1016" s="220"/>
      <c r="D1016" s="220"/>
      <c r="E1016" s="220"/>
      <c r="F1016" s="220"/>
      <c r="G1016" s="220"/>
      <c r="H1016" s="220"/>
      <c r="I1016" s="220"/>
      <c r="J1016" s="220"/>
      <c r="K1016" s="220"/>
      <c r="L1016" s="220"/>
      <c r="M1016" s="220"/>
      <c r="N1016" s="220"/>
      <c r="O1016" s="220"/>
      <c r="P1016" s="220"/>
      <c r="Q1016" s="220"/>
      <c r="R1016" s="220"/>
      <c r="S1016" s="220"/>
    </row>
    <row r="1017" spans="1:19" x14ac:dyDescent="0.25">
      <c r="A1017" s="220"/>
      <c r="B1017" s="220"/>
      <c r="C1017" s="220"/>
      <c r="D1017" s="220"/>
      <c r="E1017" s="220"/>
      <c r="F1017" s="220"/>
      <c r="G1017" s="220"/>
      <c r="H1017" s="220"/>
      <c r="I1017" s="220"/>
      <c r="J1017" s="220"/>
      <c r="K1017" s="220"/>
      <c r="L1017" s="220"/>
      <c r="M1017" s="220"/>
      <c r="N1017" s="220"/>
      <c r="O1017" s="220"/>
      <c r="P1017" s="220"/>
      <c r="Q1017" s="220"/>
      <c r="R1017" s="220"/>
      <c r="S1017" s="220"/>
    </row>
    <row r="1018" spans="1:19" x14ac:dyDescent="0.25">
      <c r="A1018" s="220"/>
      <c r="B1018" s="220"/>
      <c r="C1018" s="220"/>
      <c r="D1018" s="220"/>
      <c r="E1018" s="220"/>
      <c r="F1018" s="220"/>
      <c r="G1018" s="220"/>
      <c r="H1018" s="220"/>
      <c r="I1018" s="220"/>
      <c r="J1018" s="220"/>
      <c r="K1018" s="220"/>
      <c r="L1018" s="220"/>
      <c r="M1018" s="220"/>
      <c r="N1018" s="220"/>
      <c r="O1018" s="220"/>
      <c r="P1018" s="220"/>
      <c r="Q1018" s="220"/>
      <c r="R1018" s="220"/>
      <c r="S1018" s="220"/>
    </row>
    <row r="1019" spans="1:19" x14ac:dyDescent="0.25">
      <c r="A1019" s="220"/>
      <c r="B1019" s="220"/>
      <c r="C1019" s="220"/>
      <c r="D1019" s="220"/>
      <c r="E1019" s="220"/>
      <c r="F1019" s="220"/>
      <c r="G1019" s="220"/>
      <c r="H1019" s="220"/>
      <c r="I1019" s="220"/>
      <c r="J1019" s="220"/>
      <c r="K1019" s="220"/>
      <c r="L1019" s="220"/>
      <c r="M1019" s="220"/>
      <c r="N1019" s="220"/>
      <c r="O1019" s="220"/>
      <c r="P1019" s="220"/>
      <c r="Q1019" s="220"/>
      <c r="R1019" s="220"/>
      <c r="S1019" s="220"/>
    </row>
    <row r="1020" spans="1:19" x14ac:dyDescent="0.25">
      <c r="A1020" s="220"/>
      <c r="B1020" s="220"/>
      <c r="C1020" s="220"/>
      <c r="D1020" s="220"/>
      <c r="E1020" s="220"/>
      <c r="F1020" s="220"/>
      <c r="G1020" s="220"/>
      <c r="H1020" s="220"/>
      <c r="I1020" s="220"/>
      <c r="J1020" s="220"/>
      <c r="K1020" s="220"/>
      <c r="L1020" s="220"/>
      <c r="M1020" s="220"/>
      <c r="N1020" s="220"/>
      <c r="O1020" s="220"/>
      <c r="P1020" s="220"/>
      <c r="Q1020" s="220"/>
      <c r="R1020" s="220"/>
      <c r="S1020" s="220"/>
    </row>
    <row r="1021" spans="1:19" x14ac:dyDescent="0.25">
      <c r="A1021" s="220"/>
      <c r="B1021" s="220"/>
      <c r="C1021" s="220"/>
      <c r="D1021" s="220"/>
      <c r="E1021" s="220"/>
      <c r="F1021" s="220"/>
      <c r="G1021" s="220"/>
      <c r="H1021" s="220"/>
      <c r="I1021" s="220"/>
      <c r="J1021" s="220"/>
      <c r="K1021" s="220"/>
      <c r="L1021" s="220"/>
      <c r="M1021" s="220"/>
      <c r="N1021" s="220"/>
      <c r="O1021" s="220"/>
      <c r="P1021" s="220"/>
      <c r="Q1021" s="220"/>
      <c r="R1021" s="220"/>
      <c r="S1021" s="220"/>
    </row>
    <row r="1022" spans="1:19" x14ac:dyDescent="0.25">
      <c r="A1022" s="220"/>
      <c r="B1022" s="220"/>
      <c r="C1022" s="220"/>
      <c r="D1022" s="220"/>
      <c r="E1022" s="220"/>
      <c r="F1022" s="220"/>
      <c r="G1022" s="220"/>
      <c r="H1022" s="220"/>
      <c r="I1022" s="220"/>
      <c r="J1022" s="220"/>
      <c r="K1022" s="220"/>
      <c r="L1022" s="220"/>
      <c r="M1022" s="220"/>
      <c r="N1022" s="220"/>
      <c r="O1022" s="220"/>
      <c r="P1022" s="220"/>
      <c r="Q1022" s="220"/>
      <c r="R1022" s="220"/>
      <c r="S1022" s="220"/>
    </row>
    <row r="1023" spans="1:19" x14ac:dyDescent="0.25">
      <c r="A1023" s="220"/>
      <c r="B1023" s="220"/>
      <c r="C1023" s="220"/>
      <c r="D1023" s="220"/>
      <c r="E1023" s="220"/>
      <c r="F1023" s="220"/>
      <c r="G1023" s="220"/>
      <c r="H1023" s="220"/>
      <c r="I1023" s="220"/>
      <c r="J1023" s="220"/>
      <c r="K1023" s="220"/>
      <c r="L1023" s="220"/>
      <c r="M1023" s="220"/>
      <c r="N1023" s="220"/>
      <c r="O1023" s="220"/>
      <c r="P1023" s="220"/>
      <c r="Q1023" s="220"/>
      <c r="R1023" s="220"/>
      <c r="S1023" s="220"/>
    </row>
    <row r="1024" spans="1:19" x14ac:dyDescent="0.25">
      <c r="A1024" s="220"/>
      <c r="B1024" s="220"/>
      <c r="C1024" s="220"/>
      <c r="D1024" s="220"/>
      <c r="E1024" s="220"/>
      <c r="F1024" s="220"/>
      <c r="G1024" s="220"/>
      <c r="H1024" s="220"/>
      <c r="I1024" s="220"/>
      <c r="J1024" s="220"/>
      <c r="K1024" s="220"/>
      <c r="L1024" s="220"/>
      <c r="M1024" s="220"/>
      <c r="N1024" s="220"/>
      <c r="O1024" s="220"/>
      <c r="P1024" s="220"/>
      <c r="Q1024" s="220"/>
      <c r="R1024" s="220"/>
      <c r="S1024" s="220"/>
    </row>
    <row r="1025" spans="1:19" x14ac:dyDescent="0.25">
      <c r="A1025" s="220"/>
      <c r="B1025" s="220"/>
      <c r="C1025" s="220"/>
      <c r="D1025" s="220"/>
      <c r="E1025" s="220"/>
      <c r="F1025" s="220"/>
      <c r="G1025" s="220"/>
      <c r="H1025" s="220"/>
      <c r="I1025" s="220"/>
      <c r="J1025" s="220"/>
      <c r="K1025" s="220"/>
      <c r="L1025" s="220"/>
      <c r="M1025" s="220"/>
      <c r="N1025" s="220"/>
      <c r="O1025" s="220"/>
      <c r="P1025" s="220"/>
      <c r="Q1025" s="220"/>
      <c r="R1025" s="220"/>
      <c r="S1025" s="220"/>
    </row>
    <row r="1026" spans="1:19" x14ac:dyDescent="0.25">
      <c r="A1026" s="220"/>
      <c r="B1026" s="220"/>
      <c r="C1026" s="220"/>
      <c r="D1026" s="220"/>
      <c r="E1026" s="220"/>
      <c r="F1026" s="220"/>
      <c r="G1026" s="220"/>
      <c r="H1026" s="220"/>
      <c r="I1026" s="220"/>
      <c r="J1026" s="220"/>
      <c r="K1026" s="220"/>
      <c r="L1026" s="220"/>
      <c r="M1026" s="220"/>
      <c r="N1026" s="220"/>
      <c r="O1026" s="220"/>
      <c r="P1026" s="220"/>
      <c r="Q1026" s="220"/>
      <c r="R1026" s="220"/>
      <c r="S1026" s="220"/>
    </row>
    <row r="1027" spans="1:19" x14ac:dyDescent="0.25">
      <c r="A1027" s="220"/>
      <c r="B1027" s="220"/>
      <c r="C1027" s="220"/>
      <c r="D1027" s="220"/>
      <c r="E1027" s="220"/>
      <c r="F1027" s="220"/>
      <c r="G1027" s="220"/>
      <c r="H1027" s="220"/>
      <c r="I1027" s="220"/>
      <c r="J1027" s="220"/>
      <c r="K1027" s="220"/>
      <c r="L1027" s="220"/>
      <c r="M1027" s="220"/>
      <c r="N1027" s="220"/>
      <c r="O1027" s="220"/>
      <c r="P1027" s="220"/>
      <c r="Q1027" s="220"/>
      <c r="R1027" s="220"/>
      <c r="S1027" s="220"/>
    </row>
    <row r="1028" spans="1:19" x14ac:dyDescent="0.25">
      <c r="A1028" s="220"/>
      <c r="B1028" s="220"/>
      <c r="C1028" s="220"/>
      <c r="D1028" s="220"/>
      <c r="E1028" s="220"/>
      <c r="F1028" s="220"/>
      <c r="G1028" s="220"/>
      <c r="H1028" s="220"/>
      <c r="I1028" s="220"/>
      <c r="J1028" s="220"/>
      <c r="K1028" s="220"/>
      <c r="L1028" s="220"/>
      <c r="M1028" s="220"/>
      <c r="N1028" s="220"/>
      <c r="O1028" s="220"/>
      <c r="P1028" s="220"/>
      <c r="Q1028" s="220"/>
      <c r="R1028" s="220"/>
      <c r="S1028" s="220"/>
    </row>
    <row r="1029" spans="1:19" x14ac:dyDescent="0.25">
      <c r="A1029" s="220"/>
      <c r="B1029" s="220"/>
      <c r="C1029" s="220"/>
      <c r="D1029" s="220"/>
      <c r="E1029" s="220"/>
      <c r="F1029" s="220"/>
      <c r="G1029" s="220"/>
      <c r="H1029" s="220"/>
      <c r="I1029" s="220"/>
      <c r="J1029" s="220"/>
      <c r="K1029" s="220"/>
      <c r="L1029" s="220"/>
      <c r="M1029" s="220"/>
      <c r="N1029" s="220"/>
      <c r="O1029" s="220"/>
      <c r="P1029" s="220"/>
      <c r="Q1029" s="220"/>
      <c r="R1029" s="220"/>
      <c r="S1029" s="220"/>
    </row>
    <row r="1030" spans="1:19" x14ac:dyDescent="0.25">
      <c r="A1030" s="220"/>
      <c r="B1030" s="220"/>
      <c r="C1030" s="220"/>
      <c r="D1030" s="220"/>
      <c r="E1030" s="220"/>
      <c r="F1030" s="220"/>
      <c r="G1030" s="220"/>
      <c r="H1030" s="220"/>
      <c r="I1030" s="220"/>
      <c r="J1030" s="220"/>
      <c r="K1030" s="220"/>
      <c r="L1030" s="220"/>
      <c r="M1030" s="220"/>
      <c r="N1030" s="220"/>
      <c r="O1030" s="220"/>
      <c r="P1030" s="220"/>
      <c r="Q1030" s="220"/>
      <c r="R1030" s="220"/>
      <c r="S1030" s="220"/>
    </row>
    <row r="1031" spans="1:19" x14ac:dyDescent="0.25">
      <c r="A1031" s="220"/>
      <c r="B1031" s="220"/>
      <c r="C1031" s="220"/>
      <c r="D1031" s="220"/>
      <c r="E1031" s="220"/>
      <c r="F1031" s="220"/>
      <c r="G1031" s="220"/>
      <c r="H1031" s="220"/>
      <c r="I1031" s="220"/>
      <c r="J1031" s="220"/>
      <c r="K1031" s="220"/>
      <c r="L1031" s="220"/>
      <c r="M1031" s="220"/>
      <c r="N1031" s="220"/>
      <c r="O1031" s="220"/>
      <c r="P1031" s="220"/>
      <c r="Q1031" s="220"/>
      <c r="R1031" s="220"/>
      <c r="S1031" s="220"/>
    </row>
    <row r="1032" spans="1:19" x14ac:dyDescent="0.25">
      <c r="A1032" s="220"/>
      <c r="B1032" s="220"/>
      <c r="C1032" s="220"/>
      <c r="D1032" s="220"/>
      <c r="E1032" s="220"/>
      <c r="F1032" s="220"/>
      <c r="G1032" s="220"/>
      <c r="H1032" s="220"/>
      <c r="I1032" s="220"/>
      <c r="J1032" s="220"/>
      <c r="K1032" s="220"/>
      <c r="L1032" s="220"/>
      <c r="M1032" s="220"/>
      <c r="N1032" s="220"/>
      <c r="O1032" s="220"/>
      <c r="P1032" s="220"/>
      <c r="Q1032" s="220"/>
      <c r="R1032" s="220"/>
      <c r="S1032" s="220"/>
    </row>
    <row r="1033" spans="1:19" x14ac:dyDescent="0.25">
      <c r="A1033" s="220"/>
      <c r="B1033" s="220"/>
      <c r="C1033" s="220"/>
      <c r="D1033" s="220"/>
      <c r="E1033" s="220"/>
      <c r="F1033" s="220"/>
      <c r="G1033" s="220"/>
      <c r="H1033" s="220"/>
      <c r="I1033" s="220"/>
      <c r="J1033" s="220"/>
      <c r="K1033" s="220"/>
      <c r="L1033" s="220"/>
      <c r="M1033" s="220"/>
      <c r="N1033" s="220"/>
      <c r="O1033" s="220"/>
      <c r="P1033" s="220"/>
      <c r="Q1033" s="220"/>
      <c r="R1033" s="220"/>
      <c r="S1033" s="220"/>
    </row>
    <row r="1034" spans="1:19" x14ac:dyDescent="0.25">
      <c r="A1034" s="220"/>
      <c r="B1034" s="220"/>
      <c r="C1034" s="220"/>
      <c r="D1034" s="220"/>
      <c r="E1034" s="220"/>
      <c r="F1034" s="220"/>
      <c r="G1034" s="220"/>
      <c r="H1034" s="220"/>
      <c r="I1034" s="220"/>
      <c r="J1034" s="220"/>
      <c r="K1034" s="220"/>
      <c r="L1034" s="220"/>
      <c r="M1034" s="220"/>
      <c r="N1034" s="220"/>
      <c r="O1034" s="220"/>
      <c r="P1034" s="220"/>
      <c r="Q1034" s="220"/>
      <c r="R1034" s="220"/>
      <c r="S1034" s="220"/>
    </row>
    <row r="1035" spans="1:19" x14ac:dyDescent="0.25">
      <c r="A1035" s="220"/>
      <c r="B1035" s="220"/>
      <c r="C1035" s="220"/>
      <c r="D1035" s="220"/>
      <c r="E1035" s="220"/>
      <c r="F1035" s="220"/>
      <c r="G1035" s="220"/>
      <c r="H1035" s="220"/>
      <c r="I1035" s="220"/>
      <c r="J1035" s="220"/>
      <c r="K1035" s="220"/>
      <c r="L1035" s="220"/>
      <c r="M1035" s="220"/>
      <c r="N1035" s="220"/>
      <c r="O1035" s="220"/>
      <c r="P1035" s="220"/>
      <c r="Q1035" s="220"/>
      <c r="R1035" s="220"/>
      <c r="S1035" s="220"/>
    </row>
    <row r="1036" spans="1:19" x14ac:dyDescent="0.25">
      <c r="A1036" s="220"/>
      <c r="B1036" s="220"/>
      <c r="C1036" s="220"/>
      <c r="D1036" s="220"/>
      <c r="E1036" s="220"/>
      <c r="F1036" s="220"/>
      <c r="G1036" s="220"/>
      <c r="H1036" s="220"/>
      <c r="I1036" s="220"/>
      <c r="J1036" s="220"/>
      <c r="K1036" s="220"/>
      <c r="L1036" s="220"/>
      <c r="M1036" s="220"/>
      <c r="N1036" s="220"/>
      <c r="O1036" s="220"/>
      <c r="P1036" s="220"/>
      <c r="Q1036" s="220"/>
      <c r="R1036" s="220"/>
      <c r="S1036" s="220"/>
    </row>
    <row r="1037" spans="1:19" x14ac:dyDescent="0.25">
      <c r="A1037" s="220"/>
      <c r="B1037" s="220"/>
      <c r="C1037" s="220"/>
      <c r="D1037" s="220"/>
      <c r="E1037" s="220"/>
      <c r="F1037" s="220"/>
      <c r="G1037" s="220"/>
      <c r="H1037" s="220"/>
      <c r="I1037" s="220"/>
      <c r="J1037" s="220"/>
      <c r="K1037" s="220"/>
      <c r="L1037" s="220"/>
      <c r="M1037" s="220"/>
      <c r="N1037" s="220"/>
      <c r="O1037" s="220"/>
      <c r="P1037" s="220"/>
      <c r="Q1037" s="220"/>
      <c r="R1037" s="220"/>
      <c r="S1037" s="220"/>
    </row>
    <row r="1038" spans="1:19" x14ac:dyDescent="0.25">
      <c r="A1038" s="220"/>
      <c r="B1038" s="220"/>
      <c r="C1038" s="220"/>
      <c r="D1038" s="220"/>
      <c r="E1038" s="220"/>
      <c r="F1038" s="220"/>
      <c r="G1038" s="220"/>
      <c r="H1038" s="220"/>
      <c r="I1038" s="220"/>
      <c r="J1038" s="220"/>
      <c r="K1038" s="220"/>
      <c r="L1038" s="220"/>
      <c r="M1038" s="220"/>
      <c r="N1038" s="220"/>
      <c r="O1038" s="220"/>
      <c r="P1038" s="220"/>
      <c r="Q1038" s="220"/>
      <c r="R1038" s="220"/>
      <c r="S1038" s="220"/>
    </row>
    <row r="1039" spans="1:19" x14ac:dyDescent="0.25">
      <c r="A1039" s="220"/>
      <c r="B1039" s="220"/>
      <c r="C1039" s="220"/>
      <c r="D1039" s="220"/>
      <c r="E1039" s="220"/>
      <c r="F1039" s="220"/>
      <c r="G1039" s="220"/>
      <c r="H1039" s="220"/>
      <c r="I1039" s="220"/>
      <c r="J1039" s="220"/>
      <c r="K1039" s="220"/>
      <c r="L1039" s="220"/>
      <c r="M1039" s="220"/>
      <c r="N1039" s="220"/>
      <c r="O1039" s="220"/>
      <c r="P1039" s="220"/>
      <c r="Q1039" s="220"/>
      <c r="R1039" s="220"/>
      <c r="S1039" s="220"/>
    </row>
    <row r="1040" spans="1:19" x14ac:dyDescent="0.25">
      <c r="A1040" s="220"/>
      <c r="B1040" s="220"/>
      <c r="C1040" s="220"/>
      <c r="D1040" s="220"/>
      <c r="E1040" s="220"/>
      <c r="F1040" s="220"/>
      <c r="G1040" s="220"/>
      <c r="H1040" s="220"/>
      <c r="I1040" s="220"/>
      <c r="J1040" s="220"/>
      <c r="K1040" s="220"/>
      <c r="L1040" s="220"/>
      <c r="M1040" s="220"/>
      <c r="N1040" s="220"/>
      <c r="O1040" s="220"/>
      <c r="P1040" s="220"/>
      <c r="Q1040" s="220"/>
      <c r="R1040" s="220"/>
      <c r="S1040" s="220"/>
    </row>
    <row r="1041" spans="1:19" x14ac:dyDescent="0.25">
      <c r="A1041" s="220"/>
      <c r="B1041" s="220"/>
      <c r="C1041" s="220"/>
      <c r="D1041" s="220"/>
      <c r="E1041" s="220"/>
      <c r="F1041" s="220"/>
      <c r="G1041" s="220"/>
      <c r="H1041" s="220"/>
      <c r="I1041" s="220"/>
      <c r="J1041" s="220"/>
      <c r="K1041" s="220"/>
      <c r="L1041" s="220"/>
      <c r="M1041" s="220"/>
      <c r="N1041" s="220"/>
      <c r="O1041" s="220"/>
      <c r="P1041" s="220"/>
      <c r="Q1041" s="220"/>
      <c r="R1041" s="220"/>
      <c r="S1041" s="220"/>
    </row>
    <row r="1042" spans="1:19" x14ac:dyDescent="0.25">
      <c r="A1042" s="220"/>
      <c r="B1042" s="220"/>
      <c r="C1042" s="220"/>
      <c r="D1042" s="220"/>
      <c r="E1042" s="220"/>
      <c r="F1042" s="220"/>
      <c r="G1042" s="220"/>
      <c r="H1042" s="220"/>
      <c r="I1042" s="220"/>
      <c r="J1042" s="220"/>
      <c r="K1042" s="220"/>
      <c r="L1042" s="220"/>
      <c r="M1042" s="220"/>
      <c r="N1042" s="220"/>
      <c r="O1042" s="220"/>
      <c r="P1042" s="220"/>
      <c r="Q1042" s="220"/>
      <c r="R1042" s="220"/>
      <c r="S1042" s="220"/>
    </row>
    <row r="1043" spans="1:19" x14ac:dyDescent="0.25">
      <c r="A1043" s="220"/>
      <c r="B1043" s="220"/>
      <c r="C1043" s="220"/>
      <c r="D1043" s="220"/>
      <c r="E1043" s="220"/>
      <c r="F1043" s="220"/>
      <c r="G1043" s="220"/>
      <c r="H1043" s="220"/>
      <c r="I1043" s="220"/>
      <c r="J1043" s="220"/>
      <c r="K1043" s="220"/>
      <c r="L1043" s="220"/>
      <c r="M1043" s="220"/>
      <c r="N1043" s="220"/>
      <c r="O1043" s="220"/>
      <c r="P1043" s="220"/>
      <c r="Q1043" s="220"/>
      <c r="R1043" s="220"/>
      <c r="S1043" s="220"/>
    </row>
    <row r="1044" spans="1:19" x14ac:dyDescent="0.25">
      <c r="A1044" s="220"/>
      <c r="B1044" s="220"/>
      <c r="C1044" s="220"/>
      <c r="D1044" s="220"/>
      <c r="E1044" s="220"/>
      <c r="F1044" s="220"/>
      <c r="G1044" s="220"/>
      <c r="H1044" s="220"/>
      <c r="I1044" s="220"/>
      <c r="J1044" s="220"/>
      <c r="K1044" s="220"/>
      <c r="L1044" s="220"/>
      <c r="M1044" s="220"/>
      <c r="N1044" s="220"/>
      <c r="O1044" s="220"/>
      <c r="P1044" s="220"/>
      <c r="Q1044" s="220"/>
      <c r="R1044" s="220"/>
      <c r="S1044" s="220"/>
    </row>
    <row r="1045" spans="1:19" x14ac:dyDescent="0.25">
      <c r="A1045" s="220"/>
      <c r="B1045" s="220"/>
      <c r="C1045" s="220"/>
      <c r="D1045" s="220"/>
      <c r="E1045" s="220"/>
      <c r="F1045" s="220"/>
      <c r="G1045" s="220"/>
      <c r="H1045" s="220"/>
      <c r="I1045" s="220"/>
      <c r="J1045" s="220"/>
      <c r="K1045" s="220"/>
      <c r="L1045" s="220"/>
      <c r="M1045" s="220"/>
      <c r="N1045" s="220"/>
      <c r="O1045" s="220"/>
      <c r="P1045" s="220"/>
      <c r="Q1045" s="220"/>
      <c r="R1045" s="220"/>
      <c r="S1045" s="220"/>
    </row>
    <row r="1046" spans="1:19" x14ac:dyDescent="0.25">
      <c r="A1046" s="220"/>
      <c r="B1046" s="220"/>
      <c r="C1046" s="220"/>
      <c r="D1046" s="220"/>
      <c r="E1046" s="220"/>
      <c r="F1046" s="220"/>
      <c r="G1046" s="220"/>
      <c r="H1046" s="220"/>
      <c r="I1046" s="220"/>
      <c r="J1046" s="220"/>
      <c r="K1046" s="220"/>
      <c r="L1046" s="220"/>
      <c r="M1046" s="220"/>
      <c r="N1046" s="220"/>
      <c r="O1046" s="220"/>
      <c r="P1046" s="220"/>
      <c r="Q1046" s="220"/>
      <c r="R1046" s="220"/>
      <c r="S1046" s="220"/>
    </row>
    <row r="1047" spans="1:19" x14ac:dyDescent="0.25">
      <c r="A1047" s="220"/>
      <c r="B1047" s="220"/>
      <c r="C1047" s="220"/>
      <c r="D1047" s="220"/>
      <c r="E1047" s="220"/>
      <c r="F1047" s="220"/>
      <c r="G1047" s="220"/>
      <c r="H1047" s="220"/>
      <c r="I1047" s="220"/>
      <c r="J1047" s="220"/>
      <c r="K1047" s="220"/>
      <c r="L1047" s="220"/>
      <c r="M1047" s="220"/>
      <c r="N1047" s="220"/>
      <c r="O1047" s="220"/>
      <c r="P1047" s="220"/>
      <c r="Q1047" s="220"/>
      <c r="R1047" s="220"/>
      <c r="S1047" s="220"/>
    </row>
    <row r="1048" spans="1:19" x14ac:dyDescent="0.25">
      <c r="A1048" s="220"/>
      <c r="B1048" s="220"/>
      <c r="C1048" s="220"/>
      <c r="D1048" s="220"/>
      <c r="E1048" s="220"/>
      <c r="F1048" s="220"/>
      <c r="G1048" s="220"/>
      <c r="H1048" s="220"/>
      <c r="I1048" s="220"/>
      <c r="J1048" s="220"/>
      <c r="K1048" s="220"/>
      <c r="L1048" s="220"/>
      <c r="M1048" s="220"/>
      <c r="N1048" s="220"/>
      <c r="O1048" s="220"/>
      <c r="P1048" s="220"/>
      <c r="Q1048" s="220"/>
      <c r="R1048" s="220"/>
      <c r="S1048" s="220"/>
    </row>
    <row r="1049" spans="1:19" x14ac:dyDescent="0.25">
      <c r="A1049" s="220"/>
      <c r="B1049" s="220"/>
      <c r="C1049" s="220"/>
      <c r="D1049" s="220"/>
      <c r="E1049" s="220"/>
      <c r="F1049" s="220"/>
      <c r="G1049" s="220"/>
      <c r="H1049" s="220"/>
      <c r="I1049" s="220"/>
      <c r="J1049" s="220"/>
      <c r="K1049" s="220"/>
      <c r="L1049" s="220"/>
      <c r="M1049" s="220"/>
      <c r="N1049" s="220"/>
      <c r="O1049" s="220"/>
      <c r="P1049" s="220"/>
      <c r="Q1049" s="220"/>
      <c r="R1049" s="220"/>
      <c r="S1049" s="220"/>
    </row>
    <row r="1050" spans="1:19" x14ac:dyDescent="0.25">
      <c r="A1050" s="220"/>
      <c r="B1050" s="220"/>
      <c r="C1050" s="220"/>
      <c r="D1050" s="220"/>
      <c r="E1050" s="220"/>
      <c r="F1050" s="220"/>
      <c r="G1050" s="220"/>
      <c r="H1050" s="220"/>
      <c r="I1050" s="220"/>
      <c r="J1050" s="220"/>
      <c r="K1050" s="220"/>
      <c r="L1050" s="220"/>
      <c r="M1050" s="220"/>
      <c r="N1050" s="220"/>
      <c r="O1050" s="220"/>
      <c r="P1050" s="220"/>
      <c r="Q1050" s="220"/>
      <c r="R1050" s="220"/>
      <c r="S1050" s="220"/>
    </row>
    <row r="1051" spans="1:19" x14ac:dyDescent="0.25">
      <c r="A1051" s="220"/>
      <c r="B1051" s="220"/>
      <c r="C1051" s="220"/>
      <c r="D1051" s="220"/>
      <c r="E1051" s="220"/>
      <c r="F1051" s="220"/>
      <c r="G1051" s="220"/>
      <c r="H1051" s="220"/>
      <c r="I1051" s="220"/>
      <c r="J1051" s="220"/>
      <c r="K1051" s="220"/>
      <c r="L1051" s="220"/>
      <c r="M1051" s="220"/>
      <c r="N1051" s="220"/>
      <c r="O1051" s="220"/>
      <c r="P1051" s="220"/>
      <c r="Q1051" s="220"/>
      <c r="R1051" s="220"/>
      <c r="S1051" s="220"/>
    </row>
    <row r="1052" spans="1:19" x14ac:dyDescent="0.25">
      <c r="A1052" s="220"/>
      <c r="B1052" s="220"/>
      <c r="C1052" s="220"/>
      <c r="D1052" s="220"/>
      <c r="E1052" s="220"/>
      <c r="F1052" s="220"/>
      <c r="G1052" s="220"/>
      <c r="H1052" s="220"/>
      <c r="I1052" s="220"/>
      <c r="J1052" s="220"/>
      <c r="K1052" s="220"/>
      <c r="L1052" s="220"/>
      <c r="M1052" s="220"/>
      <c r="N1052" s="220"/>
      <c r="O1052" s="220"/>
      <c r="P1052" s="220"/>
      <c r="Q1052" s="220"/>
      <c r="R1052" s="220"/>
      <c r="S1052" s="220"/>
    </row>
    <row r="1053" spans="1:19" x14ac:dyDescent="0.25">
      <c r="A1053" s="220"/>
      <c r="B1053" s="220"/>
      <c r="C1053" s="220"/>
      <c r="D1053" s="220"/>
      <c r="E1053" s="220"/>
      <c r="F1053" s="220"/>
      <c r="G1053" s="220"/>
      <c r="H1053" s="220"/>
      <c r="I1053" s="220"/>
      <c r="J1053" s="220"/>
      <c r="K1053" s="220"/>
      <c r="L1053" s="220"/>
      <c r="M1053" s="220"/>
      <c r="N1053" s="220"/>
      <c r="O1053" s="220"/>
      <c r="P1053" s="220"/>
      <c r="Q1053" s="220"/>
      <c r="R1053" s="220"/>
      <c r="S1053" s="220"/>
    </row>
    <row r="1054" spans="1:19" x14ac:dyDescent="0.25">
      <c r="A1054" s="220"/>
      <c r="B1054" s="220"/>
      <c r="C1054" s="220"/>
      <c r="D1054" s="220"/>
      <c r="E1054" s="220"/>
      <c r="F1054" s="220"/>
      <c r="G1054" s="220"/>
      <c r="H1054" s="220"/>
      <c r="I1054" s="220"/>
      <c r="J1054" s="220"/>
      <c r="K1054" s="220"/>
      <c r="L1054" s="220"/>
      <c r="M1054" s="220"/>
      <c r="N1054" s="220"/>
      <c r="O1054" s="220"/>
      <c r="P1054" s="220"/>
      <c r="Q1054" s="220"/>
      <c r="R1054" s="220"/>
      <c r="S1054" s="220"/>
    </row>
    <row r="1055" spans="1:19" x14ac:dyDescent="0.25">
      <c r="A1055" s="220"/>
      <c r="B1055" s="220"/>
      <c r="C1055" s="220"/>
      <c r="D1055" s="220"/>
      <c r="E1055" s="220"/>
      <c r="F1055" s="220"/>
      <c r="G1055" s="220"/>
      <c r="H1055" s="220"/>
      <c r="I1055" s="220"/>
      <c r="J1055" s="220"/>
      <c r="K1055" s="220"/>
      <c r="L1055" s="220"/>
      <c r="M1055" s="220"/>
      <c r="N1055" s="220"/>
      <c r="O1055" s="220"/>
      <c r="P1055" s="220"/>
      <c r="Q1055" s="220"/>
      <c r="R1055" s="220"/>
      <c r="S1055" s="220"/>
    </row>
    <row r="1056" spans="1:19" x14ac:dyDescent="0.25">
      <c r="A1056" s="220"/>
      <c r="B1056" s="220"/>
      <c r="C1056" s="220"/>
      <c r="D1056" s="220"/>
      <c r="E1056" s="220"/>
      <c r="F1056" s="220"/>
      <c r="G1056" s="220"/>
      <c r="H1056" s="220"/>
      <c r="I1056" s="220"/>
      <c r="J1056" s="220"/>
      <c r="K1056" s="220"/>
      <c r="L1056" s="220"/>
      <c r="M1056" s="220"/>
      <c r="N1056" s="220"/>
      <c r="O1056" s="220"/>
      <c r="P1056" s="220"/>
      <c r="Q1056" s="220"/>
      <c r="R1056" s="220"/>
      <c r="S1056" s="220"/>
    </row>
    <row r="1057" spans="1:19" x14ac:dyDescent="0.25">
      <c r="A1057" s="220"/>
      <c r="B1057" s="220"/>
      <c r="C1057" s="220"/>
      <c r="D1057" s="220"/>
      <c r="E1057" s="220"/>
      <c r="F1057" s="220"/>
      <c r="G1057" s="220"/>
      <c r="H1057" s="220"/>
      <c r="I1057" s="220"/>
      <c r="J1057" s="220"/>
      <c r="K1057" s="220"/>
      <c r="L1057" s="220"/>
      <c r="M1057" s="220"/>
      <c r="N1057" s="220"/>
      <c r="O1057" s="220"/>
      <c r="P1057" s="220"/>
      <c r="Q1057" s="220"/>
      <c r="R1057" s="220"/>
      <c r="S1057" s="220"/>
    </row>
    <row r="1058" spans="1:19" x14ac:dyDescent="0.25">
      <c r="A1058" s="220"/>
      <c r="B1058" s="220"/>
      <c r="C1058" s="220"/>
      <c r="D1058" s="220"/>
      <c r="E1058" s="220"/>
      <c r="F1058" s="220"/>
      <c r="G1058" s="220"/>
      <c r="H1058" s="220"/>
      <c r="I1058" s="220"/>
      <c r="J1058" s="220"/>
      <c r="K1058" s="220"/>
      <c r="L1058" s="220"/>
      <c r="M1058" s="220"/>
      <c r="N1058" s="220"/>
      <c r="O1058" s="220"/>
      <c r="P1058" s="220"/>
      <c r="Q1058" s="220"/>
      <c r="R1058" s="220"/>
      <c r="S1058" s="220"/>
    </row>
    <row r="1059" spans="1:19" x14ac:dyDescent="0.25">
      <c r="A1059" s="220"/>
      <c r="B1059" s="220"/>
      <c r="C1059" s="220"/>
      <c r="D1059" s="220"/>
      <c r="E1059" s="220"/>
      <c r="F1059" s="220"/>
      <c r="G1059" s="220"/>
      <c r="H1059" s="220"/>
      <c r="I1059" s="220"/>
      <c r="J1059" s="220"/>
      <c r="K1059" s="220"/>
      <c r="L1059" s="220"/>
      <c r="M1059" s="220"/>
      <c r="N1059" s="220"/>
      <c r="O1059" s="220"/>
      <c r="P1059" s="220"/>
      <c r="Q1059" s="220"/>
      <c r="R1059" s="220"/>
      <c r="S1059" s="220"/>
    </row>
    <row r="1060" spans="1:19" x14ac:dyDescent="0.25">
      <c r="A1060" s="220"/>
      <c r="B1060" s="220"/>
      <c r="C1060" s="220"/>
      <c r="D1060" s="220"/>
      <c r="E1060" s="220"/>
      <c r="F1060" s="220"/>
      <c r="G1060" s="220"/>
      <c r="H1060" s="220"/>
      <c r="I1060" s="220"/>
      <c r="J1060" s="220"/>
      <c r="K1060" s="220"/>
      <c r="L1060" s="220"/>
      <c r="M1060" s="220"/>
      <c r="N1060" s="220"/>
      <c r="O1060" s="220"/>
      <c r="P1060" s="220"/>
      <c r="Q1060" s="220"/>
      <c r="R1060" s="220"/>
      <c r="S1060" s="220"/>
    </row>
    <row r="1061" spans="1:19" x14ac:dyDescent="0.25">
      <c r="A1061" s="220"/>
      <c r="B1061" s="220"/>
      <c r="C1061" s="220"/>
      <c r="D1061" s="220"/>
      <c r="E1061" s="220"/>
      <c r="F1061" s="220"/>
      <c r="G1061" s="220"/>
      <c r="H1061" s="220"/>
      <c r="I1061" s="220"/>
      <c r="J1061" s="220"/>
      <c r="K1061" s="220"/>
      <c r="L1061" s="220"/>
      <c r="M1061" s="220"/>
      <c r="N1061" s="220"/>
      <c r="O1061" s="220"/>
      <c r="P1061" s="220"/>
      <c r="Q1061" s="220"/>
      <c r="R1061" s="220"/>
      <c r="S1061" s="220"/>
    </row>
    <row r="1062" spans="1:19" x14ac:dyDescent="0.25">
      <c r="A1062" s="220"/>
      <c r="B1062" s="220"/>
      <c r="C1062" s="220"/>
      <c r="D1062" s="220"/>
      <c r="E1062" s="220"/>
      <c r="F1062" s="220"/>
      <c r="G1062" s="220"/>
      <c r="H1062" s="220"/>
      <c r="I1062" s="220"/>
      <c r="J1062" s="220"/>
      <c r="K1062" s="220"/>
      <c r="L1062" s="220"/>
      <c r="M1062" s="220"/>
      <c r="N1062" s="220"/>
      <c r="O1062" s="220"/>
      <c r="P1062" s="220"/>
      <c r="Q1062" s="220"/>
      <c r="R1062" s="220"/>
      <c r="S1062" s="220"/>
    </row>
    <row r="1063" spans="1:19" x14ac:dyDescent="0.25">
      <c r="A1063" s="220"/>
      <c r="B1063" s="220"/>
      <c r="C1063" s="220"/>
      <c r="D1063" s="220"/>
      <c r="E1063" s="220"/>
      <c r="F1063" s="220"/>
      <c r="G1063" s="220"/>
      <c r="H1063" s="220"/>
      <c r="I1063" s="220"/>
      <c r="J1063" s="220"/>
      <c r="K1063" s="220"/>
      <c r="L1063" s="220"/>
      <c r="M1063" s="220"/>
      <c r="N1063" s="220"/>
      <c r="O1063" s="220"/>
      <c r="P1063" s="220"/>
      <c r="Q1063" s="220"/>
      <c r="R1063" s="220"/>
      <c r="S1063" s="220"/>
    </row>
    <row r="1064" spans="1:19" x14ac:dyDescent="0.25">
      <c r="A1064" s="220"/>
      <c r="B1064" s="220"/>
      <c r="C1064" s="220"/>
      <c r="D1064" s="220"/>
      <c r="E1064" s="220"/>
      <c r="F1064" s="220"/>
      <c r="G1064" s="220"/>
      <c r="H1064" s="220"/>
      <c r="I1064" s="220"/>
      <c r="J1064" s="220"/>
      <c r="K1064" s="220"/>
      <c r="L1064" s="220"/>
      <c r="M1064" s="220"/>
      <c r="N1064" s="220"/>
      <c r="O1064" s="220"/>
      <c r="P1064" s="220"/>
      <c r="Q1064" s="220"/>
      <c r="R1064" s="220"/>
      <c r="S1064" s="220"/>
    </row>
    <row r="1065" spans="1:19" x14ac:dyDescent="0.25">
      <c r="A1065" s="220"/>
      <c r="B1065" s="220"/>
      <c r="C1065" s="220"/>
      <c r="D1065" s="220"/>
      <c r="E1065" s="220"/>
      <c r="F1065" s="220"/>
      <c r="G1065" s="220"/>
      <c r="H1065" s="220"/>
      <c r="I1065" s="220"/>
      <c r="J1065" s="220"/>
      <c r="K1065" s="220"/>
      <c r="L1065" s="220"/>
      <c r="M1065" s="220"/>
      <c r="N1065" s="220"/>
      <c r="O1065" s="220"/>
      <c r="P1065" s="220"/>
      <c r="Q1065" s="220"/>
      <c r="R1065" s="220"/>
      <c r="S1065" s="220"/>
    </row>
    <row r="1066" spans="1:19" x14ac:dyDescent="0.25">
      <c r="A1066" s="220"/>
      <c r="B1066" s="220"/>
      <c r="C1066" s="220"/>
      <c r="D1066" s="220"/>
      <c r="E1066" s="220"/>
      <c r="F1066" s="220"/>
      <c r="G1066" s="220"/>
      <c r="H1066" s="220"/>
      <c r="I1066" s="220"/>
      <c r="J1066" s="220"/>
      <c r="K1066" s="220"/>
      <c r="L1066" s="220"/>
      <c r="M1066" s="220"/>
      <c r="N1066" s="220"/>
      <c r="O1066" s="220"/>
      <c r="P1066" s="220"/>
      <c r="Q1066" s="220"/>
      <c r="R1066" s="220"/>
      <c r="S1066" s="220"/>
    </row>
    <row r="1067" spans="1:19" x14ac:dyDescent="0.25">
      <c r="A1067" s="220"/>
      <c r="B1067" s="220"/>
      <c r="C1067" s="220"/>
      <c r="D1067" s="220"/>
      <c r="E1067" s="220"/>
      <c r="F1067" s="220"/>
      <c r="G1067" s="220"/>
      <c r="H1067" s="220"/>
      <c r="I1067" s="220"/>
      <c r="J1067" s="220"/>
      <c r="K1067" s="220"/>
      <c r="L1067" s="220"/>
      <c r="M1067" s="220"/>
      <c r="N1067" s="220"/>
      <c r="O1067" s="220"/>
      <c r="P1067" s="220"/>
      <c r="Q1067" s="220"/>
      <c r="R1067" s="220"/>
      <c r="S1067" s="220"/>
    </row>
    <row r="1068" spans="1:19" x14ac:dyDescent="0.25">
      <c r="A1068" s="220"/>
      <c r="B1068" s="220"/>
      <c r="C1068" s="220"/>
      <c r="D1068" s="220"/>
      <c r="E1068" s="220"/>
      <c r="F1068" s="220"/>
      <c r="G1068" s="220"/>
      <c r="H1068" s="220"/>
      <c r="I1068" s="220"/>
      <c r="J1068" s="220"/>
      <c r="K1068" s="220"/>
      <c r="L1068" s="220"/>
      <c r="M1068" s="220"/>
      <c r="N1068" s="220"/>
      <c r="O1068" s="220"/>
      <c r="P1068" s="220"/>
      <c r="Q1068" s="220"/>
      <c r="R1068" s="220"/>
      <c r="S1068" s="220"/>
    </row>
    <row r="1069" spans="1:19" x14ac:dyDescent="0.25">
      <c r="A1069" s="220"/>
      <c r="B1069" s="220"/>
      <c r="C1069" s="220"/>
      <c r="D1069" s="220"/>
      <c r="E1069" s="220"/>
      <c r="F1069" s="220"/>
      <c r="G1069" s="220"/>
      <c r="H1069" s="220"/>
      <c r="I1069" s="220"/>
      <c r="J1069" s="220"/>
      <c r="K1069" s="220"/>
      <c r="L1069" s="220"/>
      <c r="M1069" s="220"/>
      <c r="N1069" s="220"/>
      <c r="O1069" s="220"/>
      <c r="P1069" s="220"/>
      <c r="Q1069" s="220"/>
      <c r="R1069" s="220"/>
      <c r="S1069" s="220"/>
    </row>
    <row r="1070" spans="1:19" x14ac:dyDescent="0.25">
      <c r="A1070" s="220"/>
      <c r="B1070" s="220"/>
      <c r="C1070" s="220"/>
      <c r="D1070" s="220"/>
      <c r="E1070" s="220"/>
      <c r="F1070" s="220"/>
      <c r="G1070" s="220"/>
      <c r="H1070" s="220"/>
      <c r="I1070" s="220"/>
      <c r="J1070" s="220"/>
      <c r="K1070" s="220"/>
      <c r="L1070" s="220"/>
      <c r="M1070" s="220"/>
      <c r="N1070" s="220"/>
      <c r="O1070" s="220"/>
      <c r="P1070" s="220"/>
      <c r="Q1070" s="220"/>
      <c r="R1070" s="220"/>
      <c r="S1070" s="220"/>
    </row>
    <row r="1071" spans="1:19" x14ac:dyDescent="0.25">
      <c r="A1071" s="220"/>
      <c r="B1071" s="220"/>
      <c r="C1071" s="220"/>
      <c r="D1071" s="220"/>
      <c r="E1071" s="220"/>
      <c r="F1071" s="220"/>
      <c r="G1071" s="220"/>
      <c r="H1071" s="220"/>
      <c r="I1071" s="220"/>
      <c r="J1071" s="220"/>
      <c r="K1071" s="220"/>
      <c r="L1071" s="220"/>
      <c r="M1071" s="220"/>
      <c r="N1071" s="220"/>
      <c r="O1071" s="220"/>
      <c r="P1071" s="220"/>
      <c r="Q1071" s="220"/>
      <c r="R1071" s="220"/>
      <c r="S1071" s="220"/>
    </row>
    <row r="1072" spans="1:19" x14ac:dyDescent="0.25">
      <c r="A1072" s="220"/>
      <c r="B1072" s="220"/>
      <c r="C1072" s="220"/>
      <c r="D1072" s="220"/>
      <c r="E1072" s="220"/>
      <c r="F1072" s="220"/>
      <c r="G1072" s="220"/>
      <c r="H1072" s="220"/>
      <c r="I1072" s="220"/>
      <c r="J1072" s="220"/>
      <c r="K1072" s="220"/>
      <c r="L1072" s="220"/>
      <c r="M1072" s="220"/>
      <c r="N1072" s="220"/>
      <c r="O1072" s="220"/>
      <c r="P1072" s="220"/>
      <c r="Q1072" s="220"/>
      <c r="R1072" s="220"/>
      <c r="S1072" s="220"/>
    </row>
    <row r="1073" spans="1:19" x14ac:dyDescent="0.25">
      <c r="A1073" s="220"/>
      <c r="B1073" s="220"/>
      <c r="C1073" s="220"/>
      <c r="D1073" s="220"/>
      <c r="E1073" s="220"/>
      <c r="F1073" s="220"/>
      <c r="G1073" s="220"/>
      <c r="H1073" s="220"/>
      <c r="I1073" s="220"/>
      <c r="J1073" s="220"/>
      <c r="K1073" s="220"/>
      <c r="L1073" s="220"/>
      <c r="M1073" s="220"/>
      <c r="N1073" s="220"/>
      <c r="O1073" s="220"/>
      <c r="P1073" s="220"/>
      <c r="Q1073" s="220"/>
      <c r="R1073" s="220"/>
      <c r="S1073" s="220"/>
    </row>
    <row r="1074" spans="1:19" x14ac:dyDescent="0.25">
      <c r="A1074" s="220"/>
      <c r="B1074" s="220"/>
      <c r="C1074" s="220"/>
      <c r="D1074" s="220"/>
      <c r="E1074" s="220"/>
      <c r="F1074" s="220"/>
      <c r="G1074" s="220"/>
      <c r="H1074" s="220"/>
      <c r="I1074" s="220"/>
      <c r="J1074" s="220"/>
      <c r="K1074" s="220"/>
      <c r="L1074" s="220"/>
      <c r="M1074" s="220"/>
      <c r="N1074" s="220"/>
      <c r="O1074" s="220"/>
      <c r="P1074" s="220"/>
      <c r="Q1074" s="220"/>
      <c r="R1074" s="220"/>
      <c r="S1074" s="220"/>
    </row>
    <row r="1075" spans="1:19" x14ac:dyDescent="0.25">
      <c r="A1075" s="220"/>
      <c r="B1075" s="220"/>
      <c r="C1075" s="220"/>
      <c r="D1075" s="220"/>
      <c r="E1075" s="220"/>
      <c r="F1075" s="220"/>
      <c r="G1075" s="220"/>
      <c r="H1075" s="220"/>
      <c r="I1075" s="220"/>
      <c r="J1075" s="220"/>
      <c r="K1075" s="220"/>
      <c r="L1075" s="220"/>
      <c r="M1075" s="220"/>
      <c r="N1075" s="220"/>
      <c r="O1075" s="220"/>
      <c r="P1075" s="220"/>
      <c r="Q1075" s="220"/>
      <c r="R1075" s="220"/>
      <c r="S1075" s="220"/>
    </row>
    <row r="1076" spans="1:19" x14ac:dyDescent="0.25">
      <c r="A1076" s="220"/>
      <c r="B1076" s="220"/>
      <c r="C1076" s="220"/>
      <c r="D1076" s="220"/>
      <c r="E1076" s="220"/>
      <c r="F1076" s="220"/>
      <c r="G1076" s="220"/>
      <c r="H1076" s="220"/>
      <c r="I1076" s="220"/>
      <c r="J1076" s="220"/>
      <c r="K1076" s="220"/>
      <c r="L1076" s="220"/>
      <c r="M1076" s="220"/>
      <c r="N1076" s="220"/>
      <c r="O1076" s="220"/>
      <c r="P1076" s="220"/>
      <c r="Q1076" s="220"/>
      <c r="R1076" s="220"/>
      <c r="S1076" s="220"/>
    </row>
    <row r="1077" spans="1:19" x14ac:dyDescent="0.25">
      <c r="A1077" s="220"/>
      <c r="B1077" s="220"/>
      <c r="C1077" s="220"/>
      <c r="D1077" s="220"/>
      <c r="E1077" s="220"/>
      <c r="F1077" s="220"/>
      <c r="G1077" s="220"/>
      <c r="H1077" s="220"/>
      <c r="I1077" s="220"/>
      <c r="J1077" s="220"/>
      <c r="K1077" s="220"/>
      <c r="L1077" s="220"/>
      <c r="M1077" s="220"/>
      <c r="N1077" s="220"/>
      <c r="O1077" s="220"/>
      <c r="P1077" s="220"/>
      <c r="Q1077" s="220"/>
      <c r="R1077" s="220"/>
      <c r="S1077" s="220"/>
    </row>
    <row r="1078" spans="1:19" x14ac:dyDescent="0.25">
      <c r="A1078" s="220"/>
      <c r="B1078" s="220"/>
      <c r="C1078" s="220"/>
      <c r="D1078" s="220"/>
      <c r="E1078" s="220"/>
      <c r="F1078" s="220"/>
      <c r="G1078" s="220"/>
      <c r="H1078" s="220"/>
      <c r="I1078" s="220"/>
      <c r="J1078" s="220"/>
      <c r="K1078" s="220"/>
      <c r="L1078" s="220"/>
      <c r="M1078" s="220"/>
      <c r="N1078" s="220"/>
      <c r="O1078" s="220"/>
      <c r="P1078" s="220"/>
      <c r="Q1078" s="220"/>
      <c r="R1078" s="220"/>
      <c r="S1078" s="220"/>
    </row>
    <row r="1079" spans="1:19" x14ac:dyDescent="0.25">
      <c r="A1079" s="220"/>
      <c r="B1079" s="220"/>
      <c r="C1079" s="220"/>
      <c r="D1079" s="220"/>
      <c r="E1079" s="220"/>
      <c r="F1079" s="220"/>
      <c r="G1079" s="220"/>
      <c r="H1079" s="220"/>
      <c r="I1079" s="220"/>
      <c r="J1079" s="220"/>
      <c r="K1079" s="220"/>
      <c r="L1079" s="220"/>
      <c r="M1079" s="220"/>
      <c r="N1079" s="220"/>
      <c r="O1079" s="220"/>
      <c r="P1079" s="220"/>
      <c r="Q1079" s="220"/>
      <c r="R1079" s="220"/>
      <c r="S1079" s="220"/>
    </row>
    <row r="1080" spans="1:19" x14ac:dyDescent="0.25">
      <c r="A1080" s="220"/>
      <c r="B1080" s="220"/>
      <c r="C1080" s="220"/>
      <c r="D1080" s="220"/>
      <c r="E1080" s="220"/>
      <c r="F1080" s="220"/>
      <c r="G1080" s="220"/>
      <c r="H1080" s="220"/>
      <c r="I1080" s="220"/>
      <c r="J1080" s="220"/>
      <c r="K1080" s="220"/>
      <c r="L1080" s="220"/>
      <c r="M1080" s="220"/>
      <c r="N1080" s="220"/>
      <c r="O1080" s="220"/>
      <c r="P1080" s="220"/>
      <c r="Q1080" s="220"/>
      <c r="R1080" s="220"/>
      <c r="S1080" s="220"/>
    </row>
    <row r="1081" spans="1:19" x14ac:dyDescent="0.25">
      <c r="A1081" s="220"/>
      <c r="B1081" s="220"/>
      <c r="C1081" s="220"/>
      <c r="D1081" s="220"/>
      <c r="E1081" s="220"/>
      <c r="F1081" s="220"/>
      <c r="G1081" s="220"/>
      <c r="H1081" s="220"/>
      <c r="I1081" s="220"/>
      <c r="J1081" s="220"/>
      <c r="K1081" s="220"/>
      <c r="L1081" s="220"/>
      <c r="M1081" s="220"/>
      <c r="N1081" s="220"/>
      <c r="O1081" s="220"/>
      <c r="P1081" s="220"/>
      <c r="Q1081" s="220"/>
      <c r="R1081" s="220"/>
      <c r="S1081" s="220"/>
    </row>
    <row r="1082" spans="1:19" x14ac:dyDescent="0.25">
      <c r="A1082" s="220"/>
      <c r="B1082" s="220"/>
      <c r="C1082" s="220"/>
      <c r="D1082" s="220"/>
      <c r="E1082" s="220"/>
      <c r="F1082" s="220"/>
      <c r="G1082" s="220"/>
      <c r="H1082" s="220"/>
      <c r="I1082" s="220"/>
      <c r="J1082" s="220"/>
      <c r="K1082" s="220"/>
      <c r="L1082" s="220"/>
      <c r="M1082" s="220"/>
      <c r="N1082" s="220"/>
      <c r="O1082" s="220"/>
      <c r="P1082" s="220"/>
      <c r="Q1082" s="220"/>
      <c r="R1082" s="220"/>
      <c r="S1082" s="220"/>
    </row>
    <row r="1083" spans="1:19" x14ac:dyDescent="0.25">
      <c r="A1083" s="220"/>
      <c r="B1083" s="220"/>
      <c r="C1083" s="220"/>
      <c r="D1083" s="220"/>
      <c r="E1083" s="220"/>
      <c r="F1083" s="220"/>
      <c r="G1083" s="220"/>
      <c r="H1083" s="220"/>
      <c r="I1083" s="220"/>
      <c r="J1083" s="220"/>
      <c r="K1083" s="220"/>
      <c r="L1083" s="220"/>
      <c r="M1083" s="220"/>
      <c r="N1083" s="220"/>
      <c r="O1083" s="220"/>
      <c r="P1083" s="220"/>
      <c r="Q1083" s="220"/>
      <c r="R1083" s="220"/>
      <c r="S1083" s="220"/>
    </row>
    <row r="1084" spans="1:19" x14ac:dyDescent="0.25">
      <c r="A1084" s="220"/>
      <c r="B1084" s="220"/>
      <c r="C1084" s="220"/>
      <c r="D1084" s="220"/>
      <c r="E1084" s="220"/>
      <c r="F1084" s="220"/>
      <c r="G1084" s="220"/>
      <c r="H1084" s="220"/>
      <c r="I1084" s="220"/>
      <c r="J1084" s="220"/>
      <c r="K1084" s="220"/>
      <c r="L1084" s="220"/>
      <c r="M1084" s="220"/>
      <c r="N1084" s="220"/>
      <c r="O1084" s="220"/>
      <c r="P1084" s="220"/>
      <c r="Q1084" s="220"/>
      <c r="R1084" s="220"/>
      <c r="S1084" s="220"/>
    </row>
    <row r="1085" spans="1:19" x14ac:dyDescent="0.25">
      <c r="A1085" s="220"/>
      <c r="B1085" s="220"/>
      <c r="C1085" s="220"/>
      <c r="D1085" s="220"/>
      <c r="E1085" s="220"/>
      <c r="F1085" s="220"/>
      <c r="G1085" s="220"/>
      <c r="H1085" s="220"/>
      <c r="I1085" s="220"/>
      <c r="J1085" s="220"/>
      <c r="K1085" s="220"/>
      <c r="L1085" s="220"/>
      <c r="M1085" s="220"/>
      <c r="N1085" s="220"/>
      <c r="O1085" s="220"/>
      <c r="P1085" s="220"/>
      <c r="Q1085" s="220"/>
      <c r="R1085" s="220"/>
      <c r="S1085" s="220"/>
    </row>
    <row r="1086" spans="1:19" x14ac:dyDescent="0.25">
      <c r="A1086" s="220"/>
      <c r="B1086" s="220"/>
      <c r="C1086" s="220"/>
      <c r="D1086" s="220"/>
      <c r="E1086" s="220"/>
      <c r="F1086" s="220"/>
      <c r="G1086" s="220"/>
      <c r="H1086" s="220"/>
      <c r="I1086" s="220"/>
      <c r="J1086" s="220"/>
      <c r="K1086" s="220"/>
      <c r="L1086" s="220"/>
      <c r="M1086" s="220"/>
      <c r="N1086" s="220"/>
      <c r="O1086" s="220"/>
      <c r="P1086" s="220"/>
      <c r="Q1086" s="220"/>
      <c r="R1086" s="220"/>
      <c r="S1086" s="220"/>
    </row>
    <row r="1087" spans="1:19" x14ac:dyDescent="0.25">
      <c r="A1087" s="220"/>
      <c r="B1087" s="220"/>
      <c r="C1087" s="220"/>
      <c r="D1087" s="220"/>
      <c r="E1087" s="220"/>
      <c r="F1087" s="220"/>
      <c r="G1087" s="220"/>
      <c r="H1087" s="220"/>
      <c r="I1087" s="220"/>
      <c r="J1087" s="220"/>
      <c r="K1087" s="220"/>
      <c r="L1087" s="220"/>
      <c r="M1087" s="220"/>
      <c r="N1087" s="220"/>
      <c r="O1087" s="220"/>
      <c r="P1087" s="220"/>
      <c r="Q1087" s="220"/>
      <c r="R1087" s="220"/>
      <c r="S1087" s="220"/>
    </row>
    <row r="1088" spans="1:19" x14ac:dyDescent="0.25">
      <c r="A1088" s="220"/>
      <c r="B1088" s="220"/>
      <c r="C1088" s="220"/>
      <c r="D1088" s="220"/>
      <c r="E1088" s="220"/>
      <c r="F1088" s="220"/>
      <c r="G1088" s="220"/>
      <c r="H1088" s="220"/>
      <c r="I1088" s="220"/>
      <c r="J1088" s="220"/>
      <c r="K1088" s="220"/>
      <c r="L1088" s="220"/>
      <c r="M1088" s="220"/>
      <c r="N1088" s="220"/>
      <c r="O1088" s="220"/>
      <c r="P1088" s="220"/>
      <c r="Q1088" s="220"/>
      <c r="R1088" s="220"/>
      <c r="S1088" s="220"/>
    </row>
    <row r="1089" spans="1:19" x14ac:dyDescent="0.25">
      <c r="A1089" s="220"/>
      <c r="B1089" s="220"/>
      <c r="C1089" s="220"/>
      <c r="D1089" s="220"/>
      <c r="E1089" s="220"/>
      <c r="F1089" s="220"/>
      <c r="G1089" s="220"/>
      <c r="H1089" s="220"/>
      <c r="I1089" s="220"/>
      <c r="J1089" s="220"/>
      <c r="K1089" s="220"/>
      <c r="L1089" s="220"/>
      <c r="M1089" s="220"/>
      <c r="N1089" s="220"/>
      <c r="O1089" s="220"/>
      <c r="P1089" s="220"/>
      <c r="Q1089" s="220"/>
      <c r="R1089" s="220"/>
      <c r="S1089" s="220"/>
    </row>
    <row r="1090" spans="1:19" x14ac:dyDescent="0.25">
      <c r="A1090" s="220"/>
      <c r="B1090" s="220"/>
      <c r="C1090" s="220"/>
      <c r="D1090" s="220"/>
      <c r="E1090" s="220"/>
      <c r="F1090" s="220"/>
      <c r="G1090" s="220"/>
      <c r="H1090" s="220"/>
      <c r="I1090" s="220"/>
      <c r="J1090" s="220"/>
      <c r="K1090" s="220"/>
      <c r="L1090" s="220"/>
      <c r="M1090" s="220"/>
      <c r="N1090" s="220"/>
      <c r="O1090" s="220"/>
      <c r="P1090" s="220"/>
      <c r="Q1090" s="220"/>
      <c r="R1090" s="220"/>
      <c r="S1090" s="220"/>
    </row>
    <row r="1091" spans="1:19" x14ac:dyDescent="0.25">
      <c r="A1091" s="220"/>
      <c r="B1091" s="220"/>
      <c r="C1091" s="220"/>
      <c r="D1091" s="220"/>
      <c r="E1091" s="220"/>
      <c r="F1091" s="220"/>
      <c r="G1091" s="220"/>
      <c r="H1091" s="220"/>
      <c r="I1091" s="220"/>
      <c r="J1091" s="220"/>
      <c r="K1091" s="220"/>
      <c r="L1091" s="220"/>
      <c r="M1091" s="220"/>
      <c r="N1091" s="220"/>
      <c r="O1091" s="220"/>
      <c r="P1091" s="220"/>
      <c r="Q1091" s="220"/>
      <c r="R1091" s="220"/>
      <c r="S1091" s="220"/>
    </row>
    <row r="1092" spans="1:19" x14ac:dyDescent="0.25">
      <c r="A1092" s="220"/>
      <c r="B1092" s="220"/>
      <c r="C1092" s="220"/>
      <c r="D1092" s="220"/>
      <c r="E1092" s="220"/>
      <c r="F1092" s="220"/>
      <c r="G1092" s="220"/>
      <c r="H1092" s="220"/>
      <c r="I1092" s="220"/>
      <c r="J1092" s="220"/>
      <c r="K1092" s="220"/>
      <c r="L1092" s="220"/>
      <c r="M1092" s="220"/>
      <c r="N1092" s="220"/>
      <c r="O1092" s="220"/>
      <c r="P1092" s="220"/>
      <c r="Q1092" s="220"/>
      <c r="R1092" s="220"/>
      <c r="S1092" s="220"/>
    </row>
    <row r="1093" spans="1:19" x14ac:dyDescent="0.25">
      <c r="A1093" s="220"/>
      <c r="B1093" s="220"/>
      <c r="C1093" s="220"/>
      <c r="D1093" s="220"/>
      <c r="E1093" s="220"/>
      <c r="F1093" s="220"/>
      <c r="G1093" s="220"/>
      <c r="H1093" s="220"/>
      <c r="I1093" s="220"/>
      <c r="J1093" s="220"/>
      <c r="K1093" s="220"/>
      <c r="L1093" s="220"/>
      <c r="M1093" s="220"/>
      <c r="N1093" s="220"/>
      <c r="O1093" s="220"/>
      <c r="P1093" s="220"/>
      <c r="Q1093" s="220"/>
      <c r="R1093" s="220"/>
      <c r="S1093" s="220"/>
    </row>
    <row r="1094" spans="1:19" x14ac:dyDescent="0.25">
      <c r="A1094" s="220"/>
      <c r="B1094" s="220"/>
      <c r="C1094" s="220"/>
      <c r="D1094" s="220"/>
      <c r="E1094" s="220"/>
      <c r="F1094" s="220"/>
      <c r="G1094" s="220"/>
      <c r="H1094" s="220"/>
      <c r="I1094" s="220"/>
      <c r="J1094" s="220"/>
      <c r="K1094" s="220"/>
      <c r="L1094" s="220"/>
      <c r="M1094" s="220"/>
      <c r="N1094" s="220"/>
      <c r="O1094" s="220"/>
      <c r="P1094" s="220"/>
      <c r="Q1094" s="220"/>
      <c r="R1094" s="220"/>
      <c r="S1094" s="220"/>
    </row>
    <row r="1095" spans="1:19" x14ac:dyDescent="0.25">
      <c r="A1095" s="220"/>
      <c r="B1095" s="220"/>
      <c r="C1095" s="220"/>
      <c r="D1095" s="220"/>
      <c r="E1095" s="220"/>
      <c r="F1095" s="220"/>
      <c r="G1095" s="220"/>
      <c r="H1095" s="220"/>
      <c r="I1095" s="220"/>
      <c r="J1095" s="220"/>
      <c r="K1095" s="220"/>
      <c r="L1095" s="220"/>
      <c r="M1095" s="220"/>
      <c r="N1095" s="220"/>
      <c r="O1095" s="220"/>
      <c r="P1095" s="220"/>
      <c r="Q1095" s="220"/>
      <c r="R1095" s="220"/>
      <c r="S1095" s="220"/>
    </row>
    <row r="1096" spans="1:19" x14ac:dyDescent="0.25">
      <c r="A1096" s="220"/>
      <c r="B1096" s="220"/>
      <c r="C1096" s="220"/>
      <c r="D1096" s="220"/>
      <c r="E1096" s="220"/>
      <c r="F1096" s="220"/>
      <c r="G1096" s="220"/>
      <c r="H1096" s="220"/>
      <c r="I1096" s="220"/>
      <c r="J1096" s="220"/>
      <c r="K1096" s="220"/>
      <c r="L1096" s="220"/>
      <c r="M1096" s="220"/>
      <c r="N1096" s="220"/>
      <c r="O1096" s="220"/>
      <c r="P1096" s="220"/>
      <c r="Q1096" s="220"/>
      <c r="R1096" s="220"/>
      <c r="S1096" s="220"/>
    </row>
    <row r="1097" spans="1:19" x14ac:dyDescent="0.25">
      <c r="A1097" s="220"/>
      <c r="B1097" s="220"/>
      <c r="C1097" s="220"/>
      <c r="D1097" s="220"/>
      <c r="E1097" s="220"/>
      <c r="F1097" s="220"/>
      <c r="G1097" s="220"/>
      <c r="H1097" s="220"/>
      <c r="I1097" s="220"/>
      <c r="J1097" s="220"/>
      <c r="K1097" s="220"/>
      <c r="L1097" s="220"/>
      <c r="M1097" s="220"/>
      <c r="N1097" s="220"/>
      <c r="O1097" s="220"/>
      <c r="P1097" s="220"/>
      <c r="Q1097" s="220"/>
      <c r="R1097" s="220"/>
      <c r="S1097" s="220"/>
    </row>
    <row r="1098" spans="1:19" x14ac:dyDescent="0.25">
      <c r="A1098" s="220"/>
      <c r="B1098" s="220"/>
      <c r="C1098" s="220"/>
      <c r="D1098" s="220"/>
      <c r="E1098" s="220"/>
      <c r="F1098" s="220"/>
      <c r="G1098" s="220"/>
      <c r="H1098" s="220"/>
      <c r="I1098" s="220"/>
      <c r="J1098" s="220"/>
      <c r="K1098" s="220"/>
      <c r="L1098" s="220"/>
      <c r="M1098" s="220"/>
      <c r="N1098" s="220"/>
      <c r="O1098" s="220"/>
      <c r="P1098" s="220"/>
      <c r="Q1098" s="220"/>
      <c r="R1098" s="220"/>
      <c r="S1098" s="220"/>
    </row>
    <row r="1099" spans="1:19" x14ac:dyDescent="0.25">
      <c r="A1099" s="220"/>
      <c r="B1099" s="220"/>
      <c r="C1099" s="220"/>
      <c r="D1099" s="220"/>
      <c r="E1099" s="220"/>
      <c r="F1099" s="220"/>
      <c r="G1099" s="220"/>
      <c r="H1099" s="220"/>
      <c r="I1099" s="220"/>
      <c r="J1099" s="220"/>
      <c r="K1099" s="220"/>
      <c r="L1099" s="220"/>
      <c r="M1099" s="220"/>
      <c r="N1099" s="220"/>
      <c r="O1099" s="220"/>
      <c r="P1099" s="220"/>
      <c r="Q1099" s="220"/>
      <c r="R1099" s="220"/>
      <c r="S1099" s="220"/>
    </row>
    <row r="1100" spans="1:19" x14ac:dyDescent="0.25">
      <c r="A1100" s="220"/>
      <c r="B1100" s="220"/>
      <c r="C1100" s="220"/>
      <c r="D1100" s="220"/>
      <c r="E1100" s="220"/>
      <c r="F1100" s="220"/>
      <c r="G1100" s="220"/>
      <c r="H1100" s="220"/>
      <c r="I1100" s="220"/>
      <c r="J1100" s="220"/>
      <c r="K1100" s="220"/>
      <c r="L1100" s="220"/>
      <c r="M1100" s="220"/>
      <c r="N1100" s="220"/>
      <c r="O1100" s="220"/>
      <c r="P1100" s="220"/>
      <c r="Q1100" s="220"/>
      <c r="R1100" s="220"/>
      <c r="S1100" s="220"/>
    </row>
    <row r="1101" spans="1:19" x14ac:dyDescent="0.25">
      <c r="A1101" s="220"/>
      <c r="B1101" s="220"/>
      <c r="C1101" s="220"/>
      <c r="D1101" s="220"/>
      <c r="E1101" s="220"/>
      <c r="F1101" s="220"/>
      <c r="G1101" s="220"/>
      <c r="H1101" s="220"/>
      <c r="I1101" s="220"/>
      <c r="J1101" s="220"/>
      <c r="K1101" s="220"/>
      <c r="L1101" s="220"/>
      <c r="M1101" s="220"/>
      <c r="N1101" s="220"/>
      <c r="O1101" s="220"/>
      <c r="P1101" s="220"/>
      <c r="Q1101" s="220"/>
      <c r="R1101" s="220"/>
      <c r="S1101" s="220"/>
    </row>
    <row r="1102" spans="1:19" x14ac:dyDescent="0.25">
      <c r="A1102" s="220"/>
      <c r="B1102" s="220"/>
      <c r="C1102" s="220"/>
      <c r="D1102" s="220"/>
      <c r="E1102" s="220"/>
      <c r="F1102" s="220"/>
      <c r="G1102" s="220"/>
      <c r="H1102" s="220"/>
      <c r="I1102" s="220"/>
      <c r="J1102" s="220"/>
      <c r="K1102" s="220"/>
      <c r="L1102" s="220"/>
      <c r="M1102" s="220"/>
      <c r="N1102" s="220"/>
      <c r="O1102" s="220"/>
      <c r="P1102" s="220"/>
      <c r="Q1102" s="220"/>
      <c r="R1102" s="220"/>
      <c r="S1102" s="220"/>
    </row>
    <row r="1103" spans="1:19" x14ac:dyDescent="0.25">
      <c r="A1103" s="220"/>
      <c r="B1103" s="220"/>
      <c r="C1103" s="220"/>
      <c r="D1103" s="220"/>
      <c r="E1103" s="220"/>
      <c r="F1103" s="220"/>
      <c r="G1103" s="220"/>
      <c r="H1103" s="220"/>
      <c r="I1103" s="220"/>
      <c r="J1103" s="220"/>
      <c r="K1103" s="220"/>
      <c r="L1103" s="220"/>
      <c r="M1103" s="220"/>
      <c r="N1103" s="220"/>
      <c r="O1103" s="220"/>
      <c r="P1103" s="220"/>
      <c r="Q1103" s="220"/>
      <c r="R1103" s="220"/>
      <c r="S1103" s="220"/>
    </row>
    <row r="1104" spans="1:19" x14ac:dyDescent="0.25">
      <c r="A1104" s="220"/>
      <c r="B1104" s="220"/>
      <c r="C1104" s="220"/>
      <c r="D1104" s="220"/>
      <c r="E1104" s="220"/>
      <c r="F1104" s="220"/>
      <c r="G1104" s="220"/>
      <c r="H1104" s="220"/>
      <c r="I1104" s="220"/>
      <c r="J1104" s="220"/>
      <c r="K1104" s="220"/>
      <c r="L1104" s="220"/>
      <c r="M1104" s="220"/>
      <c r="N1104" s="220"/>
      <c r="O1104" s="220"/>
      <c r="P1104" s="220"/>
      <c r="Q1104" s="220"/>
      <c r="R1104" s="220"/>
      <c r="S1104" s="220"/>
    </row>
    <row r="1105" spans="1:19" x14ac:dyDescent="0.25">
      <c r="A1105" s="220"/>
      <c r="B1105" s="220"/>
      <c r="C1105" s="220"/>
      <c r="D1105" s="220"/>
      <c r="E1105" s="220"/>
      <c r="F1105" s="220"/>
      <c r="G1105" s="220"/>
      <c r="H1105" s="220"/>
      <c r="I1105" s="220"/>
      <c r="J1105" s="220"/>
      <c r="K1105" s="220"/>
      <c r="L1105" s="220"/>
      <c r="M1105" s="220"/>
      <c r="N1105" s="220"/>
      <c r="O1105" s="220"/>
      <c r="P1105" s="220"/>
      <c r="Q1105" s="220"/>
      <c r="R1105" s="220"/>
      <c r="S1105" s="220"/>
    </row>
    <row r="1106" spans="1:19" x14ac:dyDescent="0.25">
      <c r="A1106" s="220"/>
      <c r="B1106" s="220"/>
      <c r="C1106" s="220"/>
      <c r="D1106" s="220"/>
      <c r="E1106" s="220"/>
      <c r="F1106" s="220"/>
      <c r="G1106" s="220"/>
      <c r="H1106" s="220"/>
      <c r="I1106" s="220"/>
      <c r="J1106" s="220"/>
      <c r="K1106" s="220"/>
      <c r="L1106" s="220"/>
      <c r="M1106" s="220"/>
      <c r="N1106" s="220"/>
      <c r="O1106" s="220"/>
      <c r="P1106" s="220"/>
      <c r="Q1106" s="220"/>
      <c r="R1106" s="220"/>
      <c r="S1106" s="220"/>
    </row>
    <row r="1107" spans="1:19" x14ac:dyDescent="0.25">
      <c r="A1107" s="220"/>
      <c r="B1107" s="220"/>
      <c r="C1107" s="220"/>
      <c r="D1107" s="220"/>
      <c r="E1107" s="220"/>
      <c r="F1107" s="220"/>
      <c r="G1107" s="220"/>
      <c r="H1107" s="220"/>
      <c r="I1107" s="220"/>
      <c r="J1107" s="220"/>
      <c r="K1107" s="220"/>
      <c r="L1107" s="220"/>
      <c r="M1107" s="220"/>
      <c r="N1107" s="220"/>
      <c r="O1107" s="220"/>
      <c r="P1107" s="220"/>
      <c r="Q1107" s="220"/>
      <c r="R1107" s="220"/>
      <c r="S1107" s="220"/>
    </row>
    <row r="1108" spans="1:19" x14ac:dyDescent="0.25">
      <c r="A1108" s="220"/>
      <c r="B1108" s="220"/>
      <c r="C1108" s="220"/>
      <c r="D1108" s="220"/>
      <c r="E1108" s="220"/>
      <c r="F1108" s="220"/>
      <c r="G1108" s="220"/>
      <c r="H1108" s="220"/>
      <c r="I1108" s="220"/>
      <c r="J1108" s="220"/>
      <c r="K1108" s="220"/>
      <c r="L1108" s="220"/>
      <c r="M1108" s="220"/>
      <c r="N1108" s="220"/>
      <c r="O1108" s="220"/>
      <c r="P1108" s="220"/>
      <c r="Q1108" s="220"/>
      <c r="R1108" s="220"/>
      <c r="S1108" s="220"/>
    </row>
    <row r="1109" spans="1:19" x14ac:dyDescent="0.25">
      <c r="A1109" s="220"/>
      <c r="B1109" s="220"/>
      <c r="C1109" s="220"/>
      <c r="D1109" s="220"/>
      <c r="E1109" s="220"/>
      <c r="F1109" s="220"/>
      <c r="G1109" s="220"/>
      <c r="H1109" s="220"/>
      <c r="I1109" s="220"/>
      <c r="J1109" s="220"/>
      <c r="K1109" s="220"/>
      <c r="L1109" s="220"/>
      <c r="M1109" s="220"/>
      <c r="N1109" s="220"/>
      <c r="O1109" s="220"/>
      <c r="P1109" s="220"/>
      <c r="Q1109" s="220"/>
      <c r="R1109" s="220"/>
      <c r="S1109" s="220"/>
    </row>
    <row r="1110" spans="1:19" x14ac:dyDescent="0.25">
      <c r="A1110" s="220"/>
      <c r="B1110" s="220"/>
      <c r="C1110" s="220"/>
      <c r="D1110" s="220"/>
      <c r="E1110" s="220"/>
      <c r="F1110" s="220"/>
      <c r="G1110" s="220"/>
      <c r="H1110" s="220"/>
      <c r="I1110" s="220"/>
      <c r="J1110" s="220"/>
      <c r="K1110" s="220"/>
      <c r="L1110" s="220"/>
      <c r="M1110" s="220"/>
      <c r="N1110" s="220"/>
      <c r="O1110" s="220"/>
      <c r="P1110" s="220"/>
      <c r="Q1110" s="220"/>
      <c r="R1110" s="220"/>
      <c r="S1110" s="220"/>
    </row>
    <row r="1111" spans="1:19" x14ac:dyDescent="0.25">
      <c r="A1111" s="220"/>
      <c r="B1111" s="220"/>
      <c r="C1111" s="220"/>
      <c r="D1111" s="220"/>
      <c r="E1111" s="220"/>
      <c r="F1111" s="220"/>
      <c r="G1111" s="220"/>
      <c r="H1111" s="220"/>
      <c r="I1111" s="220"/>
      <c r="J1111" s="220"/>
      <c r="K1111" s="220"/>
      <c r="L1111" s="220"/>
      <c r="M1111" s="220"/>
      <c r="N1111" s="220"/>
      <c r="O1111" s="220"/>
      <c r="P1111" s="220"/>
      <c r="Q1111" s="220"/>
      <c r="R1111" s="220"/>
      <c r="S1111" s="220"/>
    </row>
    <row r="1112" spans="1:19" x14ac:dyDescent="0.25">
      <c r="A1112" s="220"/>
      <c r="B1112" s="220"/>
      <c r="C1112" s="220"/>
      <c r="D1112" s="220"/>
      <c r="E1112" s="220"/>
      <c r="F1112" s="220"/>
      <c r="G1112" s="220"/>
      <c r="H1112" s="220"/>
      <c r="I1112" s="220"/>
      <c r="J1112" s="220"/>
      <c r="K1112" s="220"/>
      <c r="L1112" s="220"/>
      <c r="M1112" s="220"/>
      <c r="N1112" s="220"/>
      <c r="O1112" s="220"/>
      <c r="P1112" s="220"/>
      <c r="Q1112" s="220"/>
      <c r="R1112" s="220"/>
      <c r="S1112" s="220"/>
    </row>
    <row r="1113" spans="1:19" x14ac:dyDescent="0.25">
      <c r="A1113" s="220"/>
      <c r="B1113" s="220"/>
      <c r="C1113" s="220"/>
      <c r="D1113" s="220"/>
      <c r="E1113" s="220"/>
      <c r="F1113" s="220"/>
      <c r="G1113" s="220"/>
      <c r="H1113" s="220"/>
      <c r="I1113" s="220"/>
      <c r="J1113" s="220"/>
      <c r="K1113" s="220"/>
      <c r="L1113" s="220"/>
      <c r="M1113" s="220"/>
      <c r="N1113" s="220"/>
      <c r="O1113" s="220"/>
      <c r="P1113" s="220"/>
      <c r="Q1113" s="220"/>
      <c r="R1113" s="220"/>
      <c r="S1113" s="220"/>
    </row>
    <row r="1114" spans="1:19" x14ac:dyDescent="0.25">
      <c r="A1114" s="220"/>
      <c r="B1114" s="220"/>
      <c r="C1114" s="220"/>
      <c r="D1114" s="220"/>
      <c r="E1114" s="220"/>
      <c r="F1114" s="220"/>
      <c r="G1114" s="220"/>
      <c r="H1114" s="220"/>
      <c r="I1114" s="220"/>
      <c r="J1114" s="220"/>
      <c r="K1114" s="220"/>
      <c r="L1114" s="220"/>
      <c r="M1114" s="220"/>
      <c r="N1114" s="220"/>
      <c r="O1114" s="220"/>
      <c r="P1114" s="220"/>
      <c r="Q1114" s="220"/>
      <c r="R1114" s="220"/>
      <c r="S1114" s="220"/>
    </row>
    <row r="1115" spans="1:19" x14ac:dyDescent="0.25">
      <c r="A1115" s="220"/>
      <c r="B1115" s="220"/>
      <c r="C1115" s="220"/>
      <c r="D1115" s="220"/>
      <c r="E1115" s="220"/>
      <c r="F1115" s="220"/>
      <c r="G1115" s="220"/>
      <c r="H1115" s="220"/>
      <c r="I1115" s="220"/>
      <c r="J1115" s="220"/>
      <c r="K1115" s="220"/>
      <c r="L1115" s="220"/>
      <c r="M1115" s="220"/>
      <c r="N1115" s="220"/>
      <c r="O1115" s="220"/>
      <c r="P1115" s="220"/>
      <c r="Q1115" s="220"/>
      <c r="R1115" s="220"/>
      <c r="S1115" s="220"/>
    </row>
    <row r="1116" spans="1:19" x14ac:dyDescent="0.25">
      <c r="A1116" s="220"/>
      <c r="B1116" s="220"/>
      <c r="C1116" s="220"/>
      <c r="D1116" s="220"/>
      <c r="E1116" s="220"/>
      <c r="F1116" s="220"/>
      <c r="G1116" s="220"/>
      <c r="H1116" s="220"/>
      <c r="I1116" s="220"/>
      <c r="J1116" s="220"/>
      <c r="K1116" s="220"/>
      <c r="L1116" s="220"/>
      <c r="M1116" s="220"/>
      <c r="N1116" s="220"/>
      <c r="O1116" s="220"/>
      <c r="P1116" s="220"/>
      <c r="Q1116" s="220"/>
      <c r="R1116" s="220"/>
      <c r="S1116" s="220"/>
    </row>
    <row r="1117" spans="1:19" x14ac:dyDescent="0.25">
      <c r="A1117" s="220"/>
      <c r="B1117" s="220"/>
      <c r="C1117" s="220"/>
      <c r="D1117" s="220"/>
      <c r="E1117" s="220"/>
      <c r="F1117" s="220"/>
      <c r="G1117" s="220"/>
      <c r="H1117" s="220"/>
      <c r="I1117" s="220"/>
      <c r="J1117" s="220"/>
      <c r="K1117" s="220"/>
      <c r="L1117" s="220"/>
      <c r="M1117" s="220"/>
      <c r="N1117" s="220"/>
      <c r="O1117" s="220"/>
      <c r="P1117" s="220"/>
      <c r="Q1117" s="220"/>
      <c r="R1117" s="220"/>
      <c r="S1117" s="220"/>
    </row>
    <row r="1118" spans="1:19" x14ac:dyDescent="0.25">
      <c r="A1118" s="220"/>
      <c r="B1118" s="220"/>
      <c r="C1118" s="220"/>
      <c r="D1118" s="220"/>
      <c r="E1118" s="220"/>
      <c r="F1118" s="220"/>
      <c r="G1118" s="220"/>
      <c r="H1118" s="220"/>
      <c r="I1118" s="220"/>
      <c r="J1118" s="220"/>
      <c r="K1118" s="220"/>
      <c r="L1118" s="220"/>
      <c r="M1118" s="220"/>
      <c r="N1118" s="220"/>
      <c r="O1118" s="220"/>
      <c r="P1118" s="220"/>
      <c r="Q1118" s="220"/>
      <c r="R1118" s="220"/>
      <c r="S1118" s="220"/>
    </row>
    <row r="1119" spans="1:19" x14ac:dyDescent="0.25">
      <c r="A1119" s="220"/>
      <c r="B1119" s="220"/>
      <c r="C1119" s="220"/>
      <c r="D1119" s="220"/>
      <c r="E1119" s="220"/>
      <c r="F1119" s="220"/>
      <c r="G1119" s="220"/>
      <c r="H1119" s="220"/>
      <c r="I1119" s="220"/>
      <c r="J1119" s="220"/>
      <c r="K1119" s="220"/>
      <c r="L1119" s="220"/>
      <c r="M1119" s="220"/>
      <c r="N1119" s="220"/>
      <c r="O1119" s="220"/>
      <c r="P1119" s="220"/>
      <c r="Q1119" s="220"/>
      <c r="R1119" s="220"/>
      <c r="S1119" s="220"/>
    </row>
    <row r="1120" spans="1:19" x14ac:dyDescent="0.25">
      <c r="A1120" s="220"/>
      <c r="B1120" s="220"/>
      <c r="C1120" s="220"/>
      <c r="D1120" s="220"/>
      <c r="E1120" s="220"/>
      <c r="F1120" s="220"/>
      <c r="G1120" s="220"/>
      <c r="H1120" s="220"/>
      <c r="I1120" s="220"/>
      <c r="J1120" s="220"/>
      <c r="K1120" s="220"/>
      <c r="L1120" s="220"/>
      <c r="M1120" s="220"/>
      <c r="N1120" s="220"/>
      <c r="O1120" s="220"/>
      <c r="P1120" s="220"/>
      <c r="Q1120" s="220"/>
      <c r="R1120" s="220"/>
      <c r="S1120" s="220"/>
    </row>
    <row r="1121" spans="1:19" x14ac:dyDescent="0.25">
      <c r="A1121" s="220"/>
      <c r="B1121" s="220"/>
      <c r="C1121" s="220"/>
      <c r="D1121" s="220"/>
      <c r="E1121" s="220"/>
      <c r="F1121" s="220"/>
      <c r="G1121" s="220"/>
      <c r="H1121" s="220"/>
      <c r="I1121" s="220"/>
      <c r="J1121" s="220"/>
      <c r="K1121" s="220"/>
      <c r="L1121" s="220"/>
      <c r="M1121" s="220"/>
      <c r="N1121" s="220"/>
      <c r="O1121" s="220"/>
      <c r="P1121" s="220"/>
      <c r="Q1121" s="220"/>
      <c r="R1121" s="220"/>
      <c r="S1121" s="220"/>
    </row>
    <row r="1122" spans="1:19" x14ac:dyDescent="0.25">
      <c r="A1122" s="220"/>
      <c r="B1122" s="220"/>
      <c r="C1122" s="220"/>
      <c r="D1122" s="220"/>
      <c r="E1122" s="220"/>
      <c r="F1122" s="220"/>
      <c r="G1122" s="220"/>
      <c r="H1122" s="220"/>
      <c r="I1122" s="220"/>
      <c r="J1122" s="220"/>
      <c r="K1122" s="220"/>
      <c r="L1122" s="220"/>
      <c r="M1122" s="220"/>
      <c r="N1122" s="220"/>
      <c r="O1122" s="220"/>
      <c r="P1122" s="220"/>
      <c r="Q1122" s="220"/>
      <c r="R1122" s="220"/>
      <c r="S1122" s="220"/>
    </row>
    <row r="1123" spans="1:19" x14ac:dyDescent="0.25">
      <c r="A1123" s="220"/>
      <c r="B1123" s="220"/>
      <c r="C1123" s="220"/>
      <c r="D1123" s="220"/>
      <c r="E1123" s="220"/>
      <c r="F1123" s="220"/>
      <c r="G1123" s="220"/>
      <c r="H1123" s="220"/>
      <c r="I1123" s="220"/>
      <c r="J1123" s="220"/>
      <c r="K1123" s="220"/>
      <c r="L1123" s="220"/>
      <c r="M1123" s="220"/>
      <c r="N1123" s="220"/>
      <c r="O1123" s="220"/>
      <c r="P1123" s="220"/>
      <c r="Q1123" s="220"/>
      <c r="R1123" s="220"/>
      <c r="S1123" s="220"/>
    </row>
    <row r="1124" spans="1:19" x14ac:dyDescent="0.25">
      <c r="A1124" s="220"/>
      <c r="B1124" s="220"/>
      <c r="C1124" s="220"/>
      <c r="D1124" s="220"/>
      <c r="E1124" s="220"/>
      <c r="F1124" s="220"/>
      <c r="G1124" s="220"/>
      <c r="H1124" s="220"/>
      <c r="I1124" s="220"/>
      <c r="J1124" s="220"/>
      <c r="K1124" s="220"/>
      <c r="L1124" s="220"/>
      <c r="M1124" s="220"/>
      <c r="N1124" s="220"/>
      <c r="O1124" s="220"/>
      <c r="P1124" s="220"/>
      <c r="Q1124" s="220"/>
      <c r="R1124" s="220"/>
      <c r="S1124" s="220"/>
    </row>
    <row r="1125" spans="1:19" x14ac:dyDescent="0.25">
      <c r="A1125" s="220"/>
      <c r="B1125" s="220"/>
      <c r="C1125" s="220"/>
      <c r="D1125" s="220"/>
      <c r="E1125" s="220"/>
      <c r="F1125" s="220"/>
      <c r="G1125" s="220"/>
      <c r="H1125" s="220"/>
      <c r="I1125" s="220"/>
      <c r="J1125" s="220"/>
      <c r="K1125" s="220"/>
      <c r="L1125" s="220"/>
      <c r="M1125" s="220"/>
      <c r="N1125" s="220"/>
      <c r="O1125" s="220"/>
      <c r="P1125" s="220"/>
      <c r="Q1125" s="220"/>
      <c r="R1125" s="220"/>
      <c r="S1125" s="220"/>
    </row>
    <row r="1126" spans="1:19" x14ac:dyDescent="0.25">
      <c r="A1126" s="220"/>
      <c r="B1126" s="220"/>
      <c r="C1126" s="220"/>
      <c r="D1126" s="220"/>
      <c r="E1126" s="220"/>
      <c r="F1126" s="220"/>
      <c r="G1126" s="220"/>
      <c r="H1126" s="220"/>
      <c r="I1126" s="220"/>
      <c r="J1126" s="220"/>
      <c r="K1126" s="220"/>
      <c r="L1126" s="220"/>
      <c r="M1126" s="220"/>
      <c r="N1126" s="220"/>
      <c r="O1126" s="220"/>
      <c r="P1126" s="220"/>
      <c r="Q1126" s="220"/>
      <c r="R1126" s="220"/>
      <c r="S1126" s="220"/>
    </row>
    <row r="1127" spans="1:19" x14ac:dyDescent="0.25">
      <c r="A1127" s="220"/>
      <c r="B1127" s="220"/>
      <c r="C1127" s="220"/>
      <c r="D1127" s="220"/>
      <c r="E1127" s="220"/>
      <c r="F1127" s="220"/>
      <c r="G1127" s="220"/>
      <c r="H1127" s="220"/>
      <c r="I1127" s="220"/>
      <c r="J1127" s="220"/>
      <c r="K1127" s="220"/>
      <c r="L1127" s="220"/>
      <c r="M1127" s="220"/>
      <c r="N1127" s="220"/>
      <c r="O1127" s="220"/>
      <c r="P1127" s="220"/>
      <c r="Q1127" s="220"/>
      <c r="R1127" s="220"/>
      <c r="S1127" s="220"/>
    </row>
    <row r="1128" spans="1:19" x14ac:dyDescent="0.25">
      <c r="A1128" s="220"/>
      <c r="B1128" s="220"/>
      <c r="C1128" s="220"/>
      <c r="D1128" s="220"/>
      <c r="E1128" s="220"/>
      <c r="F1128" s="220"/>
      <c r="G1128" s="220"/>
      <c r="H1128" s="220"/>
      <c r="I1128" s="220"/>
      <c r="J1128" s="220"/>
      <c r="K1128" s="220"/>
      <c r="L1128" s="220"/>
      <c r="M1128" s="220"/>
      <c r="N1128" s="220"/>
      <c r="O1128" s="220"/>
      <c r="P1128" s="220"/>
      <c r="Q1128" s="220"/>
      <c r="R1128" s="220"/>
      <c r="S1128" s="220"/>
    </row>
    <row r="1129" spans="1:19" x14ac:dyDescent="0.25">
      <c r="A1129" s="220"/>
      <c r="B1129" s="220"/>
      <c r="C1129" s="220"/>
      <c r="D1129" s="220"/>
      <c r="E1129" s="220"/>
      <c r="F1129" s="220"/>
      <c r="G1129" s="220"/>
      <c r="H1129" s="220"/>
      <c r="I1129" s="220"/>
      <c r="J1129" s="220"/>
      <c r="K1129" s="220"/>
      <c r="L1129" s="220"/>
      <c r="M1129" s="220"/>
      <c r="N1129" s="220"/>
      <c r="O1129" s="220"/>
      <c r="P1129" s="220"/>
      <c r="Q1129" s="220"/>
      <c r="R1129" s="220"/>
      <c r="S1129" s="220"/>
    </row>
    <row r="1130" spans="1:19" x14ac:dyDescent="0.25">
      <c r="A1130" s="220"/>
      <c r="B1130" s="220"/>
      <c r="C1130" s="220"/>
      <c r="D1130" s="220"/>
      <c r="E1130" s="220"/>
      <c r="F1130" s="220"/>
      <c r="G1130" s="220"/>
      <c r="H1130" s="220"/>
      <c r="I1130" s="220"/>
      <c r="J1130" s="220"/>
      <c r="K1130" s="220"/>
      <c r="L1130" s="220"/>
      <c r="M1130" s="220"/>
      <c r="N1130" s="220"/>
      <c r="O1130" s="220"/>
      <c r="P1130" s="220"/>
      <c r="Q1130" s="220"/>
      <c r="R1130" s="220"/>
      <c r="S1130" s="220"/>
    </row>
    <row r="1131" spans="1:19" x14ac:dyDescent="0.25">
      <c r="A1131" s="220"/>
      <c r="B1131" s="220"/>
      <c r="C1131" s="220"/>
      <c r="D1131" s="220"/>
      <c r="E1131" s="220"/>
      <c r="F1131" s="220"/>
      <c r="G1131" s="220"/>
      <c r="H1131" s="220"/>
      <c r="I1131" s="220"/>
      <c r="J1131" s="220"/>
      <c r="K1131" s="220"/>
      <c r="L1131" s="220"/>
      <c r="M1131" s="220"/>
      <c r="N1131" s="220"/>
      <c r="O1131" s="220"/>
      <c r="P1131" s="220"/>
      <c r="Q1131" s="220"/>
      <c r="R1131" s="220"/>
      <c r="S1131" s="220"/>
    </row>
    <row r="1132" spans="1:19" x14ac:dyDescent="0.25">
      <c r="A1132" s="220"/>
      <c r="B1132" s="220"/>
      <c r="C1132" s="220"/>
      <c r="D1132" s="220"/>
      <c r="E1132" s="220"/>
      <c r="F1132" s="220"/>
      <c r="G1132" s="220"/>
      <c r="H1132" s="220"/>
      <c r="I1132" s="220"/>
      <c r="J1132" s="220"/>
      <c r="K1132" s="220"/>
      <c r="L1132" s="220"/>
      <c r="M1132" s="220"/>
      <c r="N1132" s="220"/>
      <c r="O1132" s="220"/>
      <c r="P1132" s="220"/>
      <c r="Q1132" s="220"/>
      <c r="R1132" s="220"/>
      <c r="S1132" s="220"/>
    </row>
    <row r="1133" spans="1:19" x14ac:dyDescent="0.25">
      <c r="A1133" s="220"/>
      <c r="B1133" s="220"/>
      <c r="C1133" s="220"/>
      <c r="D1133" s="220"/>
      <c r="E1133" s="220"/>
      <c r="F1133" s="220"/>
      <c r="G1133" s="220"/>
      <c r="H1133" s="220"/>
      <c r="I1133" s="220"/>
      <c r="J1133" s="220"/>
      <c r="K1133" s="220"/>
      <c r="L1133" s="220"/>
      <c r="M1133" s="220"/>
      <c r="N1133" s="220"/>
      <c r="O1133" s="220"/>
      <c r="P1133" s="220"/>
      <c r="Q1133" s="220"/>
      <c r="R1133" s="220"/>
      <c r="S1133" s="220"/>
    </row>
    <row r="1134" spans="1:19" x14ac:dyDescent="0.25">
      <c r="A1134" s="220"/>
      <c r="B1134" s="220"/>
      <c r="C1134" s="220"/>
      <c r="D1134" s="220"/>
      <c r="E1134" s="220"/>
      <c r="F1134" s="220"/>
      <c r="G1134" s="220"/>
      <c r="H1134" s="220"/>
      <c r="I1134" s="220"/>
      <c r="J1134" s="220"/>
      <c r="K1134" s="220"/>
      <c r="L1134" s="220"/>
      <c r="M1134" s="220"/>
      <c r="N1134" s="220"/>
      <c r="O1134" s="220"/>
      <c r="P1134" s="220"/>
      <c r="Q1134" s="220"/>
      <c r="R1134" s="220"/>
      <c r="S1134" s="220"/>
    </row>
    <row r="1135" spans="1:19" x14ac:dyDescent="0.25">
      <c r="A1135" s="220"/>
      <c r="B1135" s="220"/>
      <c r="C1135" s="220"/>
      <c r="D1135" s="220"/>
      <c r="E1135" s="220"/>
      <c r="F1135" s="220"/>
      <c r="G1135" s="220"/>
      <c r="H1135" s="220"/>
      <c r="I1135" s="220"/>
      <c r="J1135" s="220"/>
      <c r="K1135" s="220"/>
      <c r="L1135" s="220"/>
      <c r="M1135" s="220"/>
      <c r="N1135" s="220"/>
      <c r="O1135" s="220"/>
      <c r="P1135" s="220"/>
      <c r="Q1135" s="220"/>
      <c r="R1135" s="220"/>
      <c r="S1135" s="220"/>
    </row>
    <row r="1136" spans="1:19" x14ac:dyDescent="0.25">
      <c r="A1136" s="220"/>
      <c r="B1136" s="220"/>
      <c r="C1136" s="220"/>
      <c r="D1136" s="220"/>
      <c r="E1136" s="220"/>
      <c r="F1136" s="220"/>
      <c r="G1136" s="220"/>
      <c r="H1136" s="220"/>
      <c r="I1136" s="220"/>
      <c r="J1136" s="220"/>
      <c r="K1136" s="220"/>
      <c r="L1136" s="220"/>
      <c r="M1136" s="220"/>
      <c r="N1136" s="220"/>
      <c r="O1136" s="220"/>
      <c r="P1136" s="220"/>
      <c r="Q1136" s="220"/>
      <c r="R1136" s="220"/>
      <c r="S1136" s="220"/>
    </row>
    <row r="1137" spans="1:19" x14ac:dyDescent="0.25">
      <c r="A1137" s="220"/>
      <c r="B1137" s="220"/>
      <c r="C1137" s="220"/>
      <c r="D1137" s="220"/>
      <c r="E1137" s="220"/>
      <c r="F1137" s="220"/>
      <c r="G1137" s="220"/>
      <c r="H1137" s="220"/>
      <c r="I1137" s="220"/>
      <c r="J1137" s="220"/>
      <c r="K1137" s="220"/>
      <c r="L1137" s="220"/>
      <c r="M1137" s="220"/>
      <c r="N1137" s="220"/>
      <c r="O1137" s="220"/>
      <c r="P1137" s="220"/>
      <c r="Q1137" s="220"/>
      <c r="R1137" s="220"/>
      <c r="S1137" s="220"/>
    </row>
    <row r="1138" spans="1:19" x14ac:dyDescent="0.25">
      <c r="A1138" s="220"/>
      <c r="B1138" s="220"/>
      <c r="C1138" s="220"/>
      <c r="D1138" s="220"/>
      <c r="E1138" s="220"/>
      <c r="F1138" s="220"/>
      <c r="G1138" s="220"/>
      <c r="H1138" s="220"/>
      <c r="I1138" s="220"/>
      <c r="J1138" s="220"/>
      <c r="K1138" s="220"/>
      <c r="L1138" s="220"/>
      <c r="M1138" s="220"/>
      <c r="N1138" s="220"/>
      <c r="O1138" s="220"/>
      <c r="P1138" s="220"/>
      <c r="Q1138" s="220"/>
      <c r="R1138" s="220"/>
      <c r="S1138" s="220"/>
    </row>
    <row r="1139" spans="1:19" x14ac:dyDescent="0.25">
      <c r="A1139" s="220"/>
      <c r="B1139" s="220"/>
      <c r="C1139" s="220"/>
      <c r="D1139" s="220"/>
      <c r="E1139" s="220"/>
      <c r="F1139" s="220"/>
      <c r="G1139" s="220"/>
      <c r="H1139" s="220"/>
      <c r="I1139" s="220"/>
      <c r="J1139" s="220"/>
      <c r="K1139" s="220"/>
      <c r="L1139" s="220"/>
      <c r="M1139" s="220"/>
      <c r="N1139" s="220"/>
      <c r="O1139" s="220"/>
      <c r="P1139" s="220"/>
      <c r="Q1139" s="220"/>
      <c r="R1139" s="220"/>
      <c r="S1139" s="220"/>
    </row>
    <row r="1140" spans="1:19" x14ac:dyDescent="0.25">
      <c r="A1140" s="220"/>
      <c r="B1140" s="220"/>
      <c r="C1140" s="220"/>
      <c r="D1140" s="220"/>
      <c r="E1140" s="220"/>
      <c r="F1140" s="220"/>
      <c r="G1140" s="220"/>
      <c r="H1140" s="220"/>
      <c r="I1140" s="220"/>
      <c r="J1140" s="220"/>
      <c r="K1140" s="220"/>
      <c r="L1140" s="220"/>
      <c r="M1140" s="220"/>
      <c r="N1140" s="220"/>
      <c r="O1140" s="220"/>
      <c r="P1140" s="220"/>
      <c r="Q1140" s="220"/>
      <c r="R1140" s="220"/>
      <c r="S1140" s="220"/>
    </row>
    <row r="1141" spans="1:19" x14ac:dyDescent="0.25">
      <c r="A1141" s="220"/>
      <c r="B1141" s="220"/>
      <c r="C1141" s="220"/>
      <c r="D1141" s="220"/>
      <c r="E1141" s="220"/>
      <c r="F1141" s="220"/>
      <c r="G1141" s="220"/>
      <c r="H1141" s="220"/>
      <c r="I1141" s="220"/>
      <c r="J1141" s="220"/>
      <c r="K1141" s="220"/>
      <c r="L1141" s="220"/>
      <c r="M1141" s="220"/>
      <c r="N1141" s="220"/>
      <c r="O1141" s="220"/>
      <c r="P1141" s="220"/>
      <c r="Q1141" s="220"/>
      <c r="R1141" s="220"/>
      <c r="S1141" s="220"/>
    </row>
    <row r="1142" spans="1:19" x14ac:dyDescent="0.25">
      <c r="A1142" s="220"/>
      <c r="B1142" s="220"/>
      <c r="C1142" s="220"/>
      <c r="D1142" s="220"/>
      <c r="E1142" s="220"/>
      <c r="F1142" s="220"/>
      <c r="G1142" s="220"/>
      <c r="H1142" s="220"/>
      <c r="I1142" s="220"/>
      <c r="J1142" s="220"/>
      <c r="K1142" s="220"/>
      <c r="L1142" s="220"/>
      <c r="M1142" s="220"/>
      <c r="N1142" s="220"/>
      <c r="O1142" s="220"/>
      <c r="P1142" s="220"/>
      <c r="Q1142" s="220"/>
      <c r="R1142" s="220"/>
      <c r="S1142" s="220"/>
    </row>
    <row r="1143" spans="1:19" x14ac:dyDescent="0.25">
      <c r="A1143" s="220"/>
      <c r="B1143" s="220"/>
      <c r="C1143" s="220"/>
      <c r="D1143" s="220"/>
      <c r="E1143" s="220"/>
      <c r="F1143" s="220"/>
      <c r="G1143" s="220"/>
      <c r="H1143" s="220"/>
      <c r="I1143" s="220"/>
      <c r="J1143" s="220"/>
      <c r="K1143" s="220"/>
      <c r="L1143" s="220"/>
      <c r="M1143" s="220"/>
      <c r="N1143" s="220"/>
      <c r="O1143" s="220"/>
      <c r="P1143" s="220"/>
      <c r="Q1143" s="220"/>
      <c r="R1143" s="220"/>
      <c r="S1143" s="220"/>
    </row>
    <row r="1144" spans="1:19" x14ac:dyDescent="0.25">
      <c r="A1144" s="220"/>
      <c r="B1144" s="220"/>
      <c r="C1144" s="220"/>
      <c r="D1144" s="220"/>
      <c r="E1144" s="220"/>
      <c r="F1144" s="220"/>
      <c r="G1144" s="220"/>
      <c r="H1144" s="220"/>
      <c r="I1144" s="220"/>
      <c r="J1144" s="220"/>
      <c r="K1144" s="220"/>
      <c r="L1144" s="220"/>
      <c r="M1144" s="220"/>
      <c r="N1144" s="220"/>
      <c r="O1144" s="220"/>
      <c r="P1144" s="220"/>
      <c r="Q1144" s="220"/>
      <c r="R1144" s="220"/>
      <c r="S1144" s="220"/>
    </row>
    <row r="1145" spans="1:19" x14ac:dyDescent="0.25">
      <c r="A1145" s="220"/>
      <c r="B1145" s="220"/>
      <c r="C1145" s="220"/>
      <c r="D1145" s="220"/>
      <c r="E1145" s="220"/>
      <c r="F1145" s="220"/>
      <c r="G1145" s="220"/>
      <c r="H1145" s="220"/>
      <c r="I1145" s="220"/>
      <c r="J1145" s="220"/>
      <c r="K1145" s="220"/>
      <c r="L1145" s="220"/>
      <c r="M1145" s="220"/>
      <c r="N1145" s="220"/>
      <c r="O1145" s="220"/>
      <c r="P1145" s="220"/>
      <c r="Q1145" s="220"/>
      <c r="R1145" s="220"/>
      <c r="S1145" s="220"/>
    </row>
    <row r="1146" spans="1:19" x14ac:dyDescent="0.25">
      <c r="A1146" s="220"/>
      <c r="B1146" s="220"/>
      <c r="C1146" s="220"/>
      <c r="D1146" s="220"/>
      <c r="E1146" s="220"/>
      <c r="F1146" s="220"/>
      <c r="G1146" s="220"/>
      <c r="H1146" s="220"/>
      <c r="I1146" s="220"/>
      <c r="J1146" s="220"/>
      <c r="K1146" s="220"/>
      <c r="L1146" s="220"/>
      <c r="M1146" s="220"/>
      <c r="N1146" s="220"/>
      <c r="O1146" s="220"/>
      <c r="P1146" s="220"/>
      <c r="Q1146" s="220"/>
      <c r="R1146" s="220"/>
      <c r="S1146" s="220"/>
    </row>
    <row r="1147" spans="1:19" x14ac:dyDescent="0.25">
      <c r="A1147" s="220"/>
      <c r="B1147" s="220"/>
      <c r="C1147" s="220"/>
      <c r="D1147" s="220"/>
      <c r="E1147" s="220"/>
      <c r="F1147" s="220"/>
      <c r="G1147" s="220"/>
      <c r="H1147" s="220"/>
      <c r="I1147" s="220"/>
      <c r="J1147" s="220"/>
      <c r="K1147" s="220"/>
      <c r="L1147" s="220"/>
      <c r="M1147" s="220"/>
      <c r="N1147" s="220"/>
      <c r="O1147" s="220"/>
      <c r="P1147" s="220"/>
      <c r="Q1147" s="220"/>
      <c r="R1147" s="220"/>
      <c r="S1147" s="220"/>
    </row>
    <row r="1148" spans="1:19" x14ac:dyDescent="0.25">
      <c r="A1148" s="220"/>
      <c r="B1148" s="220"/>
      <c r="C1148" s="220"/>
      <c r="D1148" s="220"/>
      <c r="E1148" s="220"/>
      <c r="F1148" s="220"/>
      <c r="G1148" s="220"/>
      <c r="H1148" s="220"/>
      <c r="I1148" s="220"/>
      <c r="J1148" s="220"/>
      <c r="K1148" s="220"/>
      <c r="L1148" s="220"/>
      <c r="M1148" s="220"/>
      <c r="N1148" s="220"/>
      <c r="O1148" s="220"/>
      <c r="P1148" s="220"/>
      <c r="Q1148" s="220"/>
      <c r="R1148" s="220"/>
      <c r="S1148" s="220"/>
    </row>
    <row r="1149" spans="1:19" x14ac:dyDescent="0.25">
      <c r="A1149" s="220"/>
      <c r="B1149" s="220"/>
      <c r="C1149" s="220"/>
      <c r="D1149" s="220"/>
      <c r="E1149" s="220"/>
      <c r="F1149" s="220"/>
      <c r="G1149" s="220"/>
      <c r="H1149" s="220"/>
      <c r="I1149" s="220"/>
      <c r="J1149" s="220"/>
      <c r="K1149" s="220"/>
      <c r="L1149" s="220"/>
      <c r="M1149" s="220"/>
      <c r="N1149" s="220"/>
      <c r="O1149" s="220"/>
      <c r="P1149" s="220"/>
      <c r="Q1149" s="220"/>
      <c r="R1149" s="220"/>
      <c r="S1149" s="220"/>
    </row>
    <row r="1150" spans="1:19" x14ac:dyDescent="0.25">
      <c r="A1150" s="220"/>
      <c r="B1150" s="220"/>
      <c r="C1150" s="220"/>
      <c r="D1150" s="220"/>
      <c r="E1150" s="220"/>
      <c r="F1150" s="220"/>
      <c r="G1150" s="220"/>
      <c r="H1150" s="220"/>
      <c r="I1150" s="220"/>
      <c r="J1150" s="220"/>
      <c r="K1150" s="220"/>
      <c r="L1150" s="220"/>
      <c r="M1150" s="220"/>
      <c r="N1150" s="220"/>
      <c r="O1150" s="220"/>
      <c r="P1150" s="220"/>
      <c r="Q1150" s="220"/>
      <c r="R1150" s="220"/>
      <c r="S1150" s="220"/>
    </row>
    <row r="1151" spans="1:19" x14ac:dyDescent="0.25">
      <c r="A1151" s="220"/>
      <c r="B1151" s="220"/>
      <c r="C1151" s="220"/>
      <c r="D1151" s="220"/>
      <c r="E1151" s="220"/>
      <c r="F1151" s="220"/>
      <c r="G1151" s="220"/>
      <c r="H1151" s="220"/>
      <c r="I1151" s="220"/>
      <c r="J1151" s="220"/>
      <c r="K1151" s="220"/>
      <c r="L1151" s="220"/>
      <c r="M1151" s="220"/>
      <c r="N1151" s="220"/>
      <c r="O1151" s="220"/>
      <c r="P1151" s="220"/>
      <c r="Q1151" s="220"/>
      <c r="R1151" s="220"/>
      <c r="S1151" s="220"/>
    </row>
    <row r="1152" spans="1:19" x14ac:dyDescent="0.25">
      <c r="A1152" s="220"/>
      <c r="B1152" s="220"/>
      <c r="C1152" s="220"/>
      <c r="D1152" s="220"/>
      <c r="E1152" s="220"/>
      <c r="F1152" s="220"/>
      <c r="G1152" s="220"/>
      <c r="H1152" s="220"/>
      <c r="I1152" s="220"/>
      <c r="J1152" s="220"/>
      <c r="K1152" s="220"/>
      <c r="L1152" s="220"/>
      <c r="M1152" s="220"/>
      <c r="N1152" s="220"/>
      <c r="O1152" s="220"/>
      <c r="P1152" s="220"/>
      <c r="Q1152" s="220"/>
      <c r="R1152" s="220"/>
      <c r="S1152" s="220"/>
    </row>
    <row r="1153" spans="1:19" x14ac:dyDescent="0.25">
      <c r="A1153" s="220"/>
      <c r="B1153" s="220"/>
      <c r="C1153" s="220"/>
      <c r="D1153" s="220"/>
      <c r="E1153" s="220"/>
      <c r="F1153" s="220"/>
      <c r="G1153" s="220"/>
      <c r="H1153" s="220"/>
      <c r="I1153" s="220"/>
      <c r="J1153" s="220"/>
      <c r="K1153" s="220"/>
      <c r="L1153" s="220"/>
      <c r="M1153" s="220"/>
      <c r="N1153" s="220"/>
      <c r="O1153" s="220"/>
      <c r="P1153" s="220"/>
      <c r="Q1153" s="220"/>
      <c r="R1153" s="220"/>
      <c r="S1153" s="220"/>
    </row>
    <row r="1154" spans="1:19" x14ac:dyDescent="0.25">
      <c r="A1154" s="220"/>
      <c r="B1154" s="220"/>
      <c r="C1154" s="220"/>
      <c r="D1154" s="220"/>
      <c r="E1154" s="220"/>
      <c r="F1154" s="220"/>
      <c r="G1154" s="220"/>
      <c r="H1154" s="220"/>
      <c r="I1154" s="220"/>
      <c r="J1154" s="220"/>
      <c r="K1154" s="220"/>
      <c r="L1154" s="220"/>
      <c r="M1154" s="220"/>
      <c r="N1154" s="220"/>
      <c r="O1154" s="220"/>
      <c r="P1154" s="220"/>
      <c r="Q1154" s="220"/>
      <c r="R1154" s="220"/>
      <c r="S1154" s="220"/>
    </row>
    <row r="1155" spans="1:19" x14ac:dyDescent="0.25">
      <c r="A1155" s="220"/>
      <c r="B1155" s="220"/>
      <c r="C1155" s="220"/>
      <c r="D1155" s="220"/>
      <c r="E1155" s="220"/>
      <c r="F1155" s="220"/>
      <c r="G1155" s="220"/>
      <c r="H1155" s="220"/>
      <c r="I1155" s="220"/>
      <c r="J1155" s="220"/>
      <c r="K1155" s="220"/>
      <c r="L1155" s="220"/>
      <c r="M1155" s="220"/>
      <c r="N1155" s="220"/>
      <c r="O1155" s="220"/>
      <c r="P1155" s="220"/>
      <c r="Q1155" s="220"/>
      <c r="R1155" s="220"/>
      <c r="S1155" s="220"/>
    </row>
    <row r="1156" spans="1:19" x14ac:dyDescent="0.25">
      <c r="A1156" s="220"/>
      <c r="B1156" s="220"/>
      <c r="C1156" s="220"/>
      <c r="D1156" s="220"/>
      <c r="E1156" s="220"/>
      <c r="F1156" s="220"/>
      <c r="G1156" s="220"/>
      <c r="H1156" s="220"/>
      <c r="I1156" s="220"/>
      <c r="J1156" s="220"/>
      <c r="K1156" s="220"/>
      <c r="L1156" s="220"/>
      <c r="M1156" s="220"/>
      <c r="N1156" s="220"/>
      <c r="O1156" s="220"/>
      <c r="P1156" s="220"/>
      <c r="Q1156" s="220"/>
      <c r="R1156" s="220"/>
      <c r="S1156" s="220"/>
    </row>
    <row r="1157" spans="1:19" x14ac:dyDescent="0.25">
      <c r="A1157" s="220"/>
      <c r="B1157" s="220"/>
      <c r="C1157" s="220"/>
      <c r="D1157" s="220"/>
      <c r="E1157" s="220"/>
      <c r="F1157" s="220"/>
      <c r="G1157" s="220"/>
      <c r="H1157" s="220"/>
      <c r="I1157" s="220"/>
      <c r="J1157" s="220"/>
      <c r="K1157" s="220"/>
      <c r="L1157" s="220"/>
      <c r="M1157" s="220"/>
      <c r="N1157" s="220"/>
      <c r="O1157" s="220"/>
      <c r="P1157" s="220"/>
      <c r="Q1157" s="220"/>
      <c r="R1157" s="220"/>
      <c r="S1157" s="220"/>
    </row>
    <row r="1158" spans="1:19" x14ac:dyDescent="0.25">
      <c r="A1158" s="220"/>
      <c r="B1158" s="220"/>
      <c r="C1158" s="220"/>
      <c r="D1158" s="220"/>
      <c r="E1158" s="220"/>
      <c r="F1158" s="220"/>
      <c r="G1158" s="220"/>
      <c r="H1158" s="220"/>
      <c r="I1158" s="220"/>
      <c r="J1158" s="220"/>
      <c r="K1158" s="220"/>
      <c r="L1158" s="220"/>
      <c r="M1158" s="220"/>
      <c r="N1158" s="220"/>
      <c r="O1158" s="220"/>
      <c r="P1158" s="220"/>
      <c r="Q1158" s="220"/>
      <c r="R1158" s="220"/>
      <c r="S1158" s="220"/>
    </row>
    <row r="1159" spans="1:19" x14ac:dyDescent="0.25">
      <c r="A1159" s="220"/>
      <c r="B1159" s="220"/>
      <c r="C1159" s="220"/>
      <c r="D1159" s="220"/>
      <c r="E1159" s="220"/>
      <c r="F1159" s="220"/>
      <c r="G1159" s="220"/>
      <c r="H1159" s="220"/>
      <c r="I1159" s="220"/>
      <c r="J1159" s="220"/>
      <c r="K1159" s="220"/>
      <c r="L1159" s="220"/>
      <c r="M1159" s="220"/>
      <c r="N1159" s="220"/>
      <c r="O1159" s="220"/>
      <c r="P1159" s="220"/>
      <c r="Q1159" s="220"/>
      <c r="R1159" s="220"/>
      <c r="S1159" s="220"/>
    </row>
    <row r="1160" spans="1:19" x14ac:dyDescent="0.25">
      <c r="A1160" s="220"/>
      <c r="B1160" s="220"/>
      <c r="C1160" s="220"/>
      <c r="D1160" s="220"/>
      <c r="E1160" s="220"/>
      <c r="F1160" s="220"/>
      <c r="G1160" s="220"/>
      <c r="H1160" s="220"/>
      <c r="I1160" s="220"/>
      <c r="J1160" s="220"/>
      <c r="K1160" s="220"/>
      <c r="L1160" s="220"/>
      <c r="M1160" s="220"/>
      <c r="N1160" s="220"/>
      <c r="O1160" s="220"/>
      <c r="P1160" s="220"/>
      <c r="Q1160" s="220"/>
      <c r="R1160" s="220"/>
      <c r="S1160" s="220"/>
    </row>
    <row r="1161" spans="1:19" x14ac:dyDescent="0.25">
      <c r="A1161" s="220"/>
      <c r="B1161" s="220"/>
      <c r="C1161" s="220"/>
      <c r="D1161" s="220"/>
      <c r="E1161" s="220"/>
      <c r="F1161" s="220"/>
      <c r="G1161" s="220"/>
      <c r="H1161" s="220"/>
      <c r="I1161" s="220"/>
      <c r="J1161" s="220"/>
      <c r="K1161" s="220"/>
      <c r="L1161" s="220"/>
      <c r="M1161" s="220"/>
      <c r="N1161" s="220"/>
      <c r="O1161" s="220"/>
      <c r="P1161" s="220"/>
      <c r="Q1161" s="220"/>
      <c r="R1161" s="220"/>
      <c r="S1161" s="220"/>
    </row>
    <row r="1162" spans="1:19" x14ac:dyDescent="0.25">
      <c r="A1162" s="220"/>
      <c r="B1162" s="220"/>
      <c r="C1162" s="220"/>
      <c r="D1162" s="220"/>
      <c r="E1162" s="220"/>
      <c r="F1162" s="220"/>
      <c r="G1162" s="220"/>
      <c r="H1162" s="220"/>
      <c r="I1162" s="220"/>
      <c r="J1162" s="220"/>
      <c r="K1162" s="220"/>
      <c r="L1162" s="220"/>
      <c r="M1162" s="220"/>
      <c r="N1162" s="220"/>
      <c r="O1162" s="220"/>
      <c r="P1162" s="220"/>
      <c r="Q1162" s="220"/>
      <c r="R1162" s="220"/>
      <c r="S1162" s="220"/>
    </row>
    <row r="1163" spans="1:19" x14ac:dyDescent="0.25">
      <c r="A1163" s="220"/>
      <c r="B1163" s="220"/>
      <c r="C1163" s="220"/>
      <c r="D1163" s="220"/>
      <c r="E1163" s="220"/>
      <c r="F1163" s="220"/>
      <c r="G1163" s="220"/>
      <c r="H1163" s="220"/>
      <c r="I1163" s="220"/>
      <c r="J1163" s="220"/>
      <c r="K1163" s="220"/>
      <c r="L1163" s="220"/>
      <c r="M1163" s="220"/>
      <c r="N1163" s="220"/>
      <c r="O1163" s="220"/>
      <c r="P1163" s="220"/>
      <c r="Q1163" s="220"/>
      <c r="R1163" s="220"/>
      <c r="S1163" s="220"/>
    </row>
    <row r="1164" spans="1:19" x14ac:dyDescent="0.25">
      <c r="A1164" s="220"/>
      <c r="B1164" s="220"/>
      <c r="C1164" s="220"/>
      <c r="D1164" s="220"/>
      <c r="E1164" s="220"/>
      <c r="F1164" s="220"/>
      <c r="G1164" s="220"/>
      <c r="H1164" s="220"/>
      <c r="I1164" s="220"/>
      <c r="J1164" s="220"/>
      <c r="K1164" s="220"/>
      <c r="L1164" s="220"/>
      <c r="M1164" s="220"/>
      <c r="N1164" s="220"/>
      <c r="O1164" s="220"/>
      <c r="P1164" s="220"/>
      <c r="Q1164" s="220"/>
      <c r="R1164" s="220"/>
      <c r="S1164" s="220"/>
    </row>
    <row r="1165" spans="1:19" x14ac:dyDescent="0.25">
      <c r="A1165" s="220"/>
      <c r="B1165" s="220"/>
      <c r="C1165" s="220"/>
      <c r="D1165" s="220"/>
      <c r="E1165" s="220"/>
      <c r="F1165" s="220"/>
      <c r="G1165" s="220"/>
      <c r="H1165" s="220"/>
      <c r="I1165" s="220"/>
      <c r="J1165" s="220"/>
      <c r="K1165" s="220"/>
      <c r="L1165" s="220"/>
      <c r="M1165" s="220"/>
      <c r="N1165" s="220"/>
      <c r="O1165" s="220"/>
      <c r="P1165" s="220"/>
      <c r="Q1165" s="220"/>
      <c r="R1165" s="220"/>
      <c r="S1165" s="220"/>
    </row>
    <row r="1166" spans="1:19" x14ac:dyDescent="0.25">
      <c r="A1166" s="220"/>
      <c r="B1166" s="220"/>
      <c r="C1166" s="220"/>
      <c r="D1166" s="220"/>
      <c r="E1166" s="220"/>
      <c r="F1166" s="220"/>
      <c r="G1166" s="220"/>
      <c r="H1166" s="220"/>
      <c r="I1166" s="220"/>
      <c r="J1166" s="220"/>
      <c r="K1166" s="220"/>
      <c r="L1166" s="220"/>
      <c r="M1166" s="220"/>
      <c r="N1166" s="220"/>
      <c r="O1166" s="220"/>
      <c r="P1166" s="220"/>
      <c r="Q1166" s="220"/>
      <c r="R1166" s="220"/>
      <c r="S1166" s="220"/>
    </row>
    <row r="1167" spans="1:19" x14ac:dyDescent="0.25">
      <c r="A1167" s="220"/>
      <c r="B1167" s="220"/>
      <c r="C1167" s="220"/>
      <c r="D1167" s="220"/>
      <c r="E1167" s="220"/>
      <c r="F1167" s="220"/>
      <c r="G1167" s="220"/>
      <c r="H1167" s="220"/>
      <c r="I1167" s="220"/>
      <c r="J1167" s="220"/>
      <c r="K1167" s="220"/>
      <c r="L1167" s="220"/>
      <c r="M1167" s="220"/>
      <c r="N1167" s="220"/>
      <c r="O1167" s="220"/>
      <c r="P1167" s="220"/>
      <c r="Q1167" s="220"/>
      <c r="R1167" s="220"/>
      <c r="S1167" s="220"/>
    </row>
    <row r="1168" spans="1:19" x14ac:dyDescent="0.25">
      <c r="A1168" s="220"/>
      <c r="B1168" s="220"/>
      <c r="C1168" s="220"/>
      <c r="D1168" s="220"/>
      <c r="E1168" s="220"/>
      <c r="F1168" s="220"/>
      <c r="G1168" s="220"/>
      <c r="H1168" s="220"/>
      <c r="I1168" s="220"/>
      <c r="J1168" s="220"/>
      <c r="K1168" s="220"/>
      <c r="L1168" s="220"/>
      <c r="M1168" s="220"/>
      <c r="N1168" s="220"/>
      <c r="O1168" s="220"/>
      <c r="P1168" s="220"/>
      <c r="Q1168" s="220"/>
      <c r="R1168" s="220"/>
      <c r="S1168" s="220"/>
    </row>
    <row r="1169" spans="1:19" x14ac:dyDescent="0.25">
      <c r="A1169" s="220"/>
      <c r="B1169" s="220"/>
      <c r="C1169" s="220"/>
      <c r="D1169" s="220"/>
      <c r="E1169" s="220"/>
      <c r="F1169" s="220"/>
      <c r="G1169" s="220"/>
      <c r="H1169" s="220"/>
      <c r="I1169" s="220"/>
      <c r="J1169" s="220"/>
      <c r="K1169" s="220"/>
      <c r="L1169" s="220"/>
      <c r="M1169" s="220"/>
      <c r="N1169" s="220"/>
      <c r="O1169" s="220"/>
      <c r="P1169" s="220"/>
      <c r="Q1169" s="220"/>
      <c r="R1169" s="220"/>
      <c r="S1169" s="220"/>
    </row>
    <row r="1170" spans="1:19" x14ac:dyDescent="0.25">
      <c r="A1170" s="220"/>
      <c r="B1170" s="220"/>
      <c r="C1170" s="220"/>
      <c r="D1170" s="220"/>
      <c r="E1170" s="220"/>
      <c r="F1170" s="220"/>
      <c r="G1170" s="220"/>
      <c r="H1170" s="220"/>
      <c r="I1170" s="220"/>
      <c r="J1170" s="220"/>
      <c r="K1170" s="220"/>
      <c r="L1170" s="220"/>
      <c r="M1170" s="220"/>
      <c r="N1170" s="220"/>
      <c r="O1170" s="220"/>
      <c r="P1170" s="220"/>
      <c r="Q1170" s="220"/>
      <c r="R1170" s="220"/>
      <c r="S1170" s="220"/>
    </row>
    <row r="1171" spans="1:19" x14ac:dyDescent="0.25">
      <c r="A1171" s="220"/>
      <c r="B1171" s="220"/>
      <c r="C1171" s="220"/>
      <c r="D1171" s="220"/>
      <c r="E1171" s="220"/>
      <c r="F1171" s="220"/>
      <c r="G1171" s="220"/>
      <c r="H1171" s="220"/>
      <c r="I1171" s="220"/>
      <c r="J1171" s="220"/>
      <c r="K1171" s="220"/>
      <c r="L1171" s="220"/>
      <c r="M1171" s="220"/>
      <c r="N1171" s="220"/>
      <c r="O1171" s="220"/>
      <c r="P1171" s="220"/>
      <c r="Q1171" s="220"/>
      <c r="R1171" s="220"/>
      <c r="S1171" s="220"/>
    </row>
    <row r="1172" spans="1:19" x14ac:dyDescent="0.25">
      <c r="A1172" s="220"/>
      <c r="B1172" s="220"/>
      <c r="C1172" s="220"/>
      <c r="D1172" s="220"/>
      <c r="E1172" s="220"/>
      <c r="F1172" s="220"/>
      <c r="G1172" s="220"/>
      <c r="H1172" s="220"/>
      <c r="I1172" s="220"/>
      <c r="J1172" s="220"/>
      <c r="K1172" s="220"/>
      <c r="L1172" s="220"/>
      <c r="M1172" s="220"/>
      <c r="N1172" s="220"/>
      <c r="O1172" s="220"/>
      <c r="P1172" s="220"/>
      <c r="Q1172" s="220"/>
      <c r="R1172" s="220"/>
      <c r="S1172" s="220"/>
    </row>
    <row r="1173" spans="1:19" x14ac:dyDescent="0.25">
      <c r="A1173" s="220"/>
      <c r="B1173" s="220"/>
      <c r="C1173" s="220"/>
      <c r="D1173" s="220"/>
      <c r="E1173" s="220"/>
      <c r="F1173" s="220"/>
      <c r="G1173" s="220"/>
      <c r="H1173" s="220"/>
      <c r="I1173" s="220"/>
      <c r="J1173" s="220"/>
      <c r="K1173" s="220"/>
      <c r="L1173" s="220"/>
      <c r="M1173" s="220"/>
      <c r="N1173" s="220"/>
      <c r="O1173" s="220"/>
      <c r="P1173" s="220"/>
      <c r="Q1173" s="220"/>
      <c r="R1173" s="220"/>
      <c r="S1173" s="220"/>
    </row>
    <row r="1174" spans="1:19" x14ac:dyDescent="0.25">
      <c r="A1174" s="220"/>
      <c r="B1174" s="220"/>
      <c r="C1174" s="220"/>
      <c r="D1174" s="220"/>
      <c r="E1174" s="220"/>
      <c r="F1174" s="220"/>
      <c r="G1174" s="220"/>
      <c r="H1174" s="220"/>
      <c r="I1174" s="220"/>
      <c r="J1174" s="220"/>
      <c r="K1174" s="220"/>
      <c r="L1174" s="220"/>
      <c r="M1174" s="220"/>
      <c r="N1174" s="220"/>
      <c r="O1174" s="220"/>
      <c r="P1174" s="220"/>
      <c r="Q1174" s="220"/>
      <c r="R1174" s="220"/>
      <c r="S1174" s="220"/>
    </row>
    <row r="1175" spans="1:19" x14ac:dyDescent="0.25">
      <c r="A1175" s="220"/>
      <c r="B1175" s="220"/>
      <c r="C1175" s="220"/>
      <c r="D1175" s="220"/>
      <c r="E1175" s="220"/>
      <c r="F1175" s="220"/>
      <c r="G1175" s="220"/>
      <c r="H1175" s="220"/>
      <c r="I1175" s="220"/>
      <c r="J1175" s="220"/>
      <c r="K1175" s="220"/>
      <c r="L1175" s="220"/>
      <c r="M1175" s="220"/>
      <c r="N1175" s="220"/>
      <c r="O1175" s="220"/>
      <c r="P1175" s="220"/>
      <c r="Q1175" s="220"/>
      <c r="R1175" s="220"/>
      <c r="S1175" s="220"/>
    </row>
    <row r="1176" spans="1:19" x14ac:dyDescent="0.25">
      <c r="A1176" s="220"/>
      <c r="B1176" s="220"/>
      <c r="C1176" s="220"/>
      <c r="D1176" s="220"/>
      <c r="E1176" s="220"/>
      <c r="F1176" s="220"/>
      <c r="G1176" s="220"/>
      <c r="H1176" s="220"/>
      <c r="I1176" s="220"/>
      <c r="J1176" s="220"/>
      <c r="K1176" s="220"/>
      <c r="L1176" s="220"/>
      <c r="M1176" s="220"/>
      <c r="N1176" s="220"/>
      <c r="O1176" s="220"/>
      <c r="P1176" s="220"/>
      <c r="Q1176" s="220"/>
      <c r="R1176" s="220"/>
      <c r="S1176" s="220"/>
    </row>
    <row r="1177" spans="1:19" x14ac:dyDescent="0.25">
      <c r="A1177" s="220"/>
      <c r="B1177" s="220"/>
      <c r="C1177" s="220"/>
      <c r="D1177" s="220"/>
      <c r="E1177" s="220"/>
      <c r="F1177" s="220"/>
      <c r="G1177" s="220"/>
      <c r="H1177" s="220"/>
      <c r="I1177" s="220"/>
      <c r="J1177" s="220"/>
      <c r="K1177" s="220"/>
      <c r="L1177" s="220"/>
      <c r="M1177" s="220"/>
      <c r="N1177" s="220"/>
      <c r="O1177" s="220"/>
      <c r="P1177" s="220"/>
      <c r="Q1177" s="220"/>
      <c r="R1177" s="220"/>
      <c r="S1177" s="220"/>
    </row>
    <row r="1178" spans="1:19" x14ac:dyDescent="0.25">
      <c r="A1178" s="220"/>
      <c r="B1178" s="220"/>
      <c r="C1178" s="220"/>
      <c r="D1178" s="220"/>
      <c r="E1178" s="220"/>
      <c r="F1178" s="220"/>
      <c r="G1178" s="220"/>
      <c r="H1178" s="220"/>
      <c r="I1178" s="220"/>
      <c r="J1178" s="220"/>
      <c r="K1178" s="220"/>
      <c r="L1178" s="220"/>
      <c r="M1178" s="220"/>
      <c r="N1178" s="220"/>
      <c r="O1178" s="220"/>
      <c r="P1178" s="220"/>
      <c r="Q1178" s="220"/>
      <c r="R1178" s="220"/>
      <c r="S1178" s="220"/>
    </row>
    <row r="1179" spans="1:19" x14ac:dyDescent="0.25">
      <c r="A1179" s="220"/>
      <c r="B1179" s="220"/>
      <c r="C1179" s="220"/>
      <c r="D1179" s="220"/>
      <c r="E1179" s="220"/>
      <c r="F1179" s="220"/>
      <c r="G1179" s="220"/>
      <c r="H1179" s="220"/>
      <c r="I1179" s="220"/>
      <c r="J1179" s="220"/>
      <c r="K1179" s="220"/>
      <c r="L1179" s="220"/>
      <c r="M1179" s="220"/>
      <c r="N1179" s="220"/>
      <c r="O1179" s="220"/>
      <c r="P1179" s="220"/>
      <c r="Q1179" s="220"/>
      <c r="R1179" s="220"/>
      <c r="S1179" s="220"/>
    </row>
    <row r="1180" spans="1:19" x14ac:dyDescent="0.25">
      <c r="A1180" s="220"/>
      <c r="B1180" s="220"/>
      <c r="C1180" s="220"/>
      <c r="D1180" s="220"/>
      <c r="E1180" s="220"/>
      <c r="F1180" s="220"/>
      <c r="G1180" s="220"/>
      <c r="H1180" s="220"/>
      <c r="I1180" s="220"/>
      <c r="J1180" s="220"/>
      <c r="K1180" s="220"/>
      <c r="L1180" s="220"/>
      <c r="M1180" s="220"/>
      <c r="N1180" s="220"/>
      <c r="O1180" s="220"/>
      <c r="P1180" s="220"/>
      <c r="Q1180" s="220"/>
      <c r="R1180" s="220"/>
      <c r="S1180" s="220"/>
    </row>
    <row r="1181" spans="1:19" x14ac:dyDescent="0.25">
      <c r="A1181" s="220"/>
      <c r="B1181" s="220"/>
      <c r="C1181" s="220"/>
      <c r="D1181" s="220"/>
      <c r="E1181" s="220"/>
      <c r="F1181" s="220"/>
      <c r="G1181" s="220"/>
      <c r="H1181" s="220"/>
      <c r="I1181" s="220"/>
      <c r="J1181" s="220"/>
      <c r="K1181" s="220"/>
      <c r="L1181" s="220"/>
      <c r="M1181" s="220"/>
      <c r="N1181" s="220"/>
      <c r="O1181" s="220"/>
      <c r="P1181" s="220"/>
      <c r="Q1181" s="220"/>
      <c r="R1181" s="220"/>
      <c r="S1181" s="220"/>
    </row>
    <row r="1182" spans="1:19" x14ac:dyDescent="0.25">
      <c r="A1182" s="220"/>
      <c r="B1182" s="220"/>
      <c r="C1182" s="220"/>
      <c r="D1182" s="220"/>
      <c r="E1182" s="220"/>
      <c r="F1182" s="220"/>
      <c r="G1182" s="220"/>
      <c r="H1182" s="220"/>
      <c r="I1182" s="220"/>
      <c r="J1182" s="220"/>
      <c r="K1182" s="220"/>
      <c r="L1182" s="220"/>
      <c r="M1182" s="220"/>
      <c r="N1182" s="220"/>
      <c r="O1182" s="220"/>
      <c r="P1182" s="220"/>
      <c r="Q1182" s="220"/>
      <c r="R1182" s="220"/>
      <c r="S1182" s="220"/>
    </row>
    <row r="1183" spans="1:19" x14ac:dyDescent="0.25">
      <c r="A1183" s="220"/>
      <c r="B1183" s="220"/>
      <c r="C1183" s="220"/>
      <c r="D1183" s="220"/>
      <c r="E1183" s="220"/>
      <c r="F1183" s="220"/>
      <c r="G1183" s="220"/>
      <c r="H1183" s="220"/>
      <c r="I1183" s="220"/>
      <c r="J1183" s="220"/>
      <c r="K1183" s="220"/>
      <c r="L1183" s="220"/>
      <c r="M1183" s="220"/>
      <c r="N1183" s="220"/>
      <c r="O1183" s="220"/>
      <c r="P1183" s="220"/>
      <c r="Q1183" s="220"/>
      <c r="R1183" s="220"/>
      <c r="S1183" s="220"/>
    </row>
    <row r="1184" spans="1:19" x14ac:dyDescent="0.25">
      <c r="A1184" s="220"/>
      <c r="B1184" s="220"/>
      <c r="C1184" s="220"/>
      <c r="D1184" s="220"/>
      <c r="E1184" s="220"/>
      <c r="F1184" s="220"/>
      <c r="G1184" s="220"/>
      <c r="H1184" s="220"/>
      <c r="I1184" s="220"/>
      <c r="J1184" s="220"/>
      <c r="K1184" s="220"/>
      <c r="L1184" s="220"/>
      <c r="M1184" s="220"/>
      <c r="N1184" s="220"/>
      <c r="O1184" s="220"/>
      <c r="P1184" s="220"/>
      <c r="Q1184" s="220"/>
      <c r="R1184" s="220"/>
      <c r="S1184" s="220"/>
    </row>
    <row r="1185" spans="1:19" x14ac:dyDescent="0.25">
      <c r="A1185" s="220"/>
      <c r="B1185" s="220"/>
      <c r="C1185" s="220"/>
      <c r="D1185" s="220"/>
      <c r="E1185" s="220"/>
      <c r="F1185" s="220"/>
      <c r="G1185" s="220"/>
      <c r="H1185" s="220"/>
      <c r="I1185" s="220"/>
      <c r="J1185" s="220"/>
      <c r="K1185" s="220"/>
      <c r="L1185" s="220"/>
      <c r="M1185" s="220"/>
      <c r="N1185" s="220"/>
      <c r="O1185" s="220"/>
      <c r="P1185" s="220"/>
      <c r="Q1185" s="220"/>
      <c r="R1185" s="220"/>
      <c r="S1185" s="220"/>
    </row>
    <row r="1186" spans="1:19" x14ac:dyDescent="0.25">
      <c r="A1186" s="220"/>
      <c r="B1186" s="220"/>
      <c r="C1186" s="220"/>
      <c r="D1186" s="220"/>
      <c r="E1186" s="220"/>
      <c r="F1186" s="220"/>
      <c r="G1186" s="220"/>
      <c r="H1186" s="220"/>
      <c r="I1186" s="220"/>
      <c r="J1186" s="220"/>
      <c r="K1186" s="220"/>
      <c r="L1186" s="220"/>
      <c r="M1186" s="220"/>
      <c r="N1186" s="220"/>
      <c r="O1186" s="220"/>
      <c r="P1186" s="220"/>
      <c r="Q1186" s="220"/>
      <c r="R1186" s="220"/>
      <c r="S1186" s="220"/>
    </row>
    <row r="1187" spans="1:19" x14ac:dyDescent="0.25">
      <c r="A1187" s="220"/>
      <c r="B1187" s="220"/>
      <c r="C1187" s="220"/>
      <c r="D1187" s="220"/>
      <c r="E1187" s="220"/>
      <c r="F1187" s="220"/>
      <c r="G1187" s="220"/>
      <c r="H1187" s="220"/>
      <c r="I1187" s="220"/>
      <c r="J1187" s="220"/>
      <c r="K1187" s="220"/>
      <c r="L1187" s="220"/>
      <c r="M1187" s="220"/>
      <c r="N1187" s="220"/>
      <c r="O1187" s="220"/>
      <c r="P1187" s="220"/>
      <c r="Q1187" s="220"/>
      <c r="R1187" s="220"/>
      <c r="S1187" s="220"/>
    </row>
    <row r="1188" spans="1:19" x14ac:dyDescent="0.25">
      <c r="A1188" s="220"/>
      <c r="B1188" s="220"/>
      <c r="C1188" s="220"/>
      <c r="D1188" s="220"/>
      <c r="E1188" s="220"/>
      <c r="F1188" s="220"/>
      <c r="G1188" s="220"/>
      <c r="H1188" s="220"/>
      <c r="I1188" s="220"/>
      <c r="J1188" s="220"/>
      <c r="K1188" s="220"/>
      <c r="L1188" s="220"/>
      <c r="M1188" s="220"/>
      <c r="N1188" s="220"/>
      <c r="O1188" s="220"/>
      <c r="P1188" s="220"/>
      <c r="Q1188" s="220"/>
      <c r="R1188" s="220"/>
      <c r="S1188" s="220"/>
    </row>
    <row r="1189" spans="1:19" x14ac:dyDescent="0.25">
      <c r="A1189" s="220"/>
      <c r="B1189" s="220"/>
      <c r="C1189" s="220"/>
      <c r="D1189" s="220"/>
      <c r="E1189" s="220"/>
      <c r="F1189" s="220"/>
      <c r="G1189" s="220"/>
      <c r="H1189" s="220"/>
      <c r="I1189" s="220"/>
      <c r="J1189" s="220"/>
      <c r="K1189" s="220"/>
      <c r="L1189" s="220"/>
      <c r="M1189" s="220"/>
      <c r="N1189" s="220"/>
      <c r="O1189" s="220"/>
      <c r="P1189" s="220"/>
      <c r="Q1189" s="220"/>
      <c r="R1189" s="220"/>
      <c r="S1189" s="220"/>
    </row>
    <row r="1190" spans="1:19" x14ac:dyDescent="0.25">
      <c r="A1190" s="220"/>
      <c r="B1190" s="220"/>
      <c r="C1190" s="220"/>
      <c r="D1190" s="220"/>
      <c r="E1190" s="220"/>
      <c r="F1190" s="220"/>
      <c r="G1190" s="220"/>
      <c r="H1190" s="220"/>
      <c r="I1190" s="220"/>
      <c r="J1190" s="220"/>
      <c r="K1190" s="220"/>
      <c r="L1190" s="220"/>
      <c r="M1190" s="220"/>
      <c r="N1190" s="220"/>
      <c r="O1190" s="220"/>
      <c r="P1190" s="220"/>
      <c r="Q1190" s="220"/>
      <c r="R1190" s="220"/>
      <c r="S1190" s="220"/>
    </row>
    <row r="1191" spans="1:19" x14ac:dyDescent="0.25">
      <c r="A1191" s="220"/>
      <c r="B1191" s="220"/>
      <c r="C1191" s="220"/>
      <c r="D1191" s="220"/>
      <c r="E1191" s="220"/>
      <c r="F1191" s="220"/>
      <c r="G1191" s="220"/>
      <c r="H1191" s="220"/>
      <c r="I1191" s="220"/>
      <c r="J1191" s="220"/>
      <c r="K1191" s="220"/>
      <c r="L1191" s="220"/>
      <c r="M1191" s="220"/>
      <c r="N1191" s="220"/>
      <c r="O1191" s="220"/>
      <c r="P1191" s="220"/>
      <c r="Q1191" s="220"/>
      <c r="R1191" s="220"/>
      <c r="S1191" s="220"/>
    </row>
    <row r="1192" spans="1:19" x14ac:dyDescent="0.25">
      <c r="A1192" s="220"/>
      <c r="B1192" s="220"/>
      <c r="C1192" s="220"/>
      <c r="D1192" s="220"/>
      <c r="E1192" s="220"/>
      <c r="F1192" s="220"/>
      <c r="G1192" s="220"/>
      <c r="H1192" s="220"/>
      <c r="I1192" s="220"/>
      <c r="J1192" s="220"/>
      <c r="K1192" s="220"/>
      <c r="L1192" s="220"/>
      <c r="M1192" s="220"/>
      <c r="N1192" s="220"/>
      <c r="O1192" s="220"/>
      <c r="P1192" s="220"/>
      <c r="Q1192" s="220"/>
      <c r="R1192" s="220"/>
      <c r="S1192" s="220"/>
    </row>
    <row r="1193" spans="1:19" x14ac:dyDescent="0.25">
      <c r="A1193" s="220"/>
      <c r="B1193" s="220"/>
      <c r="C1193" s="220"/>
      <c r="D1193" s="220"/>
      <c r="E1193" s="220"/>
      <c r="F1193" s="220"/>
      <c r="G1193" s="220"/>
      <c r="H1193" s="220"/>
      <c r="I1193" s="220"/>
      <c r="J1193" s="220"/>
      <c r="K1193" s="220"/>
      <c r="L1193" s="220"/>
      <c r="M1193" s="220"/>
      <c r="N1193" s="220"/>
      <c r="O1193" s="220"/>
      <c r="P1193" s="220"/>
      <c r="Q1193" s="220"/>
      <c r="R1193" s="220"/>
      <c r="S1193" s="220"/>
    </row>
    <row r="1194" spans="1:19" x14ac:dyDescent="0.25">
      <c r="A1194" s="220"/>
      <c r="B1194" s="220"/>
      <c r="C1194" s="220"/>
      <c r="D1194" s="220"/>
      <c r="E1194" s="220"/>
      <c r="F1194" s="220"/>
      <c r="G1194" s="220"/>
      <c r="H1194" s="220"/>
      <c r="I1194" s="220"/>
      <c r="J1194" s="220"/>
      <c r="K1194" s="220"/>
      <c r="L1194" s="220"/>
      <c r="M1194" s="220"/>
      <c r="N1194" s="220"/>
      <c r="O1194" s="220"/>
      <c r="P1194" s="220"/>
      <c r="Q1194" s="220"/>
      <c r="R1194" s="220"/>
      <c r="S1194" s="220"/>
    </row>
    <row r="1195" spans="1:19" x14ac:dyDescent="0.25">
      <c r="A1195" s="220"/>
      <c r="B1195" s="220"/>
      <c r="C1195" s="220"/>
      <c r="D1195" s="220"/>
      <c r="E1195" s="220"/>
      <c r="F1195" s="220"/>
      <c r="G1195" s="220"/>
      <c r="H1195" s="220"/>
      <c r="I1195" s="220"/>
      <c r="J1195" s="220"/>
      <c r="K1195" s="220"/>
      <c r="L1195" s="220"/>
      <c r="M1195" s="220"/>
      <c r="N1195" s="220"/>
      <c r="O1195" s="220"/>
      <c r="P1195" s="220"/>
      <c r="Q1195" s="220"/>
      <c r="R1195" s="220"/>
      <c r="S1195" s="220"/>
    </row>
    <row r="1196" spans="1:19" x14ac:dyDescent="0.25">
      <c r="A1196" s="220"/>
      <c r="B1196" s="220"/>
      <c r="C1196" s="220"/>
      <c r="D1196" s="220"/>
      <c r="E1196" s="220"/>
      <c r="F1196" s="220"/>
      <c r="G1196" s="220"/>
      <c r="H1196" s="220"/>
      <c r="I1196" s="220"/>
      <c r="J1196" s="220"/>
      <c r="K1196" s="220"/>
      <c r="L1196" s="220"/>
      <c r="M1196" s="220"/>
      <c r="N1196" s="220"/>
      <c r="O1196" s="220"/>
      <c r="P1196" s="220"/>
      <c r="Q1196" s="220"/>
      <c r="R1196" s="220"/>
      <c r="S1196" s="220"/>
    </row>
    <row r="1197" spans="1:19" x14ac:dyDescent="0.25">
      <c r="A1197" s="220"/>
      <c r="B1197" s="220"/>
      <c r="C1197" s="220"/>
      <c r="D1197" s="220"/>
      <c r="E1197" s="220"/>
      <c r="F1197" s="220"/>
      <c r="G1197" s="220"/>
      <c r="H1197" s="220"/>
      <c r="I1197" s="220"/>
      <c r="J1197" s="220"/>
      <c r="K1197" s="220"/>
      <c r="L1197" s="220"/>
      <c r="M1197" s="220"/>
      <c r="N1197" s="220"/>
      <c r="O1197" s="220"/>
      <c r="P1197" s="220"/>
      <c r="Q1197" s="220"/>
      <c r="R1197" s="220"/>
      <c r="S1197" s="220"/>
    </row>
    <row r="1198" spans="1:19" x14ac:dyDescent="0.25">
      <c r="A1198" s="220"/>
      <c r="B1198" s="220"/>
      <c r="C1198" s="220"/>
      <c r="D1198" s="220"/>
      <c r="E1198" s="220"/>
      <c r="F1198" s="220"/>
      <c r="G1198" s="220"/>
      <c r="H1198" s="220"/>
      <c r="I1198" s="220"/>
      <c r="J1198" s="220"/>
      <c r="K1198" s="220"/>
      <c r="L1198" s="220"/>
      <c r="M1198" s="220"/>
      <c r="N1198" s="220"/>
      <c r="O1198" s="220"/>
      <c r="P1198" s="220"/>
      <c r="Q1198" s="220"/>
      <c r="R1198" s="220"/>
      <c r="S1198" s="220"/>
    </row>
    <row r="1199" spans="1:19" x14ac:dyDescent="0.25">
      <c r="A1199" s="220"/>
      <c r="B1199" s="220"/>
      <c r="C1199" s="220"/>
      <c r="D1199" s="220"/>
      <c r="E1199" s="220"/>
      <c r="F1199" s="220"/>
      <c r="G1199" s="220"/>
      <c r="H1199" s="220"/>
      <c r="I1199" s="220"/>
      <c r="J1199" s="220"/>
      <c r="K1199" s="220"/>
      <c r="L1199" s="220"/>
      <c r="M1199" s="220"/>
      <c r="N1199" s="220"/>
      <c r="O1199" s="220"/>
      <c r="P1199" s="220"/>
      <c r="Q1199" s="220"/>
      <c r="R1199" s="220"/>
      <c r="S1199" s="220"/>
    </row>
    <row r="1200" spans="1:19" x14ac:dyDescent="0.25">
      <c r="A1200" s="220"/>
      <c r="B1200" s="220"/>
      <c r="C1200" s="220"/>
      <c r="D1200" s="220"/>
      <c r="E1200" s="220"/>
      <c r="F1200" s="220"/>
      <c r="G1200" s="220"/>
      <c r="H1200" s="220"/>
      <c r="I1200" s="220"/>
      <c r="J1200" s="220"/>
      <c r="K1200" s="220"/>
      <c r="L1200" s="220"/>
      <c r="M1200" s="220"/>
      <c r="N1200" s="220"/>
      <c r="O1200" s="220"/>
      <c r="P1200" s="220"/>
      <c r="Q1200" s="220"/>
      <c r="R1200" s="220"/>
      <c r="S1200" s="220"/>
    </row>
    <row r="1201" spans="1:19" x14ac:dyDescent="0.25">
      <c r="A1201" s="220"/>
      <c r="B1201" s="220"/>
      <c r="C1201" s="220"/>
      <c r="D1201" s="220"/>
      <c r="E1201" s="220"/>
      <c r="F1201" s="220"/>
      <c r="G1201" s="220"/>
      <c r="H1201" s="220"/>
      <c r="I1201" s="220"/>
      <c r="J1201" s="220"/>
      <c r="K1201" s="220"/>
      <c r="L1201" s="220"/>
      <c r="M1201" s="220"/>
      <c r="N1201" s="220"/>
      <c r="O1201" s="220"/>
      <c r="P1201" s="220"/>
      <c r="Q1201" s="220"/>
      <c r="R1201" s="220"/>
      <c r="S1201" s="220"/>
    </row>
    <row r="1202" spans="1:19" x14ac:dyDescent="0.25">
      <c r="A1202" s="220"/>
      <c r="B1202" s="220"/>
      <c r="C1202" s="220"/>
      <c r="D1202" s="220"/>
      <c r="E1202" s="220"/>
      <c r="F1202" s="220"/>
      <c r="G1202" s="220"/>
      <c r="H1202" s="220"/>
      <c r="I1202" s="220"/>
      <c r="J1202" s="220"/>
      <c r="K1202" s="220"/>
      <c r="L1202" s="220"/>
      <c r="M1202" s="220"/>
      <c r="N1202" s="220"/>
      <c r="O1202" s="220"/>
      <c r="P1202" s="220"/>
      <c r="Q1202" s="220"/>
      <c r="R1202" s="220"/>
      <c r="S1202" s="220"/>
    </row>
    <row r="1203" spans="1:19" x14ac:dyDescent="0.25">
      <c r="A1203" s="219"/>
      <c r="B1203" s="219"/>
      <c r="C1203" s="219"/>
      <c r="D1203" s="219"/>
      <c r="E1203" s="219"/>
      <c r="F1203" s="219"/>
      <c r="G1203" s="219"/>
      <c r="H1203" s="219"/>
      <c r="I1203" s="248"/>
      <c r="J1203" s="220"/>
      <c r="K1203" s="220"/>
      <c r="L1203" s="220"/>
      <c r="M1203" s="220"/>
      <c r="N1203" s="220"/>
      <c r="O1203" s="220"/>
      <c r="P1203" s="220"/>
      <c r="Q1203" s="220"/>
      <c r="R1203" s="220"/>
      <c r="S1203" s="220"/>
    </row>
    <row r="1204" spans="1:19" x14ac:dyDescent="0.25">
      <c r="A1204" s="219"/>
      <c r="B1204" s="219"/>
      <c r="C1204" s="219"/>
      <c r="D1204" s="219"/>
      <c r="E1204" s="219"/>
      <c r="F1204" s="219"/>
      <c r="G1204" s="219"/>
      <c r="H1204" s="219"/>
      <c r="I1204" s="248"/>
      <c r="J1204" s="220"/>
      <c r="K1204" s="220"/>
      <c r="L1204" s="220"/>
      <c r="M1204" s="220"/>
      <c r="N1204" s="220"/>
      <c r="O1204" s="220"/>
      <c r="P1204" s="220"/>
      <c r="Q1204" s="220"/>
      <c r="R1204" s="220"/>
      <c r="S1204" s="220"/>
    </row>
    <row r="1205" spans="1:19" x14ac:dyDescent="0.25">
      <c r="A1205" s="219"/>
      <c r="B1205" s="219"/>
      <c r="C1205" s="219"/>
      <c r="D1205" s="219"/>
      <c r="E1205" s="219"/>
      <c r="F1205" s="219"/>
      <c r="G1205" s="219"/>
      <c r="H1205" s="219"/>
      <c r="I1205" s="248"/>
      <c r="J1205" s="220"/>
      <c r="K1205" s="220"/>
      <c r="L1205" s="220"/>
      <c r="M1205" s="220"/>
      <c r="N1205" s="220"/>
      <c r="O1205" s="220"/>
      <c r="P1205" s="220"/>
      <c r="Q1205" s="220"/>
      <c r="R1205" s="220"/>
      <c r="S1205" s="220"/>
    </row>
    <row r="1206" spans="1:19" x14ac:dyDescent="0.25">
      <c r="A1206" s="219"/>
      <c r="B1206" s="219"/>
      <c r="C1206" s="219"/>
      <c r="D1206" s="219"/>
      <c r="E1206" s="219"/>
      <c r="F1206" s="219"/>
      <c r="G1206" s="219"/>
      <c r="H1206" s="219"/>
      <c r="I1206" s="248"/>
      <c r="J1206" s="220"/>
      <c r="K1206" s="220"/>
      <c r="L1206" s="220"/>
      <c r="M1206" s="220"/>
      <c r="N1206" s="220"/>
      <c r="O1206" s="220"/>
      <c r="P1206" s="220"/>
      <c r="Q1206" s="220"/>
      <c r="R1206" s="220"/>
      <c r="S1206" s="220"/>
    </row>
    <row r="1207" spans="1:19" x14ac:dyDescent="0.25">
      <c r="A1207" s="219"/>
      <c r="B1207" s="219"/>
      <c r="C1207" s="219"/>
      <c r="D1207" s="219"/>
      <c r="E1207" s="219"/>
      <c r="F1207" s="219"/>
      <c r="G1207" s="219"/>
      <c r="H1207" s="219"/>
      <c r="I1207" s="248"/>
      <c r="J1207" s="220"/>
      <c r="K1207" s="220"/>
      <c r="L1207" s="220"/>
      <c r="M1207" s="220"/>
      <c r="N1207" s="220"/>
      <c r="O1207" s="220"/>
      <c r="P1207" s="220"/>
      <c r="Q1207" s="220"/>
      <c r="R1207" s="220"/>
      <c r="S1207" s="220"/>
    </row>
    <row r="1208" spans="1:19" x14ac:dyDescent="0.25">
      <c r="A1208" s="219"/>
      <c r="B1208" s="219"/>
      <c r="C1208" s="219"/>
      <c r="D1208" s="219"/>
      <c r="E1208" s="219"/>
      <c r="F1208" s="219"/>
      <c r="G1208" s="219"/>
      <c r="H1208" s="219"/>
      <c r="I1208" s="248"/>
      <c r="J1208" s="220"/>
      <c r="K1208" s="220"/>
      <c r="L1208" s="220"/>
      <c r="M1208" s="220"/>
      <c r="N1208" s="220"/>
      <c r="O1208" s="220"/>
      <c r="P1208" s="220"/>
      <c r="Q1208" s="220"/>
      <c r="R1208" s="220"/>
      <c r="S1208" s="220"/>
    </row>
    <row r="1209" spans="1:19" x14ac:dyDescent="0.25">
      <c r="A1209" s="219"/>
      <c r="B1209" s="219"/>
      <c r="C1209" s="219"/>
      <c r="D1209" s="219"/>
      <c r="E1209" s="219"/>
      <c r="F1209" s="219"/>
      <c r="G1209" s="219"/>
      <c r="H1209" s="219"/>
      <c r="I1209" s="248"/>
      <c r="J1209" s="220"/>
      <c r="K1209" s="220"/>
      <c r="L1209" s="220"/>
      <c r="M1209" s="220"/>
      <c r="N1209" s="220"/>
      <c r="O1209" s="220"/>
      <c r="P1209" s="220"/>
      <c r="Q1209" s="220"/>
      <c r="R1209" s="220"/>
      <c r="S1209" s="220"/>
    </row>
    <row r="1210" spans="1:19" x14ac:dyDescent="0.25">
      <c r="A1210" s="219"/>
      <c r="B1210" s="219"/>
      <c r="C1210" s="219"/>
      <c r="D1210" s="219"/>
      <c r="E1210" s="219"/>
      <c r="F1210" s="219"/>
      <c r="G1210" s="219"/>
      <c r="H1210" s="219"/>
      <c r="I1210" s="248"/>
      <c r="J1210" s="220"/>
      <c r="K1210" s="220"/>
      <c r="L1210" s="220"/>
      <c r="M1210" s="220"/>
      <c r="N1210" s="220"/>
      <c r="O1210" s="220"/>
      <c r="P1210" s="220"/>
      <c r="Q1210" s="220"/>
      <c r="R1210" s="220"/>
      <c r="S1210" s="220"/>
    </row>
    <row r="1211" spans="1:19" x14ac:dyDescent="0.25">
      <c r="A1211" s="219"/>
      <c r="B1211" s="219"/>
      <c r="C1211" s="219"/>
      <c r="D1211" s="219"/>
      <c r="E1211" s="219"/>
      <c r="F1211" s="219"/>
      <c r="G1211" s="219"/>
      <c r="H1211" s="219"/>
      <c r="I1211" s="248"/>
      <c r="J1211" s="220"/>
      <c r="K1211" s="220"/>
      <c r="L1211" s="220"/>
      <c r="M1211" s="220"/>
      <c r="N1211" s="220"/>
      <c r="O1211" s="220"/>
      <c r="P1211" s="220"/>
      <c r="Q1211" s="220"/>
      <c r="R1211" s="220"/>
      <c r="S1211" s="220"/>
    </row>
    <row r="1212" spans="1:19" x14ac:dyDescent="0.25">
      <c r="A1212" s="219"/>
      <c r="B1212" s="219"/>
      <c r="C1212" s="219"/>
      <c r="D1212" s="219"/>
      <c r="E1212" s="219"/>
      <c r="F1212" s="219"/>
      <c r="G1212" s="219"/>
      <c r="H1212" s="219"/>
      <c r="I1212" s="248"/>
      <c r="J1212" s="220"/>
      <c r="K1212" s="220"/>
      <c r="L1212" s="220"/>
      <c r="M1212" s="220"/>
      <c r="N1212" s="220"/>
      <c r="O1212" s="220"/>
      <c r="P1212" s="220"/>
      <c r="Q1212" s="220"/>
      <c r="R1212" s="220"/>
      <c r="S1212" s="220"/>
    </row>
    <row r="1213" spans="1:19" x14ac:dyDescent="0.25">
      <c r="A1213" s="219"/>
      <c r="B1213" s="219"/>
      <c r="C1213" s="219"/>
      <c r="D1213" s="219"/>
      <c r="E1213" s="219"/>
      <c r="F1213" s="219"/>
      <c r="G1213" s="219"/>
      <c r="H1213" s="219"/>
      <c r="I1213" s="248"/>
      <c r="J1213" s="220"/>
      <c r="K1213" s="220"/>
      <c r="L1213" s="220"/>
      <c r="M1213" s="220"/>
      <c r="N1213" s="220"/>
      <c r="O1213" s="220"/>
      <c r="P1213" s="220"/>
      <c r="Q1213" s="220"/>
      <c r="R1213" s="220"/>
      <c r="S1213" s="220"/>
    </row>
    <row r="1214" spans="1:19" x14ac:dyDescent="0.25">
      <c r="A1214" s="219"/>
      <c r="B1214" s="219"/>
      <c r="C1214" s="219"/>
      <c r="D1214" s="219"/>
      <c r="E1214" s="219"/>
      <c r="F1214" s="219"/>
      <c r="G1214" s="219"/>
      <c r="H1214" s="219"/>
      <c r="I1214" s="248"/>
      <c r="J1214" s="220"/>
      <c r="K1214" s="220"/>
      <c r="L1214" s="220"/>
      <c r="M1214" s="220"/>
      <c r="N1214" s="220"/>
      <c r="O1214" s="220"/>
      <c r="P1214" s="220"/>
      <c r="Q1214" s="220"/>
      <c r="R1214" s="220"/>
      <c r="S1214" s="220"/>
    </row>
    <row r="1215" spans="1:19" x14ac:dyDescent="0.25">
      <c r="A1215" s="219"/>
      <c r="B1215" s="219"/>
      <c r="C1215" s="219"/>
      <c r="D1215" s="219"/>
      <c r="E1215" s="219"/>
      <c r="F1215" s="219"/>
      <c r="G1215" s="219"/>
      <c r="H1215" s="219"/>
      <c r="I1215" s="248"/>
      <c r="J1215" s="220"/>
      <c r="K1215" s="220"/>
      <c r="L1215" s="220"/>
      <c r="M1215" s="220"/>
      <c r="N1215" s="220"/>
      <c r="O1215" s="220"/>
      <c r="P1215" s="220"/>
      <c r="Q1215" s="220"/>
      <c r="R1215" s="220"/>
      <c r="S1215" s="220"/>
    </row>
    <row r="1216" spans="1:19" x14ac:dyDescent="0.25">
      <c r="A1216" s="219"/>
      <c r="B1216" s="219"/>
      <c r="C1216" s="219"/>
      <c r="D1216" s="219"/>
      <c r="E1216" s="219"/>
      <c r="F1216" s="219"/>
      <c r="G1216" s="219"/>
      <c r="H1216" s="219"/>
      <c r="I1216" s="248"/>
      <c r="J1216" s="220"/>
      <c r="K1216" s="220"/>
      <c r="L1216" s="220"/>
      <c r="M1216" s="220"/>
      <c r="N1216" s="220"/>
      <c r="O1216" s="220"/>
      <c r="P1216" s="220"/>
      <c r="Q1216" s="220"/>
      <c r="R1216" s="220"/>
      <c r="S1216" s="220"/>
    </row>
    <row r="1217" spans="1:19" x14ac:dyDescent="0.25">
      <c r="A1217" s="219"/>
      <c r="B1217" s="219"/>
      <c r="C1217" s="219"/>
      <c r="D1217" s="219"/>
      <c r="E1217" s="219"/>
      <c r="F1217" s="219"/>
      <c r="G1217" s="219"/>
      <c r="H1217" s="219"/>
      <c r="I1217" s="248"/>
      <c r="J1217" s="220"/>
      <c r="K1217" s="220"/>
      <c r="L1217" s="220"/>
      <c r="M1217" s="220"/>
      <c r="N1217" s="220"/>
      <c r="O1217" s="220"/>
      <c r="P1217" s="220"/>
      <c r="Q1217" s="220"/>
      <c r="R1217" s="220"/>
      <c r="S1217" s="220"/>
    </row>
    <row r="1218" spans="1:19" x14ac:dyDescent="0.25">
      <c r="A1218" s="219"/>
      <c r="B1218" s="219"/>
      <c r="C1218" s="219"/>
      <c r="D1218" s="219"/>
      <c r="E1218" s="219"/>
      <c r="F1218" s="219"/>
      <c r="G1218" s="219"/>
      <c r="H1218" s="219"/>
      <c r="I1218" s="248"/>
      <c r="J1218" s="220"/>
      <c r="K1218" s="220"/>
      <c r="L1218" s="220"/>
      <c r="M1218" s="220"/>
      <c r="N1218" s="220"/>
      <c r="O1218" s="220"/>
      <c r="P1218" s="220"/>
      <c r="Q1218" s="220"/>
      <c r="R1218" s="220"/>
      <c r="S1218" s="220"/>
    </row>
    <row r="1219" spans="1:19" x14ac:dyDescent="0.25">
      <c r="A1219" s="219"/>
      <c r="B1219" s="219"/>
      <c r="C1219" s="219"/>
      <c r="D1219" s="219"/>
      <c r="E1219" s="219"/>
      <c r="F1219" s="219"/>
      <c r="G1219" s="219"/>
      <c r="H1219" s="219"/>
      <c r="I1219" s="248"/>
      <c r="J1219" s="220"/>
      <c r="K1219" s="220"/>
      <c r="L1219" s="220"/>
      <c r="M1219" s="220"/>
      <c r="N1219" s="220"/>
      <c r="O1219" s="220"/>
      <c r="P1219" s="220"/>
      <c r="Q1219" s="220"/>
      <c r="R1219" s="220"/>
      <c r="S1219" s="220"/>
    </row>
    <row r="1220" spans="1:19" x14ac:dyDescent="0.25">
      <c r="A1220" s="219"/>
      <c r="B1220" s="219"/>
      <c r="C1220" s="219"/>
      <c r="D1220" s="219"/>
      <c r="E1220" s="219"/>
      <c r="F1220" s="219"/>
      <c r="G1220" s="219"/>
      <c r="H1220" s="219"/>
      <c r="I1220" s="248"/>
      <c r="J1220" s="220"/>
      <c r="K1220" s="220"/>
      <c r="L1220" s="220"/>
      <c r="M1220" s="220"/>
      <c r="N1220" s="220"/>
      <c r="O1220" s="220"/>
      <c r="P1220" s="220"/>
      <c r="Q1220" s="220"/>
      <c r="R1220" s="220"/>
      <c r="S1220" s="220"/>
    </row>
    <row r="1221" spans="1:19" x14ac:dyDescent="0.25">
      <c r="A1221" s="219"/>
      <c r="B1221" s="219"/>
      <c r="C1221" s="219"/>
      <c r="D1221" s="219"/>
      <c r="E1221" s="219"/>
      <c r="F1221" s="219"/>
      <c r="G1221" s="219"/>
      <c r="H1221" s="219"/>
      <c r="I1221" s="248"/>
      <c r="J1221" s="220"/>
      <c r="K1221" s="220"/>
      <c r="L1221" s="220"/>
      <c r="M1221" s="220"/>
      <c r="N1221" s="220"/>
      <c r="O1221" s="220"/>
      <c r="P1221" s="220"/>
      <c r="Q1221" s="220"/>
      <c r="R1221" s="220"/>
      <c r="S1221" s="220"/>
    </row>
    <row r="1222" spans="1:19" x14ac:dyDescent="0.25">
      <c r="A1222" s="219"/>
      <c r="B1222" s="219"/>
      <c r="C1222" s="219"/>
      <c r="D1222" s="219"/>
      <c r="E1222" s="219"/>
      <c r="F1222" s="219"/>
      <c r="G1222" s="219"/>
      <c r="H1222" s="219"/>
      <c r="I1222" s="248"/>
      <c r="J1222" s="220"/>
      <c r="K1222" s="220"/>
      <c r="L1222" s="220"/>
      <c r="M1222" s="220"/>
      <c r="N1222" s="220"/>
      <c r="O1222" s="220"/>
      <c r="P1222" s="220"/>
      <c r="Q1222" s="220"/>
      <c r="R1222" s="220"/>
      <c r="S1222" s="220"/>
    </row>
    <row r="1223" spans="1:19" x14ac:dyDescent="0.25">
      <c r="A1223" s="219"/>
      <c r="B1223" s="219"/>
      <c r="C1223" s="219"/>
      <c r="D1223" s="219"/>
      <c r="E1223" s="219"/>
      <c r="F1223" s="219"/>
      <c r="G1223" s="219"/>
      <c r="H1223" s="219"/>
      <c r="I1223" s="248"/>
      <c r="J1223" s="220"/>
      <c r="K1223" s="220"/>
      <c r="L1223" s="220"/>
      <c r="M1223" s="220"/>
      <c r="N1223" s="220"/>
      <c r="O1223" s="220"/>
      <c r="P1223" s="220"/>
      <c r="Q1223" s="220"/>
      <c r="R1223" s="220"/>
      <c r="S1223" s="220"/>
    </row>
    <row r="1224" spans="1:19" x14ac:dyDescent="0.25">
      <c r="A1224" s="219"/>
      <c r="B1224" s="219"/>
      <c r="C1224" s="219"/>
      <c r="D1224" s="219"/>
      <c r="E1224" s="219"/>
      <c r="F1224" s="219"/>
      <c r="G1224" s="219"/>
      <c r="H1224" s="219"/>
      <c r="I1224" s="248"/>
      <c r="J1224" s="220"/>
      <c r="K1224" s="220"/>
      <c r="L1224" s="220"/>
      <c r="M1224" s="220"/>
      <c r="N1224" s="220"/>
      <c r="O1224" s="220"/>
      <c r="P1224" s="220"/>
      <c r="Q1224" s="220"/>
      <c r="R1224" s="220"/>
      <c r="S1224" s="220"/>
    </row>
    <row r="1225" spans="1:19" x14ac:dyDescent="0.25">
      <c r="A1225" s="219"/>
      <c r="B1225" s="219"/>
      <c r="C1225" s="219"/>
      <c r="D1225" s="219"/>
      <c r="E1225" s="219"/>
      <c r="F1225" s="219"/>
      <c r="G1225" s="219"/>
      <c r="H1225" s="219"/>
      <c r="I1225" s="248"/>
      <c r="J1225" s="220"/>
      <c r="K1225" s="220"/>
      <c r="L1225" s="220"/>
      <c r="M1225" s="220"/>
      <c r="N1225" s="220"/>
      <c r="O1225" s="220"/>
      <c r="P1225" s="220"/>
      <c r="Q1225" s="220"/>
      <c r="R1225" s="220"/>
      <c r="S1225" s="220"/>
    </row>
    <row r="1226" spans="1:19" x14ac:dyDescent="0.25">
      <c r="A1226" s="219"/>
      <c r="B1226" s="219"/>
      <c r="C1226" s="219"/>
      <c r="D1226" s="219"/>
      <c r="E1226" s="219"/>
      <c r="F1226" s="219"/>
      <c r="G1226" s="219"/>
      <c r="H1226" s="219"/>
      <c r="I1226" s="248"/>
      <c r="J1226" s="220"/>
      <c r="K1226" s="220"/>
      <c r="L1226" s="220"/>
      <c r="M1226" s="220"/>
      <c r="N1226" s="220"/>
      <c r="O1226" s="220"/>
      <c r="P1226" s="220"/>
      <c r="Q1226" s="220"/>
      <c r="R1226" s="220"/>
      <c r="S1226" s="220"/>
    </row>
    <row r="1227" spans="1:19" x14ac:dyDescent="0.25">
      <c r="A1227" s="219"/>
      <c r="B1227" s="219"/>
      <c r="C1227" s="219"/>
      <c r="D1227" s="219"/>
      <c r="E1227" s="219"/>
      <c r="F1227" s="219"/>
      <c r="G1227" s="219"/>
      <c r="H1227" s="219"/>
      <c r="I1227" s="248"/>
      <c r="J1227" s="220"/>
      <c r="K1227" s="220"/>
      <c r="L1227" s="220"/>
      <c r="M1227" s="220"/>
      <c r="N1227" s="220"/>
      <c r="O1227" s="220"/>
      <c r="P1227" s="220"/>
      <c r="Q1227" s="220"/>
      <c r="R1227" s="220"/>
      <c r="S1227" s="220"/>
    </row>
    <row r="1228" spans="1:19" x14ac:dyDescent="0.25">
      <c r="A1228" s="219"/>
      <c r="B1228" s="219"/>
      <c r="C1228" s="219"/>
      <c r="D1228" s="219"/>
      <c r="E1228" s="219"/>
      <c r="F1228" s="219"/>
      <c r="G1228" s="219"/>
      <c r="H1228" s="219"/>
      <c r="I1228" s="248"/>
      <c r="J1228" s="220"/>
      <c r="K1228" s="220"/>
      <c r="L1228" s="220"/>
      <c r="M1228" s="220"/>
      <c r="N1228" s="220"/>
      <c r="O1228" s="220"/>
      <c r="P1228" s="220"/>
      <c r="Q1228" s="220"/>
      <c r="R1228" s="220"/>
      <c r="S1228" s="220"/>
    </row>
    <row r="1229" spans="1:19" x14ac:dyDescent="0.25">
      <c r="A1229" s="219"/>
      <c r="B1229" s="219"/>
      <c r="C1229" s="219"/>
      <c r="D1229" s="219"/>
      <c r="E1229" s="219"/>
      <c r="F1229" s="219"/>
      <c r="G1229" s="219"/>
      <c r="H1229" s="219"/>
      <c r="I1229" s="248"/>
      <c r="J1229" s="220"/>
      <c r="K1229" s="220"/>
      <c r="L1229" s="220"/>
      <c r="M1229" s="220"/>
      <c r="N1229" s="220"/>
      <c r="O1229" s="220"/>
      <c r="P1229" s="220"/>
      <c r="Q1229" s="220"/>
      <c r="R1229" s="220"/>
      <c r="S1229" s="220"/>
    </row>
    <row r="1230" spans="1:19" x14ac:dyDescent="0.25">
      <c r="A1230" s="219"/>
      <c r="B1230" s="219"/>
      <c r="C1230" s="219"/>
      <c r="D1230" s="219"/>
      <c r="E1230" s="219"/>
      <c r="F1230" s="219"/>
      <c r="G1230" s="219"/>
      <c r="H1230" s="219"/>
      <c r="I1230" s="248"/>
      <c r="J1230" s="220"/>
      <c r="K1230" s="220"/>
      <c r="L1230" s="220"/>
      <c r="M1230" s="220"/>
      <c r="N1230" s="220"/>
      <c r="O1230" s="220"/>
      <c r="P1230" s="220"/>
      <c r="Q1230" s="220"/>
      <c r="R1230" s="220"/>
      <c r="S1230" s="220"/>
    </row>
    <row r="1231" spans="1:19" x14ac:dyDescent="0.25">
      <c r="A1231" s="219"/>
      <c r="B1231" s="219"/>
      <c r="C1231" s="219"/>
      <c r="D1231" s="219"/>
      <c r="E1231" s="219"/>
      <c r="F1231" s="219"/>
      <c r="G1231" s="219"/>
      <c r="H1231" s="219"/>
      <c r="I1231" s="248"/>
      <c r="J1231" s="220"/>
      <c r="K1231" s="220"/>
      <c r="L1231" s="220"/>
      <c r="M1231" s="220"/>
      <c r="N1231" s="220"/>
      <c r="O1231" s="220"/>
      <c r="P1231" s="220"/>
      <c r="Q1231" s="220"/>
      <c r="R1231" s="220"/>
      <c r="S1231" s="220"/>
    </row>
    <row r="1232" spans="1:19" x14ac:dyDescent="0.25">
      <c r="A1232" s="219"/>
      <c r="B1232" s="219"/>
      <c r="C1232" s="219"/>
      <c r="D1232" s="219"/>
      <c r="E1232" s="219"/>
      <c r="F1232" s="219"/>
      <c r="G1232" s="219"/>
      <c r="H1232" s="219"/>
      <c r="I1232" s="248"/>
      <c r="J1232" s="220"/>
      <c r="K1232" s="220"/>
      <c r="L1232" s="220"/>
      <c r="M1232" s="220"/>
      <c r="N1232" s="220"/>
      <c r="O1232" s="220"/>
      <c r="P1232" s="220"/>
      <c r="Q1232" s="220"/>
      <c r="R1232" s="220"/>
      <c r="S1232" s="220"/>
    </row>
    <row r="1233" spans="1:19" x14ac:dyDescent="0.25">
      <c r="A1233" s="219"/>
      <c r="B1233" s="219"/>
      <c r="C1233" s="219"/>
      <c r="D1233" s="219"/>
      <c r="E1233" s="219"/>
      <c r="F1233" s="219"/>
      <c r="G1233" s="219"/>
      <c r="H1233" s="219"/>
      <c r="I1233" s="248"/>
      <c r="J1233" s="220"/>
      <c r="K1233" s="220"/>
      <c r="L1233" s="220"/>
      <c r="M1233" s="220"/>
      <c r="N1233" s="220"/>
      <c r="O1233" s="220"/>
      <c r="P1233" s="220"/>
      <c r="Q1233" s="220"/>
      <c r="R1233" s="220"/>
      <c r="S1233" s="220"/>
    </row>
    <row r="1234" spans="1:19" x14ac:dyDescent="0.25">
      <c r="A1234" s="219"/>
      <c r="B1234" s="219"/>
      <c r="C1234" s="219"/>
      <c r="D1234" s="219"/>
      <c r="E1234" s="219"/>
      <c r="F1234" s="219"/>
      <c r="G1234" s="219"/>
      <c r="H1234" s="219"/>
      <c r="I1234" s="248"/>
      <c r="J1234" s="220"/>
      <c r="K1234" s="220"/>
      <c r="L1234" s="220"/>
      <c r="M1234" s="220"/>
      <c r="N1234" s="220"/>
      <c r="O1234" s="220"/>
      <c r="P1234" s="220"/>
      <c r="Q1234" s="220"/>
      <c r="R1234" s="220"/>
      <c r="S1234" s="220"/>
    </row>
    <row r="1235" spans="1:19" x14ac:dyDescent="0.25">
      <c r="A1235" s="219"/>
      <c r="B1235" s="219"/>
      <c r="C1235" s="219"/>
      <c r="D1235" s="219"/>
      <c r="E1235" s="219"/>
      <c r="F1235" s="219"/>
      <c r="G1235" s="219"/>
      <c r="H1235" s="219"/>
      <c r="I1235" s="248"/>
      <c r="J1235" s="220"/>
      <c r="K1235" s="220"/>
      <c r="L1235" s="220"/>
      <c r="M1235" s="220"/>
      <c r="N1235" s="220"/>
      <c r="O1235" s="220"/>
      <c r="P1235" s="220"/>
      <c r="Q1235" s="220"/>
      <c r="R1235" s="220"/>
      <c r="S1235" s="220"/>
    </row>
    <row r="1236" spans="1:19" x14ac:dyDescent="0.25">
      <c r="A1236" s="219"/>
      <c r="B1236" s="219"/>
      <c r="C1236" s="219"/>
      <c r="D1236" s="219"/>
      <c r="E1236" s="219"/>
      <c r="F1236" s="219"/>
      <c r="G1236" s="219"/>
      <c r="H1236" s="219"/>
      <c r="I1236" s="248"/>
      <c r="J1236" s="220"/>
      <c r="K1236" s="220"/>
      <c r="L1236" s="220"/>
      <c r="M1236" s="220"/>
      <c r="N1236" s="220"/>
      <c r="O1236" s="220"/>
      <c r="P1236" s="220"/>
      <c r="Q1236" s="220"/>
      <c r="R1236" s="220"/>
      <c r="S1236" s="220"/>
    </row>
    <row r="1237" spans="1:19" x14ac:dyDescent="0.25">
      <c r="A1237" s="219"/>
      <c r="B1237" s="219"/>
      <c r="C1237" s="219"/>
      <c r="D1237" s="219"/>
      <c r="E1237" s="219"/>
      <c r="F1237" s="219"/>
      <c r="G1237" s="219"/>
      <c r="H1237" s="219"/>
      <c r="I1237" s="248"/>
      <c r="J1237" s="220"/>
      <c r="K1237" s="220"/>
      <c r="L1237" s="220"/>
      <c r="M1237" s="220"/>
      <c r="N1237" s="220"/>
      <c r="O1237" s="220"/>
      <c r="P1237" s="220"/>
      <c r="Q1237" s="220"/>
      <c r="R1237" s="220"/>
      <c r="S1237" s="220"/>
    </row>
    <row r="1238" spans="1:19" x14ac:dyDescent="0.25">
      <c r="A1238" s="219"/>
      <c r="B1238" s="219"/>
      <c r="C1238" s="219"/>
      <c r="D1238" s="219"/>
      <c r="E1238" s="219"/>
      <c r="F1238" s="219"/>
      <c r="G1238" s="219"/>
      <c r="H1238" s="219"/>
      <c r="I1238" s="248"/>
      <c r="J1238" s="220"/>
      <c r="K1238" s="220"/>
      <c r="L1238" s="220"/>
      <c r="M1238" s="220"/>
      <c r="N1238" s="220"/>
      <c r="O1238" s="220"/>
      <c r="P1238" s="220"/>
      <c r="Q1238" s="220"/>
      <c r="R1238" s="220"/>
      <c r="S1238" s="220"/>
    </row>
    <row r="1239" spans="1:19" x14ac:dyDescent="0.25">
      <c r="A1239" s="219"/>
      <c r="B1239" s="219"/>
      <c r="C1239" s="219"/>
      <c r="D1239" s="219"/>
      <c r="E1239" s="219"/>
      <c r="F1239" s="219"/>
      <c r="G1239" s="219"/>
      <c r="H1239" s="219"/>
      <c r="I1239" s="248"/>
      <c r="J1239" s="220"/>
      <c r="K1239" s="220"/>
      <c r="L1239" s="220"/>
      <c r="M1239" s="220"/>
      <c r="N1239" s="220"/>
      <c r="O1239" s="220"/>
      <c r="P1239" s="220"/>
      <c r="Q1239" s="220"/>
      <c r="R1239" s="220"/>
      <c r="S1239" s="220"/>
    </row>
    <row r="1240" spans="1:19" x14ac:dyDescent="0.25">
      <c r="A1240" s="219"/>
      <c r="B1240" s="219"/>
      <c r="C1240" s="219"/>
      <c r="D1240" s="219"/>
      <c r="E1240" s="219"/>
      <c r="F1240" s="219"/>
      <c r="G1240" s="219"/>
      <c r="H1240" s="219"/>
      <c r="I1240" s="248"/>
      <c r="J1240" s="220"/>
      <c r="K1240" s="220"/>
      <c r="L1240" s="220"/>
      <c r="M1240" s="220"/>
      <c r="N1240" s="220"/>
      <c r="O1240" s="220"/>
      <c r="P1240" s="220"/>
      <c r="Q1240" s="220"/>
      <c r="R1240" s="220"/>
      <c r="S1240" s="220"/>
    </row>
    <row r="1241" spans="1:19" x14ac:dyDescent="0.25">
      <c r="A1241" s="219"/>
      <c r="B1241" s="219"/>
      <c r="C1241" s="219"/>
      <c r="D1241" s="219"/>
      <c r="E1241" s="219"/>
      <c r="F1241" s="219"/>
      <c r="G1241" s="219"/>
      <c r="H1241" s="219"/>
      <c r="I1241" s="248"/>
      <c r="J1241" s="220"/>
      <c r="K1241" s="220"/>
      <c r="L1241" s="220"/>
      <c r="M1241" s="220"/>
      <c r="N1241" s="220"/>
      <c r="O1241" s="220"/>
      <c r="P1241" s="220"/>
      <c r="Q1241" s="220"/>
      <c r="R1241" s="220"/>
      <c r="S1241" s="220"/>
    </row>
    <row r="1242" spans="1:19" x14ac:dyDescent="0.25">
      <c r="A1242" s="219"/>
      <c r="B1242" s="219"/>
      <c r="C1242" s="219"/>
      <c r="D1242" s="219"/>
      <c r="E1242" s="219"/>
      <c r="F1242" s="219"/>
      <c r="G1242" s="219"/>
      <c r="H1242" s="219"/>
      <c r="I1242" s="248"/>
      <c r="J1242" s="220"/>
      <c r="K1242" s="220"/>
      <c r="L1242" s="220"/>
      <c r="M1242" s="220"/>
      <c r="N1242" s="220"/>
      <c r="O1242" s="220"/>
      <c r="P1242" s="220"/>
      <c r="Q1242" s="220"/>
      <c r="R1242" s="220"/>
      <c r="S1242" s="220"/>
    </row>
    <row r="1243" spans="1:19" x14ac:dyDescent="0.25">
      <c r="A1243" s="219"/>
      <c r="B1243" s="219"/>
      <c r="C1243" s="219"/>
      <c r="D1243" s="219"/>
      <c r="E1243" s="219"/>
      <c r="F1243" s="219"/>
      <c r="G1243" s="219"/>
      <c r="H1243" s="219"/>
      <c r="I1243" s="248"/>
      <c r="J1243" s="220"/>
      <c r="K1243" s="220"/>
      <c r="L1243" s="220"/>
      <c r="M1243" s="220"/>
      <c r="N1243" s="220"/>
      <c r="O1243" s="220"/>
      <c r="P1243" s="220"/>
      <c r="Q1243" s="220"/>
      <c r="R1243" s="220"/>
      <c r="S1243" s="220"/>
    </row>
    <row r="1244" spans="1:19" x14ac:dyDescent="0.25">
      <c r="A1244" s="219"/>
      <c r="B1244" s="219"/>
      <c r="C1244" s="219"/>
      <c r="D1244" s="219"/>
      <c r="E1244" s="219"/>
      <c r="F1244" s="219"/>
      <c r="G1244" s="219"/>
      <c r="H1244" s="219"/>
      <c r="I1244" s="248"/>
      <c r="J1244" s="220"/>
      <c r="K1244" s="220"/>
      <c r="L1244" s="220"/>
      <c r="M1244" s="220"/>
      <c r="N1244" s="220"/>
      <c r="O1244" s="220"/>
      <c r="P1244" s="220"/>
      <c r="Q1244" s="220"/>
      <c r="R1244" s="220"/>
      <c r="S1244" s="220"/>
    </row>
    <row r="1245" spans="1:19" x14ac:dyDescent="0.25">
      <c r="A1245" s="219"/>
      <c r="B1245" s="219"/>
      <c r="C1245" s="219"/>
      <c r="D1245" s="219"/>
      <c r="E1245" s="219"/>
      <c r="F1245" s="219"/>
      <c r="G1245" s="219"/>
      <c r="H1245" s="219"/>
      <c r="I1245" s="248"/>
      <c r="J1245" s="220"/>
      <c r="K1245" s="220"/>
      <c r="L1245" s="220"/>
      <c r="M1245" s="220"/>
      <c r="N1245" s="220"/>
      <c r="O1245" s="220"/>
      <c r="P1245" s="220"/>
      <c r="Q1245" s="220"/>
      <c r="R1245" s="220"/>
      <c r="S1245" s="220"/>
    </row>
    <row r="1246" spans="1:19" x14ac:dyDescent="0.25">
      <c r="A1246" s="219"/>
      <c r="B1246" s="219"/>
      <c r="C1246" s="219"/>
      <c r="D1246" s="219"/>
      <c r="E1246" s="219"/>
      <c r="F1246" s="219"/>
      <c r="G1246" s="219"/>
      <c r="H1246" s="219"/>
      <c r="I1246" s="248"/>
      <c r="J1246" s="220"/>
      <c r="K1246" s="220"/>
      <c r="L1246" s="220"/>
      <c r="M1246" s="220"/>
      <c r="N1246" s="220"/>
      <c r="O1246" s="220"/>
      <c r="P1246" s="220"/>
      <c r="Q1246" s="220"/>
      <c r="R1246" s="220"/>
      <c r="S1246" s="220"/>
    </row>
    <row r="1247" spans="1:19" x14ac:dyDescent="0.25">
      <c r="A1247" s="219"/>
      <c r="B1247" s="219"/>
      <c r="C1247" s="219"/>
      <c r="D1247" s="219"/>
      <c r="E1247" s="219"/>
      <c r="F1247" s="219"/>
      <c r="G1247" s="219"/>
      <c r="H1247" s="219"/>
      <c r="I1247" s="248"/>
      <c r="J1247" s="220"/>
      <c r="K1247" s="220"/>
      <c r="L1247" s="220"/>
      <c r="M1247" s="220"/>
      <c r="N1247" s="220"/>
      <c r="O1247" s="220"/>
      <c r="P1247" s="220"/>
      <c r="Q1247" s="220"/>
      <c r="R1247" s="220"/>
      <c r="S1247" s="220"/>
    </row>
    <row r="1248" spans="1:19" x14ac:dyDescent="0.25">
      <c r="A1248" s="219"/>
      <c r="B1248" s="219"/>
      <c r="C1248" s="219"/>
      <c r="D1248" s="219"/>
      <c r="E1248" s="219"/>
      <c r="F1248" s="219"/>
      <c r="G1248" s="219"/>
      <c r="H1248" s="219"/>
      <c r="I1248" s="248"/>
      <c r="J1248" s="220"/>
      <c r="K1248" s="220"/>
      <c r="L1248" s="220"/>
      <c r="M1248" s="220"/>
      <c r="N1248" s="220"/>
      <c r="O1248" s="220"/>
      <c r="P1248" s="220"/>
      <c r="Q1248" s="220"/>
      <c r="R1248" s="220"/>
      <c r="S1248" s="220"/>
    </row>
    <row r="1249" spans="1:19" x14ac:dyDescent="0.25">
      <c r="A1249" s="219"/>
      <c r="B1249" s="219"/>
      <c r="C1249" s="219"/>
      <c r="D1249" s="219"/>
      <c r="E1249" s="219"/>
      <c r="F1249" s="219"/>
      <c r="G1249" s="219"/>
      <c r="H1249" s="219"/>
      <c r="I1249" s="248"/>
      <c r="J1249" s="220"/>
      <c r="K1249" s="220"/>
      <c r="L1249" s="220"/>
      <c r="M1249" s="220"/>
      <c r="N1249" s="220"/>
      <c r="O1249" s="220"/>
      <c r="P1249" s="220"/>
      <c r="Q1249" s="220"/>
      <c r="R1249" s="220"/>
      <c r="S1249" s="220"/>
    </row>
    <row r="1250" spans="1:19" x14ac:dyDescent="0.25">
      <c r="A1250" s="219"/>
      <c r="B1250" s="219"/>
      <c r="C1250" s="219"/>
      <c r="D1250" s="219"/>
      <c r="E1250" s="219"/>
      <c r="F1250" s="219"/>
      <c r="G1250" s="219"/>
      <c r="H1250" s="219"/>
      <c r="I1250" s="248"/>
      <c r="J1250" s="220"/>
      <c r="K1250" s="220"/>
      <c r="L1250" s="220"/>
      <c r="M1250" s="220"/>
      <c r="N1250" s="220"/>
      <c r="O1250" s="220"/>
      <c r="P1250" s="220"/>
      <c r="Q1250" s="220"/>
      <c r="R1250" s="220"/>
      <c r="S1250" s="220"/>
    </row>
    <row r="1251" spans="1:19" x14ac:dyDescent="0.25">
      <c r="A1251" s="219"/>
      <c r="B1251" s="219"/>
      <c r="C1251" s="219"/>
      <c r="D1251" s="219"/>
      <c r="E1251" s="219"/>
      <c r="F1251" s="219"/>
      <c r="G1251" s="219"/>
      <c r="H1251" s="219"/>
      <c r="I1251" s="248"/>
      <c r="J1251" s="220"/>
      <c r="K1251" s="220"/>
      <c r="L1251" s="220"/>
      <c r="M1251" s="220"/>
      <c r="N1251" s="220"/>
      <c r="O1251" s="220"/>
      <c r="P1251" s="220"/>
      <c r="Q1251" s="220"/>
      <c r="R1251" s="220"/>
      <c r="S1251" s="220"/>
    </row>
    <row r="1252" spans="1:19" x14ac:dyDescent="0.25">
      <c r="A1252" s="219"/>
      <c r="B1252" s="219"/>
      <c r="C1252" s="219"/>
      <c r="D1252" s="219"/>
      <c r="E1252" s="219"/>
      <c r="F1252" s="219"/>
      <c r="G1252" s="219"/>
      <c r="H1252" s="219"/>
      <c r="I1252" s="248"/>
      <c r="J1252" s="220"/>
      <c r="K1252" s="220"/>
      <c r="L1252" s="220"/>
      <c r="M1252" s="220"/>
      <c r="N1252" s="220"/>
      <c r="O1252" s="220"/>
      <c r="P1252" s="220"/>
      <c r="Q1252" s="220"/>
      <c r="R1252" s="220"/>
      <c r="S1252" s="220"/>
    </row>
    <row r="1253" spans="1:19" x14ac:dyDescent="0.25">
      <c r="A1253" s="219"/>
      <c r="B1253" s="219"/>
      <c r="C1253" s="219"/>
      <c r="D1253" s="219"/>
      <c r="E1253" s="219"/>
      <c r="F1253" s="219"/>
      <c r="G1253" s="219"/>
      <c r="H1253" s="219"/>
      <c r="I1253" s="248"/>
      <c r="J1253" s="220"/>
      <c r="K1253" s="220"/>
      <c r="L1253" s="220"/>
      <c r="M1253" s="220"/>
      <c r="N1253" s="220"/>
      <c r="O1253" s="220"/>
      <c r="P1253" s="220"/>
      <c r="Q1253" s="220"/>
      <c r="R1253" s="220"/>
      <c r="S1253" s="220"/>
    </row>
    <row r="1254" spans="1:19" x14ac:dyDescent="0.25">
      <c r="A1254" s="219"/>
      <c r="B1254" s="219"/>
      <c r="C1254" s="219"/>
      <c r="D1254" s="219"/>
      <c r="E1254" s="219"/>
      <c r="F1254" s="219"/>
      <c r="G1254" s="219"/>
      <c r="H1254" s="219"/>
      <c r="I1254" s="248"/>
      <c r="J1254" s="220"/>
      <c r="K1254" s="220"/>
      <c r="L1254" s="220"/>
      <c r="M1254" s="220"/>
      <c r="N1254" s="220"/>
      <c r="O1254" s="220"/>
      <c r="P1254" s="220"/>
      <c r="Q1254" s="220"/>
      <c r="R1254" s="220"/>
      <c r="S1254" s="220"/>
    </row>
    <row r="1255" spans="1:19" x14ac:dyDescent="0.25">
      <c r="A1255" s="219"/>
      <c r="B1255" s="219"/>
      <c r="C1255" s="219"/>
      <c r="D1255" s="219"/>
      <c r="E1255" s="219"/>
      <c r="F1255" s="219"/>
      <c r="G1255" s="219"/>
      <c r="H1255" s="219"/>
      <c r="I1255" s="248"/>
      <c r="J1255" s="220"/>
      <c r="K1255" s="220"/>
      <c r="L1255" s="220"/>
      <c r="M1255" s="220"/>
      <c r="N1255" s="220"/>
      <c r="O1255" s="220"/>
      <c r="P1255" s="220"/>
      <c r="Q1255" s="220"/>
      <c r="R1255" s="220"/>
      <c r="S1255" s="220"/>
    </row>
    <row r="1256" spans="1:19" x14ac:dyDescent="0.25">
      <c r="A1256" s="219"/>
      <c r="B1256" s="219"/>
      <c r="C1256" s="219"/>
      <c r="D1256" s="219"/>
      <c r="E1256" s="219"/>
      <c r="F1256" s="219"/>
      <c r="G1256" s="219"/>
      <c r="H1256" s="219"/>
      <c r="I1256" s="248"/>
      <c r="J1256" s="220"/>
      <c r="K1256" s="220"/>
      <c r="L1256" s="220"/>
      <c r="M1256" s="220"/>
      <c r="N1256" s="220"/>
      <c r="O1256" s="220"/>
      <c r="P1256" s="220"/>
      <c r="Q1256" s="220"/>
      <c r="R1256" s="220"/>
      <c r="S1256" s="220"/>
    </row>
    <row r="1257" spans="1:19" x14ac:dyDescent="0.25">
      <c r="A1257" s="219"/>
      <c r="B1257" s="219"/>
      <c r="C1257" s="219"/>
      <c r="D1257" s="219"/>
      <c r="E1257" s="219"/>
      <c r="F1257" s="219"/>
      <c r="G1257" s="219"/>
      <c r="H1257" s="219"/>
      <c r="I1257" s="248"/>
      <c r="J1257" s="220"/>
      <c r="K1257" s="220"/>
      <c r="L1257" s="220"/>
      <c r="M1257" s="220"/>
      <c r="N1257" s="220"/>
      <c r="O1257" s="220"/>
      <c r="P1257" s="220"/>
      <c r="Q1257" s="220"/>
      <c r="R1257" s="220"/>
      <c r="S1257" s="220"/>
    </row>
    <row r="1258" spans="1:19" x14ac:dyDescent="0.25">
      <c r="A1258" s="219"/>
      <c r="B1258" s="219"/>
      <c r="C1258" s="219"/>
      <c r="D1258" s="219"/>
      <c r="E1258" s="219"/>
      <c r="F1258" s="219"/>
      <c r="G1258" s="219"/>
      <c r="H1258" s="219"/>
      <c r="I1258" s="248"/>
      <c r="J1258" s="220"/>
      <c r="K1258" s="220"/>
      <c r="L1258" s="220"/>
      <c r="M1258" s="220"/>
      <c r="N1258" s="220"/>
      <c r="O1258" s="220"/>
      <c r="P1258" s="220"/>
      <c r="Q1258" s="220"/>
      <c r="R1258" s="220"/>
      <c r="S1258" s="220"/>
    </row>
    <row r="1259" spans="1:19" x14ac:dyDescent="0.25">
      <c r="A1259" s="219"/>
      <c r="B1259" s="219"/>
      <c r="C1259" s="219"/>
      <c r="D1259" s="219"/>
      <c r="E1259" s="219"/>
      <c r="F1259" s="219"/>
      <c r="G1259" s="219"/>
      <c r="H1259" s="219"/>
      <c r="I1259" s="248"/>
      <c r="J1259" s="220"/>
      <c r="K1259" s="220"/>
      <c r="L1259" s="220"/>
      <c r="M1259" s="220"/>
      <c r="N1259" s="220"/>
      <c r="O1259" s="220"/>
      <c r="P1259" s="220"/>
      <c r="Q1259" s="220"/>
      <c r="R1259" s="220"/>
      <c r="S1259" s="220"/>
    </row>
    <row r="1260" spans="1:19" x14ac:dyDescent="0.25">
      <c r="A1260" s="219"/>
      <c r="B1260" s="219"/>
      <c r="C1260" s="219"/>
      <c r="D1260" s="219"/>
      <c r="E1260" s="219"/>
      <c r="F1260" s="219"/>
      <c r="G1260" s="219"/>
      <c r="H1260" s="219"/>
      <c r="I1260" s="248"/>
      <c r="J1260" s="220"/>
      <c r="K1260" s="220"/>
      <c r="L1260" s="220"/>
      <c r="M1260" s="220"/>
      <c r="N1260" s="220"/>
      <c r="O1260" s="220"/>
      <c r="P1260" s="220"/>
      <c r="Q1260" s="220"/>
      <c r="R1260" s="220"/>
      <c r="S1260" s="220"/>
    </row>
    <row r="1261" spans="1:19" x14ac:dyDescent="0.25">
      <c r="A1261" s="219"/>
      <c r="B1261" s="219"/>
      <c r="C1261" s="219"/>
      <c r="D1261" s="219"/>
      <c r="E1261" s="219"/>
      <c r="F1261" s="219"/>
      <c r="G1261" s="219"/>
      <c r="H1261" s="219"/>
      <c r="I1261" s="248"/>
      <c r="J1261" s="219"/>
      <c r="K1261" s="219"/>
      <c r="L1261" s="219"/>
      <c r="M1261" s="219"/>
      <c r="N1261" s="219"/>
      <c r="O1261" s="219"/>
      <c r="P1261" s="219"/>
      <c r="Q1261" s="219"/>
      <c r="R1261" s="219"/>
      <c r="S1261" s="219"/>
    </row>
    <row r="1262" spans="1:19" x14ac:dyDescent="0.25">
      <c r="A1262" s="219"/>
      <c r="B1262" s="219"/>
      <c r="C1262" s="219"/>
      <c r="D1262" s="219"/>
      <c r="E1262" s="219"/>
      <c r="F1262" s="219"/>
      <c r="G1262" s="219"/>
      <c r="H1262" s="219"/>
      <c r="I1262" s="248"/>
      <c r="J1262" s="219"/>
      <c r="K1262" s="219"/>
      <c r="L1262" s="219"/>
      <c r="M1262" s="219"/>
      <c r="N1262" s="219"/>
      <c r="O1262" s="219"/>
      <c r="P1262" s="219"/>
      <c r="Q1262" s="219"/>
      <c r="R1262" s="219"/>
      <c r="S1262" s="219"/>
    </row>
    <row r="1263" spans="1:19" x14ac:dyDescent="0.25">
      <c r="A1263" s="219"/>
      <c r="B1263" s="219"/>
      <c r="C1263" s="219"/>
      <c r="D1263" s="219"/>
      <c r="E1263" s="219"/>
      <c r="F1263" s="219"/>
      <c r="G1263" s="219"/>
      <c r="H1263" s="219"/>
      <c r="I1263" s="248"/>
      <c r="J1263" s="219"/>
      <c r="K1263" s="219"/>
      <c r="L1263" s="219"/>
      <c r="M1263" s="219"/>
      <c r="N1263" s="219"/>
      <c r="O1263" s="219"/>
      <c r="P1263" s="219"/>
      <c r="Q1263" s="219"/>
      <c r="R1263" s="219"/>
      <c r="S1263" s="219"/>
    </row>
    <row r="1264" spans="1:19" x14ac:dyDescent="0.25">
      <c r="A1264" s="219"/>
      <c r="B1264" s="219"/>
      <c r="C1264" s="219"/>
      <c r="D1264" s="219"/>
      <c r="E1264" s="219"/>
      <c r="F1264" s="219"/>
      <c r="G1264" s="219"/>
      <c r="H1264" s="219"/>
      <c r="I1264" s="248"/>
      <c r="J1264" s="219"/>
      <c r="K1264" s="219"/>
      <c r="L1264" s="219"/>
      <c r="M1264" s="219"/>
      <c r="N1264" s="219"/>
      <c r="O1264" s="219"/>
      <c r="P1264" s="219"/>
      <c r="Q1264" s="219"/>
      <c r="R1264" s="219"/>
      <c r="S1264" s="219"/>
    </row>
    <row r="1265" spans="1:19" x14ac:dyDescent="0.25">
      <c r="A1265" s="219"/>
      <c r="B1265" s="219"/>
      <c r="C1265" s="219"/>
      <c r="D1265" s="219"/>
      <c r="E1265" s="219"/>
      <c r="F1265" s="219"/>
      <c r="G1265" s="219"/>
      <c r="H1265" s="219"/>
      <c r="I1265" s="248"/>
      <c r="J1265" s="219"/>
      <c r="K1265" s="219"/>
      <c r="L1265" s="219"/>
      <c r="M1265" s="219"/>
      <c r="N1265" s="219"/>
      <c r="O1265" s="219"/>
      <c r="P1265" s="219"/>
      <c r="Q1265" s="219"/>
      <c r="R1265" s="219"/>
      <c r="S1265" s="219"/>
    </row>
    <row r="1266" spans="1:19" x14ac:dyDescent="0.25">
      <c r="A1266" s="219"/>
      <c r="B1266" s="219"/>
      <c r="C1266" s="219"/>
      <c r="D1266" s="219"/>
      <c r="E1266" s="219"/>
      <c r="F1266" s="219"/>
      <c r="G1266" s="219"/>
      <c r="H1266" s="219"/>
      <c r="I1266" s="248"/>
      <c r="J1266" s="219"/>
      <c r="K1266" s="219"/>
      <c r="L1266" s="219"/>
      <c r="M1266" s="219"/>
      <c r="N1266" s="219"/>
      <c r="O1266" s="219"/>
      <c r="P1266" s="219"/>
      <c r="Q1266" s="219"/>
      <c r="R1266" s="219"/>
      <c r="S1266" s="219"/>
    </row>
    <row r="1267" spans="1:19" x14ac:dyDescent="0.25">
      <c r="A1267" s="219"/>
      <c r="B1267" s="219"/>
      <c r="C1267" s="219"/>
      <c r="D1267" s="219"/>
      <c r="E1267" s="219"/>
      <c r="F1267" s="219"/>
      <c r="G1267" s="219"/>
      <c r="H1267" s="219"/>
      <c r="I1267" s="248"/>
      <c r="J1267" s="219"/>
      <c r="K1267" s="219"/>
      <c r="L1267" s="219"/>
      <c r="M1267" s="219"/>
      <c r="N1267" s="219"/>
      <c r="O1267" s="219"/>
      <c r="P1267" s="219"/>
      <c r="Q1267" s="219"/>
      <c r="R1267" s="219"/>
      <c r="S1267" s="219"/>
    </row>
    <row r="1268" spans="1:19" x14ac:dyDescent="0.25">
      <c r="A1268" s="219"/>
      <c r="B1268" s="219"/>
      <c r="C1268" s="219"/>
      <c r="D1268" s="219"/>
      <c r="E1268" s="219"/>
      <c r="F1268" s="219"/>
      <c r="G1268" s="219"/>
      <c r="H1268" s="219"/>
      <c r="I1268" s="248"/>
      <c r="J1268" s="219"/>
      <c r="K1268" s="219"/>
      <c r="L1268" s="219"/>
      <c r="M1268" s="219"/>
      <c r="N1268" s="219"/>
      <c r="O1268" s="219"/>
      <c r="P1268" s="219"/>
      <c r="Q1268" s="219"/>
      <c r="R1268" s="219"/>
      <c r="S1268" s="219"/>
    </row>
    <row r="1269" spans="1:19" x14ac:dyDescent="0.25">
      <c r="A1269" s="219"/>
      <c r="B1269" s="219"/>
      <c r="C1269" s="219"/>
      <c r="D1269" s="219"/>
      <c r="E1269" s="219"/>
      <c r="F1269" s="219"/>
      <c r="G1269" s="219"/>
      <c r="H1269" s="219"/>
      <c r="I1269" s="248"/>
      <c r="J1269" s="219"/>
      <c r="K1269" s="219"/>
      <c r="L1269" s="219"/>
      <c r="M1269" s="219"/>
      <c r="N1269" s="219"/>
      <c r="O1269" s="219"/>
      <c r="P1269" s="219"/>
      <c r="Q1269" s="219"/>
      <c r="R1269" s="219"/>
      <c r="S1269" s="219"/>
    </row>
    <row r="1270" spans="1:19" x14ac:dyDescent="0.25">
      <c r="A1270" s="219"/>
      <c r="B1270" s="219"/>
      <c r="C1270" s="219"/>
      <c r="D1270" s="219"/>
      <c r="E1270" s="219"/>
      <c r="F1270" s="219"/>
      <c r="G1270" s="219"/>
      <c r="H1270" s="219"/>
      <c r="I1270" s="248"/>
      <c r="J1270" s="219"/>
      <c r="K1270" s="219"/>
      <c r="L1270" s="219"/>
      <c r="M1270" s="219"/>
      <c r="N1270" s="219"/>
      <c r="O1270" s="219"/>
      <c r="P1270" s="219"/>
      <c r="Q1270" s="219"/>
      <c r="R1270" s="219"/>
      <c r="S1270" s="219"/>
    </row>
    <row r="1271" spans="1:19" x14ac:dyDescent="0.25">
      <c r="A1271" s="219"/>
      <c r="B1271" s="219"/>
      <c r="C1271" s="219"/>
      <c r="D1271" s="219"/>
      <c r="E1271" s="219"/>
      <c r="F1271" s="219"/>
      <c r="G1271" s="219"/>
      <c r="H1271" s="219"/>
      <c r="I1271" s="248"/>
      <c r="J1271" s="219"/>
      <c r="K1271" s="219"/>
      <c r="L1271" s="219"/>
      <c r="M1271" s="219"/>
      <c r="N1271" s="219"/>
      <c r="O1271" s="219"/>
      <c r="P1271" s="219"/>
      <c r="Q1271" s="219"/>
      <c r="R1271" s="219"/>
      <c r="S1271" s="219"/>
    </row>
    <row r="1272" spans="1:19" x14ac:dyDescent="0.25">
      <c r="A1272" s="219"/>
      <c r="B1272" s="219"/>
      <c r="C1272" s="219"/>
      <c r="D1272" s="219"/>
      <c r="E1272" s="219"/>
      <c r="F1272" s="219"/>
      <c r="G1272" s="219"/>
      <c r="H1272" s="219"/>
      <c r="I1272" s="248"/>
      <c r="J1272" s="219"/>
      <c r="K1272" s="219"/>
      <c r="L1272" s="219"/>
      <c r="M1272" s="219"/>
      <c r="N1272" s="219"/>
      <c r="O1272" s="219"/>
      <c r="P1272" s="219"/>
      <c r="Q1272" s="219"/>
      <c r="R1272" s="219"/>
      <c r="S1272" s="219"/>
    </row>
    <row r="1273" spans="1:19" x14ac:dyDescent="0.25">
      <c r="A1273" s="219"/>
      <c r="B1273" s="219"/>
      <c r="C1273" s="219"/>
      <c r="D1273" s="219"/>
      <c r="E1273" s="219"/>
      <c r="F1273" s="219"/>
      <c r="G1273" s="219"/>
      <c r="H1273" s="219"/>
      <c r="I1273" s="248"/>
      <c r="J1273" s="219"/>
      <c r="K1273" s="219"/>
      <c r="L1273" s="219"/>
      <c r="M1273" s="219"/>
      <c r="N1273" s="219"/>
      <c r="O1273" s="219"/>
      <c r="P1273" s="219"/>
      <c r="Q1273" s="219"/>
      <c r="R1273" s="219"/>
      <c r="S1273" s="219"/>
    </row>
    <row r="1274" spans="1:19" x14ac:dyDescent="0.25">
      <c r="A1274" s="219"/>
      <c r="B1274" s="219"/>
      <c r="C1274" s="219"/>
      <c r="D1274" s="219"/>
      <c r="E1274" s="219"/>
      <c r="F1274" s="219"/>
      <c r="G1274" s="219"/>
      <c r="H1274" s="219"/>
      <c r="I1274" s="248"/>
      <c r="J1274" s="219"/>
      <c r="K1274" s="219"/>
      <c r="L1274" s="219"/>
      <c r="M1274" s="219"/>
      <c r="N1274" s="219"/>
      <c r="O1274" s="219"/>
      <c r="P1274" s="219"/>
      <c r="Q1274" s="219"/>
      <c r="R1274" s="219"/>
      <c r="S1274" s="219"/>
    </row>
    <row r="1275" spans="1:19" x14ac:dyDescent="0.25">
      <c r="A1275" s="219"/>
      <c r="B1275" s="219"/>
      <c r="C1275" s="219"/>
      <c r="D1275" s="219"/>
      <c r="E1275" s="219"/>
      <c r="F1275" s="219"/>
      <c r="G1275" s="219"/>
      <c r="H1275" s="219"/>
      <c r="I1275" s="248"/>
      <c r="J1275" s="219"/>
      <c r="K1275" s="219"/>
      <c r="L1275" s="219"/>
      <c r="M1275" s="219"/>
      <c r="N1275" s="219"/>
      <c r="O1275" s="219"/>
      <c r="P1275" s="219"/>
      <c r="Q1275" s="219"/>
      <c r="R1275" s="219"/>
      <c r="S1275" s="219"/>
    </row>
    <row r="1276" spans="1:19" x14ac:dyDescent="0.25">
      <c r="A1276" s="219"/>
      <c r="B1276" s="219"/>
      <c r="C1276" s="219"/>
      <c r="D1276" s="219"/>
      <c r="E1276" s="219"/>
      <c r="F1276" s="219"/>
      <c r="G1276" s="219"/>
      <c r="H1276" s="219"/>
      <c r="I1276" s="248"/>
      <c r="J1276" s="219"/>
      <c r="K1276" s="219"/>
      <c r="L1276" s="219"/>
      <c r="M1276" s="219"/>
      <c r="N1276" s="219"/>
      <c r="O1276" s="219"/>
      <c r="P1276" s="219"/>
      <c r="Q1276" s="219"/>
      <c r="R1276" s="219"/>
      <c r="S1276" s="219"/>
    </row>
    <row r="1277" spans="1:19" x14ac:dyDescent="0.25">
      <c r="A1277" s="219"/>
      <c r="B1277" s="219"/>
      <c r="C1277" s="219"/>
      <c r="D1277" s="219"/>
      <c r="E1277" s="219"/>
      <c r="F1277" s="219"/>
      <c r="G1277" s="219"/>
      <c r="H1277" s="219"/>
      <c r="I1277" s="248"/>
      <c r="J1277" s="219"/>
      <c r="K1277" s="219"/>
      <c r="L1277" s="219"/>
      <c r="M1277" s="219"/>
      <c r="N1277" s="219"/>
      <c r="O1277" s="219"/>
      <c r="P1277" s="219"/>
      <c r="Q1277" s="219"/>
      <c r="R1277" s="219"/>
      <c r="S1277" s="219"/>
    </row>
    <row r="1278" spans="1:19" x14ac:dyDescent="0.25">
      <c r="A1278" s="219"/>
      <c r="B1278" s="219"/>
      <c r="C1278" s="219"/>
      <c r="D1278" s="219"/>
      <c r="E1278" s="219"/>
      <c r="F1278" s="219"/>
      <c r="G1278" s="219"/>
      <c r="H1278" s="219"/>
      <c r="I1278" s="248"/>
      <c r="J1278" s="219"/>
      <c r="K1278" s="219"/>
      <c r="L1278" s="219"/>
      <c r="M1278" s="219"/>
      <c r="N1278" s="219"/>
      <c r="O1278" s="219"/>
      <c r="P1278" s="219"/>
      <c r="Q1278" s="219"/>
      <c r="R1278" s="219"/>
      <c r="S1278" s="219"/>
    </row>
    <row r="1279" spans="1:19" x14ac:dyDescent="0.25">
      <c r="A1279" s="219"/>
      <c r="B1279" s="219"/>
      <c r="C1279" s="219"/>
      <c r="D1279" s="219"/>
      <c r="E1279" s="219"/>
      <c r="F1279" s="219"/>
      <c r="G1279" s="219"/>
      <c r="H1279" s="219"/>
      <c r="I1279" s="248"/>
      <c r="J1279" s="219"/>
      <c r="K1279" s="219"/>
      <c r="L1279" s="219"/>
      <c r="M1279" s="219"/>
      <c r="N1279" s="219"/>
      <c r="O1279" s="219"/>
      <c r="P1279" s="219"/>
      <c r="Q1279" s="219"/>
      <c r="R1279" s="219"/>
      <c r="S1279" s="219"/>
    </row>
    <row r="1280" spans="1:19" x14ac:dyDescent="0.25">
      <c r="A1280" s="219"/>
      <c r="B1280" s="219"/>
      <c r="C1280" s="219"/>
      <c r="D1280" s="219"/>
      <c r="E1280" s="219"/>
      <c r="F1280" s="219"/>
      <c r="G1280" s="219"/>
      <c r="H1280" s="219"/>
      <c r="I1280" s="248"/>
      <c r="J1280" s="219"/>
      <c r="K1280" s="219"/>
      <c r="L1280" s="219"/>
      <c r="M1280" s="219"/>
      <c r="N1280" s="219"/>
      <c r="O1280" s="219"/>
      <c r="P1280" s="219"/>
      <c r="Q1280" s="219"/>
      <c r="R1280" s="219"/>
      <c r="S1280" s="219"/>
    </row>
    <row r="1281" spans="1:19" x14ac:dyDescent="0.25">
      <c r="A1281" s="219"/>
      <c r="B1281" s="219"/>
      <c r="C1281" s="219"/>
      <c r="D1281" s="219"/>
      <c r="E1281" s="219"/>
      <c r="F1281" s="219"/>
      <c r="G1281" s="219"/>
      <c r="H1281" s="219"/>
      <c r="I1281" s="248"/>
      <c r="J1281" s="219"/>
      <c r="K1281" s="219"/>
      <c r="L1281" s="219"/>
      <c r="M1281" s="219"/>
      <c r="N1281" s="219"/>
      <c r="O1281" s="219"/>
      <c r="P1281" s="219"/>
      <c r="Q1281" s="219"/>
      <c r="R1281" s="219"/>
      <c r="S1281" s="219"/>
    </row>
    <row r="1282" spans="1:19" x14ac:dyDescent="0.25">
      <c r="A1282" s="219"/>
      <c r="B1282" s="219"/>
      <c r="C1282" s="219"/>
      <c r="D1282" s="219"/>
      <c r="E1282" s="219"/>
      <c r="F1282" s="219"/>
      <c r="G1282" s="219"/>
      <c r="H1282" s="219"/>
      <c r="I1282" s="248"/>
      <c r="J1282" s="219"/>
      <c r="K1282" s="219"/>
      <c r="L1282" s="219"/>
      <c r="M1282" s="219"/>
      <c r="N1282" s="219"/>
      <c r="O1282" s="219"/>
      <c r="P1282" s="219"/>
      <c r="Q1282" s="219"/>
      <c r="R1282" s="219"/>
      <c r="S1282" s="219"/>
    </row>
    <row r="1283" spans="1:19" x14ac:dyDescent="0.25">
      <c r="A1283" s="219"/>
      <c r="B1283" s="219"/>
      <c r="C1283" s="219"/>
      <c r="D1283" s="219"/>
      <c r="E1283" s="219"/>
      <c r="F1283" s="219"/>
      <c r="G1283" s="219"/>
      <c r="H1283" s="219"/>
      <c r="I1283" s="248"/>
      <c r="J1283" s="219"/>
      <c r="K1283" s="219"/>
      <c r="L1283" s="219"/>
      <c r="M1283" s="219"/>
      <c r="N1283" s="219"/>
      <c r="O1283" s="219"/>
      <c r="P1283" s="219"/>
      <c r="Q1283" s="219"/>
      <c r="R1283" s="219"/>
      <c r="S1283" s="219"/>
    </row>
    <row r="1284" spans="1:19" x14ac:dyDescent="0.25">
      <c r="A1284" s="219"/>
      <c r="B1284" s="219"/>
      <c r="C1284" s="219"/>
      <c r="D1284" s="219"/>
      <c r="E1284" s="219"/>
      <c r="F1284" s="219"/>
      <c r="G1284" s="219"/>
      <c r="H1284" s="219"/>
      <c r="I1284" s="248"/>
      <c r="J1284" s="219"/>
      <c r="K1284" s="219"/>
      <c r="L1284" s="219"/>
      <c r="M1284" s="219"/>
      <c r="N1284" s="219"/>
      <c r="O1284" s="219"/>
      <c r="P1284" s="219"/>
      <c r="Q1284" s="219"/>
      <c r="R1284" s="219"/>
      <c r="S1284" s="219"/>
    </row>
    <row r="1285" spans="1:19" x14ac:dyDescent="0.25">
      <c r="A1285" s="219"/>
      <c r="B1285" s="219"/>
      <c r="C1285" s="219"/>
      <c r="D1285" s="219"/>
      <c r="E1285" s="219"/>
      <c r="F1285" s="219"/>
      <c r="G1285" s="219"/>
      <c r="H1285" s="219"/>
      <c r="I1285" s="248"/>
      <c r="J1285" s="219"/>
      <c r="K1285" s="219"/>
      <c r="L1285" s="219"/>
      <c r="M1285" s="219"/>
      <c r="N1285" s="219"/>
      <c r="O1285" s="219"/>
      <c r="P1285" s="219"/>
      <c r="Q1285" s="219"/>
      <c r="R1285" s="219"/>
      <c r="S1285" s="219"/>
    </row>
    <row r="1286" spans="1:19" x14ac:dyDescent="0.25">
      <c r="A1286" s="219"/>
      <c r="B1286" s="219"/>
      <c r="C1286" s="219"/>
      <c r="D1286" s="219"/>
      <c r="E1286" s="219"/>
      <c r="F1286" s="219"/>
      <c r="G1286" s="219"/>
      <c r="H1286" s="219"/>
      <c r="I1286" s="248"/>
      <c r="J1286" s="219"/>
      <c r="K1286" s="219"/>
      <c r="L1286" s="219"/>
      <c r="M1286" s="219"/>
      <c r="N1286" s="219"/>
      <c r="O1286" s="219"/>
      <c r="P1286" s="219"/>
      <c r="Q1286" s="219"/>
      <c r="R1286" s="219"/>
      <c r="S1286" s="219"/>
    </row>
    <row r="1287" spans="1:19" x14ac:dyDescent="0.25">
      <c r="A1287" s="219"/>
      <c r="B1287" s="219"/>
      <c r="C1287" s="219"/>
      <c r="D1287" s="219"/>
      <c r="E1287" s="219"/>
      <c r="F1287" s="219"/>
      <c r="G1287" s="219"/>
      <c r="H1287" s="219"/>
      <c r="I1287" s="248"/>
      <c r="J1287" s="219"/>
      <c r="K1287" s="219"/>
      <c r="L1287" s="219"/>
      <c r="M1287" s="219"/>
      <c r="N1287" s="219"/>
      <c r="O1287" s="219"/>
      <c r="P1287" s="219"/>
      <c r="Q1287" s="219"/>
      <c r="R1287" s="219"/>
      <c r="S1287" s="219"/>
    </row>
    <row r="1288" spans="1:19" x14ac:dyDescent="0.25">
      <c r="A1288" s="219"/>
      <c r="B1288" s="219"/>
      <c r="C1288" s="219"/>
      <c r="D1288" s="219"/>
      <c r="E1288" s="219"/>
      <c r="F1288" s="219"/>
      <c r="G1288" s="219"/>
      <c r="H1288" s="219"/>
      <c r="I1288" s="248"/>
      <c r="J1288" s="219"/>
      <c r="K1288" s="219"/>
      <c r="L1288" s="219"/>
      <c r="M1288" s="219"/>
      <c r="N1288" s="219"/>
      <c r="O1288" s="219"/>
      <c r="P1288" s="219"/>
      <c r="Q1288" s="219"/>
      <c r="R1288" s="219"/>
      <c r="S1288" s="219"/>
    </row>
    <row r="1289" spans="1:19" x14ac:dyDescent="0.25">
      <c r="A1289" s="219"/>
      <c r="B1289" s="219"/>
      <c r="C1289" s="219"/>
      <c r="D1289" s="219"/>
      <c r="E1289" s="219"/>
      <c r="F1289" s="219"/>
      <c r="G1289" s="219"/>
      <c r="H1289" s="219"/>
      <c r="I1289" s="248"/>
      <c r="J1289" s="219"/>
      <c r="K1289" s="219"/>
      <c r="L1289" s="219"/>
      <c r="M1289" s="219"/>
      <c r="N1289" s="219"/>
      <c r="O1289" s="219"/>
      <c r="P1289" s="219"/>
      <c r="Q1289" s="219"/>
      <c r="R1289" s="219"/>
      <c r="S1289" s="219"/>
    </row>
    <row r="1290" spans="1:19" x14ac:dyDescent="0.25">
      <c r="A1290" s="219"/>
      <c r="B1290" s="219"/>
      <c r="C1290" s="219"/>
      <c r="D1290" s="219"/>
      <c r="E1290" s="219"/>
      <c r="F1290" s="219"/>
      <c r="G1290" s="219"/>
      <c r="H1290" s="219"/>
      <c r="I1290" s="248"/>
      <c r="J1290" s="219"/>
      <c r="K1290" s="219"/>
      <c r="L1290" s="219"/>
      <c r="M1290" s="219"/>
      <c r="N1290" s="219"/>
      <c r="O1290" s="219"/>
      <c r="P1290" s="219"/>
      <c r="Q1290" s="219"/>
      <c r="R1290" s="219"/>
      <c r="S1290" s="219"/>
    </row>
    <row r="1291" spans="1:19" x14ac:dyDescent="0.25">
      <c r="A1291" s="219"/>
      <c r="B1291" s="219"/>
      <c r="C1291" s="219"/>
      <c r="D1291" s="219"/>
      <c r="E1291" s="219"/>
      <c r="F1291" s="219"/>
      <c r="G1291" s="219"/>
      <c r="H1291" s="219"/>
      <c r="I1291" s="248"/>
      <c r="J1291" s="219"/>
      <c r="K1291" s="219"/>
      <c r="L1291" s="219"/>
      <c r="M1291" s="219"/>
      <c r="N1291" s="219"/>
      <c r="O1291" s="219"/>
      <c r="P1291" s="219"/>
      <c r="Q1291" s="219"/>
      <c r="R1291" s="219"/>
      <c r="S1291" s="219"/>
    </row>
    <row r="1292" spans="1:19" x14ac:dyDescent="0.25">
      <c r="A1292" s="219"/>
      <c r="B1292" s="219"/>
      <c r="C1292" s="219"/>
      <c r="D1292" s="219"/>
      <c r="E1292" s="219"/>
      <c r="F1292" s="219"/>
      <c r="G1292" s="219"/>
      <c r="H1292" s="219"/>
      <c r="I1292" s="248"/>
      <c r="J1292" s="219"/>
      <c r="K1292" s="219"/>
      <c r="L1292" s="219"/>
      <c r="M1292" s="219"/>
      <c r="N1292" s="219"/>
      <c r="O1292" s="219"/>
      <c r="P1292" s="219"/>
      <c r="Q1292" s="219"/>
      <c r="R1292" s="219"/>
      <c r="S1292" s="219"/>
    </row>
    <row r="1293" spans="1:19" x14ac:dyDescent="0.25">
      <c r="A1293" s="219"/>
      <c r="B1293" s="219"/>
      <c r="C1293" s="219"/>
      <c r="D1293" s="219"/>
      <c r="E1293" s="219"/>
      <c r="F1293" s="219"/>
      <c r="G1293" s="219"/>
      <c r="H1293" s="219"/>
      <c r="I1293" s="248"/>
      <c r="J1293" s="219"/>
      <c r="K1293" s="219"/>
      <c r="L1293" s="219"/>
      <c r="M1293" s="219"/>
      <c r="N1293" s="219"/>
      <c r="O1293" s="219"/>
      <c r="P1293" s="219"/>
      <c r="Q1293" s="219"/>
      <c r="R1293" s="219"/>
      <c r="S1293" s="219"/>
    </row>
    <row r="1294" spans="1:19" x14ac:dyDescent="0.25">
      <c r="A1294" s="219"/>
      <c r="B1294" s="219"/>
      <c r="C1294" s="219"/>
      <c r="D1294" s="219"/>
      <c r="E1294" s="219"/>
      <c r="F1294" s="219"/>
      <c r="G1294" s="219"/>
      <c r="H1294" s="219"/>
      <c r="I1294" s="248"/>
      <c r="J1294" s="219"/>
      <c r="K1294" s="219"/>
      <c r="L1294" s="219"/>
      <c r="M1294" s="219"/>
      <c r="N1294" s="219"/>
      <c r="O1294" s="219"/>
      <c r="P1294" s="219"/>
      <c r="Q1294" s="219"/>
      <c r="R1294" s="219"/>
      <c r="S1294" s="219"/>
    </row>
    <row r="1295" spans="1:19" x14ac:dyDescent="0.25">
      <c r="A1295" s="219"/>
      <c r="B1295" s="219"/>
      <c r="C1295" s="219"/>
      <c r="D1295" s="219"/>
      <c r="E1295" s="219"/>
      <c r="F1295" s="219"/>
      <c r="G1295" s="219"/>
      <c r="H1295" s="219"/>
      <c r="I1295" s="248"/>
      <c r="J1295" s="219"/>
      <c r="K1295" s="219"/>
      <c r="L1295" s="219"/>
      <c r="M1295" s="219"/>
      <c r="N1295" s="219"/>
      <c r="O1295" s="219"/>
      <c r="P1295" s="219"/>
      <c r="Q1295" s="219"/>
      <c r="R1295" s="219"/>
      <c r="S1295" s="219"/>
    </row>
    <row r="1296" spans="1:19" x14ac:dyDescent="0.25">
      <c r="A1296" s="219"/>
      <c r="B1296" s="219"/>
      <c r="C1296" s="219"/>
      <c r="D1296" s="219"/>
      <c r="E1296" s="219"/>
      <c r="F1296" s="219"/>
      <c r="G1296" s="219"/>
      <c r="H1296" s="219"/>
      <c r="I1296" s="248"/>
      <c r="J1296" s="219"/>
      <c r="K1296" s="219"/>
      <c r="L1296" s="219"/>
      <c r="M1296" s="219"/>
      <c r="N1296" s="219"/>
      <c r="O1296" s="219"/>
      <c r="P1296" s="219"/>
      <c r="Q1296" s="219"/>
      <c r="R1296" s="219"/>
      <c r="S1296" s="219"/>
    </row>
    <row r="1297" spans="1:19" x14ac:dyDescent="0.25">
      <c r="A1297" s="219"/>
      <c r="B1297" s="219"/>
      <c r="C1297" s="219"/>
      <c r="D1297" s="219"/>
      <c r="E1297" s="219"/>
      <c r="F1297" s="219"/>
      <c r="G1297" s="219"/>
      <c r="H1297" s="219"/>
      <c r="I1297" s="248"/>
      <c r="J1297" s="219"/>
      <c r="K1297" s="219"/>
      <c r="L1297" s="219"/>
      <c r="M1297" s="219"/>
      <c r="N1297" s="219"/>
      <c r="O1297" s="219"/>
      <c r="P1297" s="219"/>
      <c r="Q1297" s="219"/>
      <c r="R1297" s="219"/>
      <c r="S1297" s="219"/>
    </row>
    <row r="1298" spans="1:19" x14ac:dyDescent="0.25">
      <c r="A1298" s="219"/>
      <c r="B1298" s="219"/>
      <c r="C1298" s="219"/>
      <c r="D1298" s="219"/>
      <c r="E1298" s="219"/>
      <c r="F1298" s="219"/>
      <c r="G1298" s="219"/>
      <c r="H1298" s="219"/>
      <c r="I1298" s="248"/>
      <c r="J1298" s="219"/>
      <c r="K1298" s="219"/>
      <c r="L1298" s="219"/>
      <c r="M1298" s="219"/>
      <c r="N1298" s="219"/>
      <c r="O1298" s="219"/>
      <c r="P1298" s="219"/>
      <c r="Q1298" s="219"/>
      <c r="R1298" s="219"/>
      <c r="S1298" s="219"/>
    </row>
    <row r="1299" spans="1:19" x14ac:dyDescent="0.25">
      <c r="A1299" s="219"/>
      <c r="B1299" s="219"/>
      <c r="C1299" s="219"/>
      <c r="D1299" s="219"/>
      <c r="E1299" s="219"/>
      <c r="F1299" s="219"/>
      <c r="G1299" s="219"/>
      <c r="H1299" s="219"/>
      <c r="I1299" s="248"/>
      <c r="J1299" s="219"/>
      <c r="K1299" s="219"/>
      <c r="L1299" s="219"/>
      <c r="M1299" s="219"/>
      <c r="N1299" s="219"/>
      <c r="O1299" s="219"/>
      <c r="P1299" s="219"/>
      <c r="Q1299" s="219"/>
      <c r="R1299" s="219"/>
      <c r="S1299" s="219"/>
    </row>
    <row r="1300" spans="1:19" x14ac:dyDescent="0.25">
      <c r="A1300" s="219"/>
      <c r="B1300" s="219"/>
      <c r="C1300" s="219"/>
      <c r="D1300" s="219"/>
      <c r="E1300" s="219"/>
      <c r="F1300" s="219"/>
      <c r="G1300" s="219"/>
      <c r="H1300" s="219"/>
      <c r="I1300" s="248"/>
      <c r="J1300" s="219"/>
      <c r="K1300" s="219"/>
      <c r="L1300" s="219"/>
      <c r="M1300" s="219"/>
      <c r="N1300" s="219"/>
      <c r="O1300" s="219"/>
      <c r="P1300" s="219"/>
      <c r="Q1300" s="219"/>
      <c r="R1300" s="219"/>
      <c r="S1300" s="219"/>
    </row>
    <row r="1301" spans="1:19" x14ac:dyDescent="0.25">
      <c r="A1301" s="219"/>
      <c r="B1301" s="219"/>
      <c r="C1301" s="219"/>
      <c r="D1301" s="219"/>
      <c r="E1301" s="219"/>
      <c r="F1301" s="219"/>
      <c r="G1301" s="219"/>
      <c r="H1301" s="219"/>
      <c r="I1301" s="248"/>
      <c r="J1301" s="219"/>
      <c r="K1301" s="219"/>
      <c r="L1301" s="219"/>
      <c r="M1301" s="219"/>
      <c r="N1301" s="219"/>
      <c r="O1301" s="219"/>
      <c r="P1301" s="219"/>
      <c r="Q1301" s="219"/>
      <c r="R1301" s="219"/>
      <c r="S1301" s="219"/>
    </row>
    <row r="1302" spans="1:19" x14ac:dyDescent="0.25">
      <c r="A1302" s="219"/>
      <c r="B1302" s="219"/>
      <c r="C1302" s="219"/>
      <c r="D1302" s="219"/>
      <c r="E1302" s="219"/>
      <c r="F1302" s="219"/>
      <c r="G1302" s="219"/>
      <c r="H1302" s="219"/>
      <c r="I1302" s="248"/>
      <c r="J1302" s="219"/>
      <c r="K1302" s="219"/>
      <c r="L1302" s="219"/>
      <c r="M1302" s="219"/>
      <c r="N1302" s="219"/>
      <c r="O1302" s="219"/>
      <c r="P1302" s="219"/>
      <c r="Q1302" s="219"/>
      <c r="R1302" s="219"/>
      <c r="S1302" s="219"/>
    </row>
    <row r="1303" spans="1:19" x14ac:dyDescent="0.25">
      <c r="A1303" s="219"/>
      <c r="B1303" s="219"/>
      <c r="C1303" s="219"/>
      <c r="D1303" s="219"/>
      <c r="E1303" s="219"/>
      <c r="F1303" s="219"/>
      <c r="G1303" s="219"/>
      <c r="H1303" s="219"/>
      <c r="I1303" s="248"/>
      <c r="J1303" s="219"/>
      <c r="K1303" s="219"/>
      <c r="L1303" s="219"/>
      <c r="M1303" s="219"/>
      <c r="N1303" s="219"/>
      <c r="O1303" s="219"/>
      <c r="P1303" s="219"/>
      <c r="Q1303" s="219"/>
      <c r="R1303" s="219"/>
      <c r="S1303" s="219"/>
    </row>
    <row r="1304" spans="1:19" x14ac:dyDescent="0.25">
      <c r="A1304" s="219"/>
      <c r="B1304" s="219"/>
      <c r="C1304" s="219"/>
      <c r="D1304" s="219"/>
      <c r="E1304" s="219"/>
      <c r="F1304" s="219"/>
      <c r="G1304" s="219"/>
      <c r="H1304" s="219"/>
      <c r="I1304" s="248"/>
      <c r="J1304" s="219"/>
      <c r="K1304" s="219"/>
      <c r="L1304" s="219"/>
      <c r="M1304" s="219"/>
      <c r="N1304" s="219"/>
      <c r="O1304" s="219"/>
      <c r="P1304" s="219"/>
      <c r="Q1304" s="219"/>
      <c r="R1304" s="219"/>
      <c r="S1304" s="219"/>
    </row>
    <row r="1305" spans="1:19" x14ac:dyDescent="0.25">
      <c r="A1305" s="219"/>
      <c r="B1305" s="219"/>
      <c r="C1305" s="219"/>
      <c r="D1305" s="219"/>
      <c r="E1305" s="219"/>
      <c r="F1305" s="219"/>
      <c r="G1305" s="219"/>
      <c r="H1305" s="219"/>
      <c r="I1305" s="248"/>
      <c r="J1305" s="219"/>
      <c r="K1305" s="219"/>
      <c r="L1305" s="219"/>
      <c r="M1305" s="219"/>
      <c r="N1305" s="219"/>
      <c r="O1305" s="219"/>
      <c r="P1305" s="219"/>
      <c r="Q1305" s="219"/>
      <c r="R1305" s="219"/>
      <c r="S1305" s="219"/>
    </row>
    <row r="1306" spans="1:19" x14ac:dyDescent="0.25">
      <c r="A1306" s="219"/>
      <c r="B1306" s="219"/>
      <c r="C1306" s="219"/>
      <c r="D1306" s="219"/>
      <c r="E1306" s="219"/>
      <c r="F1306" s="219"/>
      <c r="G1306" s="219"/>
      <c r="H1306" s="219"/>
      <c r="I1306" s="248"/>
      <c r="J1306" s="219"/>
      <c r="K1306" s="219"/>
      <c r="L1306" s="219"/>
      <c r="M1306" s="219"/>
      <c r="N1306" s="219"/>
      <c r="O1306" s="219"/>
      <c r="P1306" s="219"/>
      <c r="Q1306" s="219"/>
      <c r="R1306" s="219"/>
      <c r="S1306" s="219"/>
    </row>
    <row r="1307" spans="1:19" x14ac:dyDescent="0.25">
      <c r="A1307" s="219"/>
      <c r="B1307" s="219"/>
      <c r="C1307" s="219"/>
      <c r="D1307" s="219"/>
      <c r="E1307" s="219"/>
      <c r="F1307" s="219"/>
      <c r="G1307" s="219"/>
      <c r="H1307" s="219"/>
      <c r="I1307" s="248"/>
      <c r="J1307" s="219"/>
      <c r="K1307" s="219"/>
      <c r="L1307" s="219"/>
      <c r="M1307" s="219"/>
      <c r="N1307" s="219"/>
      <c r="O1307" s="219"/>
      <c r="P1307" s="219"/>
      <c r="Q1307" s="219"/>
      <c r="R1307" s="219"/>
      <c r="S1307" s="219"/>
    </row>
    <row r="1308" spans="1:19" x14ac:dyDescent="0.25">
      <c r="A1308" s="219"/>
      <c r="B1308" s="219"/>
      <c r="C1308" s="219"/>
      <c r="D1308" s="219"/>
      <c r="E1308" s="219"/>
      <c r="F1308" s="219"/>
      <c r="G1308" s="219"/>
      <c r="H1308" s="219"/>
      <c r="I1308" s="248"/>
      <c r="J1308" s="219"/>
      <c r="K1308" s="219"/>
      <c r="L1308" s="219"/>
      <c r="M1308" s="219"/>
      <c r="N1308" s="219"/>
      <c r="O1308" s="219"/>
      <c r="P1308" s="219"/>
      <c r="Q1308" s="219"/>
      <c r="R1308" s="219"/>
      <c r="S1308" s="219"/>
    </row>
    <row r="1309" spans="1:19" x14ac:dyDescent="0.25">
      <c r="A1309" s="219"/>
      <c r="B1309" s="219"/>
      <c r="C1309" s="219"/>
      <c r="D1309" s="219"/>
      <c r="E1309" s="219"/>
      <c r="F1309" s="219"/>
      <c r="G1309" s="219"/>
      <c r="H1309" s="219"/>
      <c r="I1309" s="248"/>
      <c r="J1309" s="219"/>
      <c r="K1309" s="219"/>
      <c r="L1309" s="219"/>
      <c r="M1309" s="219"/>
      <c r="N1309" s="219"/>
      <c r="O1309" s="219"/>
      <c r="P1309" s="219"/>
      <c r="Q1309" s="219"/>
      <c r="R1309" s="219"/>
      <c r="S1309" s="219"/>
    </row>
    <row r="1310" spans="1:19" x14ac:dyDescent="0.25">
      <c r="A1310" s="219"/>
      <c r="B1310" s="219"/>
      <c r="C1310" s="219"/>
      <c r="D1310" s="219"/>
      <c r="E1310" s="219"/>
      <c r="F1310" s="219"/>
      <c r="G1310" s="219"/>
      <c r="H1310" s="219"/>
      <c r="I1310" s="248"/>
      <c r="J1310" s="219"/>
      <c r="K1310" s="219"/>
      <c r="L1310" s="219"/>
      <c r="M1310" s="219"/>
      <c r="N1310" s="219"/>
      <c r="O1310" s="219"/>
      <c r="P1310" s="219"/>
      <c r="Q1310" s="219"/>
      <c r="R1310" s="219"/>
      <c r="S1310" s="219"/>
    </row>
    <row r="1311" spans="1:19" x14ac:dyDescent="0.25">
      <c r="A1311" s="219"/>
      <c r="B1311" s="219"/>
      <c r="C1311" s="219"/>
      <c r="D1311" s="219"/>
      <c r="E1311" s="219"/>
      <c r="F1311" s="219"/>
      <c r="G1311" s="219"/>
      <c r="H1311" s="219"/>
      <c r="I1311" s="248"/>
      <c r="J1311" s="219"/>
      <c r="K1311" s="219"/>
      <c r="L1311" s="219"/>
      <c r="M1311" s="219"/>
      <c r="N1311" s="219"/>
      <c r="O1311" s="219"/>
      <c r="P1311" s="219"/>
      <c r="Q1311" s="219"/>
      <c r="R1311" s="219"/>
      <c r="S1311" s="219"/>
    </row>
    <row r="1312" spans="1:19" x14ac:dyDescent="0.25">
      <c r="A1312" s="219"/>
      <c r="B1312" s="219"/>
      <c r="C1312" s="219"/>
      <c r="D1312" s="219"/>
      <c r="E1312" s="219"/>
      <c r="F1312" s="219"/>
      <c r="G1312" s="219"/>
      <c r="H1312" s="219"/>
      <c r="I1312" s="248"/>
      <c r="J1312" s="219"/>
      <c r="K1312" s="219"/>
      <c r="L1312" s="219"/>
      <c r="M1312" s="219"/>
      <c r="N1312" s="219"/>
      <c r="O1312" s="219"/>
      <c r="P1312" s="219"/>
      <c r="Q1312" s="219"/>
      <c r="R1312" s="219"/>
      <c r="S1312" s="219"/>
    </row>
    <row r="1313" spans="1:19" x14ac:dyDescent="0.25">
      <c r="A1313" s="219"/>
      <c r="B1313" s="219"/>
      <c r="C1313" s="219"/>
      <c r="D1313" s="219"/>
      <c r="E1313" s="219"/>
      <c r="F1313" s="219"/>
      <c r="G1313" s="219"/>
      <c r="H1313" s="219"/>
      <c r="I1313" s="248"/>
      <c r="J1313" s="219"/>
      <c r="K1313" s="219"/>
      <c r="L1313" s="219"/>
      <c r="M1313" s="219"/>
      <c r="N1313" s="219"/>
      <c r="O1313" s="219"/>
      <c r="P1313" s="219"/>
      <c r="Q1313" s="219"/>
      <c r="R1313" s="219"/>
      <c r="S1313" s="219"/>
    </row>
    <row r="1314" spans="1:19" x14ac:dyDescent="0.25">
      <c r="A1314" s="219"/>
      <c r="B1314" s="219"/>
      <c r="C1314" s="219"/>
      <c r="D1314" s="219"/>
      <c r="E1314" s="219"/>
      <c r="F1314" s="219"/>
      <c r="G1314" s="219"/>
      <c r="H1314" s="219"/>
      <c r="I1314" s="248"/>
      <c r="J1314" s="219"/>
      <c r="K1314" s="219"/>
      <c r="L1314" s="219"/>
      <c r="M1314" s="219"/>
      <c r="N1314" s="219"/>
      <c r="O1314" s="219"/>
      <c r="P1314" s="219"/>
      <c r="Q1314" s="219"/>
      <c r="R1314" s="219"/>
      <c r="S1314" s="219"/>
    </row>
    <row r="1315" spans="1:19" x14ac:dyDescent="0.25">
      <c r="A1315" s="219"/>
      <c r="B1315" s="219"/>
      <c r="C1315" s="219"/>
      <c r="D1315" s="219"/>
      <c r="E1315" s="219"/>
      <c r="F1315" s="219"/>
      <c r="G1315" s="219"/>
      <c r="H1315" s="219"/>
      <c r="I1315" s="248"/>
      <c r="J1315" s="219"/>
      <c r="K1315" s="219"/>
      <c r="L1315" s="219"/>
      <c r="M1315" s="219"/>
      <c r="N1315" s="219"/>
      <c r="O1315" s="219"/>
      <c r="P1315" s="219"/>
      <c r="Q1315" s="219"/>
      <c r="R1315" s="219"/>
      <c r="S1315" s="219"/>
    </row>
    <row r="1316" spans="1:19" x14ac:dyDescent="0.25">
      <c r="A1316" s="219"/>
      <c r="B1316" s="219"/>
      <c r="C1316" s="219"/>
      <c r="D1316" s="219"/>
      <c r="E1316" s="219"/>
      <c r="F1316" s="219"/>
      <c r="G1316" s="219"/>
      <c r="H1316" s="219"/>
      <c r="I1316" s="248"/>
      <c r="J1316" s="219"/>
      <c r="K1316" s="219"/>
      <c r="L1316" s="219"/>
      <c r="M1316" s="219"/>
      <c r="N1316" s="219"/>
      <c r="O1316" s="219"/>
      <c r="P1316" s="219"/>
      <c r="Q1316" s="219"/>
      <c r="R1316" s="219"/>
      <c r="S1316" s="219"/>
    </row>
    <row r="1317" spans="1:19" x14ac:dyDescent="0.25">
      <c r="A1317" s="219"/>
      <c r="B1317" s="219"/>
      <c r="C1317" s="219"/>
      <c r="D1317" s="219"/>
      <c r="E1317" s="219"/>
      <c r="F1317" s="219"/>
      <c r="G1317" s="219"/>
      <c r="H1317" s="219"/>
      <c r="I1317" s="248"/>
      <c r="J1317" s="219"/>
      <c r="K1317" s="219"/>
      <c r="L1317" s="219"/>
      <c r="M1317" s="219"/>
      <c r="N1317" s="219"/>
      <c r="O1317" s="219"/>
      <c r="P1317" s="219"/>
      <c r="Q1317" s="219"/>
      <c r="R1317" s="219"/>
      <c r="S1317" s="219"/>
    </row>
    <row r="1318" spans="1:19" x14ac:dyDescent="0.25">
      <c r="A1318" s="219"/>
      <c r="B1318" s="219"/>
      <c r="C1318" s="219"/>
      <c r="D1318" s="219"/>
      <c r="E1318" s="219"/>
      <c r="F1318" s="219"/>
      <c r="G1318" s="219"/>
      <c r="H1318" s="219"/>
      <c r="I1318" s="248"/>
      <c r="J1318" s="219"/>
      <c r="K1318" s="219"/>
      <c r="L1318" s="219"/>
      <c r="M1318" s="219"/>
      <c r="N1318" s="219"/>
      <c r="O1318" s="219"/>
      <c r="P1318" s="219"/>
      <c r="Q1318" s="219"/>
      <c r="R1318" s="219"/>
      <c r="S1318" s="219"/>
    </row>
    <row r="1319" spans="1:19" x14ac:dyDescent="0.25">
      <c r="A1319" s="219"/>
      <c r="B1319" s="219"/>
      <c r="C1319" s="219"/>
      <c r="D1319" s="219"/>
      <c r="E1319" s="219"/>
      <c r="F1319" s="219"/>
      <c r="G1319" s="219"/>
      <c r="H1319" s="219"/>
      <c r="I1319" s="248"/>
      <c r="J1319" s="219"/>
      <c r="K1319" s="219"/>
      <c r="L1319" s="219"/>
      <c r="M1319" s="219"/>
      <c r="N1319" s="219"/>
      <c r="O1319" s="219"/>
      <c r="P1319" s="219"/>
      <c r="Q1319" s="219"/>
      <c r="R1319" s="219"/>
      <c r="S1319" s="219"/>
    </row>
    <row r="1320" spans="1:19" x14ac:dyDescent="0.25">
      <c r="A1320" s="219"/>
      <c r="B1320" s="219"/>
      <c r="C1320" s="219"/>
      <c r="D1320" s="219"/>
      <c r="E1320" s="219"/>
      <c r="F1320" s="219"/>
      <c r="G1320" s="219"/>
      <c r="H1320" s="219"/>
      <c r="I1320" s="248"/>
      <c r="J1320" s="219"/>
      <c r="K1320" s="219"/>
      <c r="L1320" s="219"/>
      <c r="M1320" s="219"/>
      <c r="N1320" s="219"/>
      <c r="O1320" s="219"/>
      <c r="P1320" s="219"/>
      <c r="Q1320" s="219"/>
      <c r="R1320" s="219"/>
      <c r="S1320" s="219"/>
    </row>
    <row r="1321" spans="1:19" x14ac:dyDescent="0.25">
      <c r="A1321" s="219"/>
      <c r="B1321" s="219"/>
      <c r="C1321" s="219"/>
      <c r="D1321" s="219"/>
      <c r="E1321" s="219"/>
      <c r="F1321" s="219"/>
      <c r="G1321" s="219"/>
      <c r="H1321" s="219"/>
      <c r="I1321" s="248"/>
      <c r="J1321" s="219"/>
      <c r="K1321" s="219"/>
      <c r="L1321" s="219"/>
      <c r="M1321" s="219"/>
      <c r="N1321" s="219"/>
      <c r="O1321" s="219"/>
      <c r="P1321" s="219"/>
      <c r="Q1321" s="219"/>
      <c r="R1321" s="219"/>
      <c r="S1321" s="219"/>
    </row>
    <row r="1322" spans="1:19" x14ac:dyDescent="0.25">
      <c r="A1322" s="219"/>
      <c r="B1322" s="219"/>
      <c r="C1322" s="219"/>
      <c r="D1322" s="219"/>
      <c r="E1322" s="219"/>
      <c r="F1322" s="219"/>
      <c r="G1322" s="219"/>
      <c r="H1322" s="219"/>
      <c r="I1322" s="248"/>
      <c r="J1322" s="219"/>
      <c r="K1322" s="219"/>
      <c r="L1322" s="219"/>
      <c r="M1322" s="219"/>
      <c r="N1322" s="219"/>
      <c r="O1322" s="219"/>
      <c r="P1322" s="219"/>
      <c r="Q1322" s="219"/>
      <c r="R1322" s="219"/>
      <c r="S1322" s="219"/>
    </row>
    <row r="1323" spans="1:19" x14ac:dyDescent="0.25">
      <c r="A1323" s="219"/>
      <c r="B1323" s="219"/>
      <c r="C1323" s="219"/>
      <c r="D1323" s="219"/>
      <c r="E1323" s="219"/>
      <c r="F1323" s="219"/>
      <c r="G1323" s="219"/>
      <c r="H1323" s="219"/>
      <c r="I1323" s="248"/>
      <c r="J1323" s="219"/>
      <c r="K1323" s="219"/>
      <c r="L1323" s="219"/>
      <c r="M1323" s="219"/>
      <c r="N1323" s="219"/>
      <c r="O1323" s="219"/>
      <c r="P1323" s="219"/>
      <c r="Q1323" s="219"/>
      <c r="R1323" s="219"/>
      <c r="S1323" s="219"/>
    </row>
    <row r="1324" spans="1:19" x14ac:dyDescent="0.25">
      <c r="A1324" s="219"/>
      <c r="B1324" s="219"/>
      <c r="C1324" s="219"/>
      <c r="D1324" s="219"/>
      <c r="E1324" s="219"/>
      <c r="F1324" s="219"/>
      <c r="G1324" s="219"/>
      <c r="H1324" s="219"/>
      <c r="I1324" s="248"/>
      <c r="J1324" s="219"/>
      <c r="K1324" s="219"/>
      <c r="L1324" s="219"/>
      <c r="M1324" s="219"/>
      <c r="N1324" s="219"/>
      <c r="O1324" s="219"/>
      <c r="P1324" s="219"/>
      <c r="Q1324" s="219"/>
      <c r="R1324" s="219"/>
      <c r="S1324" s="219"/>
    </row>
    <row r="1325" spans="1:19" x14ac:dyDescent="0.25">
      <c r="A1325" s="219"/>
      <c r="B1325" s="219"/>
      <c r="C1325" s="219"/>
      <c r="D1325" s="219"/>
      <c r="E1325" s="219"/>
      <c r="F1325" s="219"/>
      <c r="G1325" s="219"/>
      <c r="H1325" s="219"/>
      <c r="I1325" s="248"/>
      <c r="J1325" s="219"/>
      <c r="K1325" s="219"/>
      <c r="L1325" s="219"/>
      <c r="M1325" s="219"/>
      <c r="N1325" s="219"/>
      <c r="O1325" s="219"/>
      <c r="P1325" s="219"/>
      <c r="Q1325" s="219"/>
      <c r="R1325" s="219"/>
      <c r="S1325" s="219"/>
    </row>
    <row r="1326" spans="1:19" x14ac:dyDescent="0.25">
      <c r="A1326" s="219"/>
      <c r="B1326" s="219"/>
      <c r="C1326" s="219"/>
      <c r="D1326" s="219"/>
      <c r="E1326" s="219"/>
      <c r="F1326" s="219"/>
      <c r="G1326" s="219"/>
      <c r="H1326" s="219"/>
      <c r="I1326" s="248"/>
      <c r="J1326" s="219"/>
      <c r="K1326" s="219"/>
      <c r="L1326" s="219"/>
      <c r="M1326" s="219"/>
      <c r="N1326" s="219"/>
      <c r="O1326" s="219"/>
      <c r="P1326" s="219"/>
      <c r="Q1326" s="219"/>
      <c r="R1326" s="219"/>
      <c r="S1326" s="219"/>
    </row>
    <row r="1327" spans="1:19" x14ac:dyDescent="0.25">
      <c r="A1327" s="219"/>
      <c r="B1327" s="219"/>
      <c r="C1327" s="219"/>
      <c r="D1327" s="219"/>
      <c r="E1327" s="219"/>
      <c r="F1327" s="219"/>
      <c r="G1327" s="219"/>
      <c r="H1327" s="219"/>
      <c r="I1327" s="248"/>
      <c r="J1327" s="219"/>
      <c r="K1327" s="219"/>
      <c r="L1327" s="219"/>
      <c r="M1327" s="219"/>
      <c r="N1327" s="219"/>
      <c r="O1327" s="219"/>
      <c r="P1327" s="219"/>
      <c r="Q1327" s="219"/>
      <c r="R1327" s="219"/>
      <c r="S1327" s="219"/>
    </row>
    <row r="1328" spans="1:19" x14ac:dyDescent="0.25">
      <c r="A1328" s="219"/>
      <c r="B1328" s="219"/>
      <c r="C1328" s="219"/>
      <c r="D1328" s="219"/>
      <c r="E1328" s="219"/>
      <c r="F1328" s="219"/>
      <c r="G1328" s="219"/>
      <c r="H1328" s="219"/>
      <c r="I1328" s="248"/>
      <c r="J1328" s="219"/>
      <c r="K1328" s="219"/>
      <c r="L1328" s="219"/>
      <c r="M1328" s="219"/>
      <c r="N1328" s="219"/>
      <c r="O1328" s="219"/>
      <c r="P1328" s="219"/>
      <c r="Q1328" s="219"/>
      <c r="R1328" s="219"/>
      <c r="S1328" s="219"/>
    </row>
    <row r="1329" spans="1:19" x14ac:dyDescent="0.25">
      <c r="A1329" s="219"/>
      <c r="B1329" s="219"/>
      <c r="C1329" s="219"/>
      <c r="D1329" s="219"/>
      <c r="E1329" s="219"/>
      <c r="F1329" s="219"/>
      <c r="G1329" s="219"/>
      <c r="H1329" s="219"/>
      <c r="I1329" s="248"/>
      <c r="J1329" s="219"/>
      <c r="K1329" s="219"/>
      <c r="L1329" s="219"/>
      <c r="M1329" s="219"/>
      <c r="N1329" s="219"/>
      <c r="O1329" s="219"/>
      <c r="P1329" s="219"/>
      <c r="Q1329" s="219"/>
      <c r="R1329" s="219"/>
      <c r="S1329" s="219"/>
    </row>
    <row r="1330" spans="1:19" x14ac:dyDescent="0.25">
      <c r="A1330" s="219"/>
      <c r="B1330" s="219"/>
      <c r="C1330" s="219"/>
      <c r="D1330" s="219"/>
      <c r="E1330" s="219"/>
      <c r="F1330" s="219"/>
      <c r="G1330" s="219"/>
      <c r="H1330" s="219"/>
      <c r="I1330" s="248"/>
      <c r="J1330" s="219"/>
      <c r="K1330" s="219"/>
      <c r="L1330" s="219"/>
      <c r="M1330" s="219"/>
      <c r="N1330" s="219"/>
      <c r="O1330" s="219"/>
      <c r="P1330" s="219"/>
      <c r="Q1330" s="219"/>
      <c r="R1330" s="219"/>
      <c r="S1330" s="219"/>
    </row>
    <row r="1331" spans="1:19" x14ac:dyDescent="0.25">
      <c r="A1331" s="219"/>
      <c r="B1331" s="219"/>
      <c r="C1331" s="219"/>
      <c r="D1331" s="219"/>
      <c r="E1331" s="219"/>
      <c r="F1331" s="219"/>
      <c r="G1331" s="219"/>
      <c r="H1331" s="219"/>
      <c r="I1331" s="248"/>
      <c r="J1331" s="219"/>
      <c r="K1331" s="219"/>
      <c r="L1331" s="219"/>
      <c r="M1331" s="219"/>
      <c r="N1331" s="219"/>
      <c r="O1331" s="219"/>
      <c r="P1331" s="219"/>
      <c r="Q1331" s="219"/>
      <c r="R1331" s="219"/>
      <c r="S1331" s="219"/>
    </row>
    <row r="1332" spans="1:19" x14ac:dyDescent="0.25">
      <c r="A1332" s="219"/>
      <c r="B1332" s="219"/>
      <c r="C1332" s="219"/>
      <c r="D1332" s="219"/>
      <c r="E1332" s="219"/>
      <c r="F1332" s="219"/>
      <c r="G1332" s="219"/>
      <c r="H1332" s="219"/>
      <c r="I1332" s="248"/>
      <c r="J1332" s="219"/>
      <c r="K1332" s="219"/>
      <c r="L1332" s="219"/>
      <c r="M1332" s="219"/>
      <c r="N1332" s="219"/>
      <c r="O1332" s="219"/>
      <c r="P1332" s="219"/>
      <c r="Q1332" s="219"/>
      <c r="R1332" s="219"/>
      <c r="S1332" s="219"/>
    </row>
    <row r="1333" spans="1:19" x14ac:dyDescent="0.25">
      <c r="A1333" s="219"/>
      <c r="B1333" s="219"/>
      <c r="C1333" s="219"/>
      <c r="D1333" s="219"/>
      <c r="E1333" s="219"/>
      <c r="F1333" s="219"/>
      <c r="G1333" s="219"/>
      <c r="H1333" s="219"/>
      <c r="I1333" s="248"/>
      <c r="J1333" s="219"/>
      <c r="K1333" s="219"/>
      <c r="L1333" s="219"/>
      <c r="M1333" s="219"/>
      <c r="N1333" s="219"/>
      <c r="O1333" s="219"/>
      <c r="P1333" s="219"/>
      <c r="Q1333" s="219"/>
      <c r="R1333" s="219"/>
      <c r="S1333" s="219"/>
    </row>
    <row r="1334" spans="1:19" x14ac:dyDescent="0.25">
      <c r="A1334" s="219"/>
      <c r="B1334" s="219"/>
      <c r="C1334" s="219"/>
      <c r="D1334" s="219"/>
      <c r="E1334" s="219"/>
      <c r="F1334" s="219"/>
      <c r="G1334" s="219"/>
      <c r="H1334" s="219"/>
      <c r="I1334" s="248"/>
      <c r="J1334" s="219"/>
      <c r="K1334" s="219"/>
      <c r="L1334" s="219"/>
      <c r="M1334" s="219"/>
      <c r="N1334" s="219"/>
      <c r="O1334" s="219"/>
      <c r="P1334" s="219"/>
      <c r="Q1334" s="219"/>
      <c r="R1334" s="219"/>
      <c r="S1334" s="219"/>
    </row>
    <row r="1335" spans="1:19" x14ac:dyDescent="0.25">
      <c r="A1335" s="219"/>
      <c r="B1335" s="219"/>
      <c r="C1335" s="219"/>
      <c r="D1335" s="219"/>
      <c r="E1335" s="219"/>
      <c r="F1335" s="219"/>
      <c r="G1335" s="219"/>
      <c r="H1335" s="219"/>
      <c r="I1335" s="248"/>
      <c r="J1335" s="219"/>
      <c r="K1335" s="219"/>
      <c r="L1335" s="219"/>
      <c r="M1335" s="219"/>
      <c r="N1335" s="219"/>
      <c r="O1335" s="219"/>
      <c r="P1335" s="219"/>
      <c r="Q1335" s="219"/>
      <c r="R1335" s="219"/>
      <c r="S1335" s="219"/>
    </row>
    <row r="1336" spans="1:19" x14ac:dyDescent="0.25">
      <c r="A1336" s="219"/>
      <c r="B1336" s="219"/>
      <c r="C1336" s="219"/>
      <c r="D1336" s="219"/>
      <c r="E1336" s="219"/>
      <c r="F1336" s="219"/>
      <c r="G1336" s="219"/>
      <c r="H1336" s="219"/>
      <c r="I1336" s="248"/>
      <c r="J1336" s="219"/>
      <c r="K1336" s="219"/>
      <c r="L1336" s="219"/>
      <c r="M1336" s="219"/>
      <c r="N1336" s="219"/>
      <c r="O1336" s="219"/>
      <c r="P1336" s="219"/>
      <c r="Q1336" s="219"/>
      <c r="R1336" s="219"/>
      <c r="S1336" s="219"/>
    </row>
    <row r="1337" spans="1:19" x14ac:dyDescent="0.25">
      <c r="A1337" s="219"/>
      <c r="B1337" s="219"/>
      <c r="C1337" s="219"/>
      <c r="D1337" s="219"/>
      <c r="E1337" s="219"/>
      <c r="F1337" s="219"/>
      <c r="G1337" s="219"/>
      <c r="H1337" s="219"/>
      <c r="I1337" s="248"/>
      <c r="J1337" s="219"/>
      <c r="K1337" s="219"/>
      <c r="L1337" s="219"/>
      <c r="M1337" s="219"/>
      <c r="N1337" s="219"/>
      <c r="O1337" s="219"/>
      <c r="P1337" s="219"/>
      <c r="Q1337" s="219"/>
      <c r="R1337" s="219"/>
      <c r="S1337" s="219"/>
    </row>
    <row r="1338" spans="1:19" x14ac:dyDescent="0.25">
      <c r="A1338" s="219"/>
      <c r="B1338" s="219"/>
      <c r="C1338" s="219"/>
      <c r="D1338" s="219"/>
      <c r="E1338" s="219"/>
      <c r="F1338" s="219"/>
      <c r="G1338" s="219"/>
      <c r="H1338" s="219"/>
      <c r="I1338" s="248"/>
      <c r="J1338" s="219"/>
      <c r="K1338" s="219"/>
      <c r="L1338" s="219"/>
      <c r="M1338" s="219"/>
      <c r="N1338" s="219"/>
      <c r="O1338" s="219"/>
      <c r="P1338" s="219"/>
      <c r="Q1338" s="219"/>
      <c r="R1338" s="219"/>
      <c r="S1338" s="219"/>
    </row>
    <row r="1339" spans="1:19" x14ac:dyDescent="0.25">
      <c r="A1339" s="219"/>
      <c r="B1339" s="219"/>
      <c r="C1339" s="219"/>
      <c r="D1339" s="219"/>
      <c r="E1339" s="219"/>
      <c r="F1339" s="219"/>
      <c r="G1339" s="219"/>
      <c r="H1339" s="219"/>
      <c r="I1339" s="248"/>
      <c r="J1339" s="219"/>
      <c r="K1339" s="219"/>
      <c r="L1339" s="219"/>
      <c r="M1339" s="219"/>
      <c r="N1339" s="219"/>
      <c r="O1339" s="219"/>
      <c r="P1339" s="219"/>
      <c r="Q1339" s="219"/>
      <c r="R1339" s="219"/>
      <c r="S1339" s="219"/>
    </row>
    <row r="1340" spans="1:19" x14ac:dyDescent="0.25">
      <c r="A1340" s="219"/>
      <c r="B1340" s="219"/>
      <c r="C1340" s="219"/>
      <c r="D1340" s="219"/>
      <c r="E1340" s="219"/>
      <c r="F1340" s="219"/>
      <c r="G1340" s="219"/>
      <c r="H1340" s="219"/>
      <c r="I1340" s="248"/>
      <c r="J1340" s="219"/>
      <c r="K1340" s="219"/>
      <c r="L1340" s="219"/>
      <c r="M1340" s="219"/>
      <c r="N1340" s="219"/>
      <c r="O1340" s="219"/>
      <c r="P1340" s="219"/>
      <c r="Q1340" s="219"/>
      <c r="R1340" s="219"/>
      <c r="S1340" s="219"/>
    </row>
    <row r="1341" spans="1:19" x14ac:dyDescent="0.25">
      <c r="A1341" s="219"/>
      <c r="B1341" s="219"/>
      <c r="C1341" s="219"/>
      <c r="D1341" s="219"/>
      <c r="E1341" s="219"/>
      <c r="F1341" s="219"/>
      <c r="G1341" s="219"/>
      <c r="H1341" s="219"/>
      <c r="I1341" s="248"/>
      <c r="J1341" s="219"/>
      <c r="K1341" s="219"/>
      <c r="L1341" s="219"/>
      <c r="M1341" s="219"/>
      <c r="N1341" s="219"/>
      <c r="O1341" s="219"/>
      <c r="P1341" s="219"/>
      <c r="Q1341" s="219"/>
      <c r="R1341" s="219"/>
      <c r="S1341" s="219"/>
    </row>
    <row r="1342" spans="1:19" x14ac:dyDescent="0.25">
      <c r="A1342" s="219"/>
      <c r="B1342" s="219"/>
      <c r="C1342" s="219"/>
      <c r="D1342" s="219"/>
      <c r="E1342" s="219"/>
      <c r="F1342" s="219"/>
      <c r="G1342" s="219"/>
      <c r="H1342" s="219"/>
      <c r="I1342" s="248"/>
      <c r="J1342" s="219"/>
      <c r="K1342" s="219"/>
      <c r="L1342" s="219"/>
      <c r="M1342" s="219"/>
      <c r="N1342" s="219"/>
      <c r="O1342" s="219"/>
      <c r="P1342" s="219"/>
      <c r="Q1342" s="219"/>
      <c r="R1342" s="219"/>
      <c r="S1342" s="219"/>
    </row>
    <row r="1343" spans="1:19" x14ac:dyDescent="0.25">
      <c r="A1343" s="219"/>
      <c r="B1343" s="219"/>
      <c r="C1343" s="219"/>
      <c r="D1343" s="219"/>
      <c r="E1343" s="219"/>
      <c r="F1343" s="219"/>
      <c r="G1343" s="219"/>
      <c r="H1343" s="219"/>
      <c r="I1343" s="248"/>
      <c r="J1343" s="219"/>
      <c r="K1343" s="219"/>
      <c r="L1343" s="219"/>
      <c r="M1343" s="219"/>
      <c r="N1343" s="219"/>
      <c r="O1343" s="219"/>
      <c r="P1343" s="219"/>
      <c r="Q1343" s="219"/>
      <c r="R1343" s="219"/>
      <c r="S1343" s="219"/>
    </row>
    <row r="1344" spans="1:19" x14ac:dyDescent="0.25">
      <c r="A1344" s="219"/>
      <c r="B1344" s="219"/>
      <c r="C1344" s="219"/>
      <c r="D1344" s="219"/>
      <c r="E1344" s="219"/>
      <c r="F1344" s="219"/>
      <c r="G1344" s="219"/>
      <c r="H1344" s="219"/>
      <c r="I1344" s="248"/>
      <c r="J1344" s="219"/>
      <c r="K1344" s="219"/>
      <c r="L1344" s="219"/>
      <c r="M1344" s="219"/>
      <c r="N1344" s="219"/>
      <c r="O1344" s="219"/>
      <c r="P1344" s="219"/>
      <c r="Q1344" s="219"/>
      <c r="R1344" s="219"/>
      <c r="S1344" s="219"/>
    </row>
    <row r="1345" spans="1:19" x14ac:dyDescent="0.25">
      <c r="A1345" s="219"/>
      <c r="B1345" s="219"/>
      <c r="C1345" s="219"/>
      <c r="D1345" s="219"/>
      <c r="E1345" s="219"/>
      <c r="F1345" s="219"/>
      <c r="G1345" s="219"/>
      <c r="H1345" s="219"/>
      <c r="I1345" s="248"/>
      <c r="J1345" s="219"/>
      <c r="K1345" s="219"/>
      <c r="L1345" s="219"/>
      <c r="M1345" s="219"/>
      <c r="N1345" s="219"/>
      <c r="O1345" s="219"/>
      <c r="P1345" s="219"/>
      <c r="Q1345" s="219"/>
      <c r="R1345" s="219"/>
      <c r="S1345" s="219"/>
    </row>
    <row r="1346" spans="1:19" x14ac:dyDescent="0.25">
      <c r="A1346" s="219"/>
      <c r="B1346" s="219"/>
      <c r="C1346" s="219"/>
      <c r="D1346" s="219"/>
      <c r="E1346" s="219"/>
      <c r="F1346" s="219"/>
      <c r="G1346" s="219"/>
      <c r="H1346" s="219"/>
      <c r="I1346" s="248"/>
      <c r="J1346" s="219"/>
      <c r="K1346" s="219"/>
      <c r="L1346" s="219"/>
      <c r="M1346" s="219"/>
      <c r="N1346" s="219"/>
      <c r="O1346" s="219"/>
      <c r="P1346" s="219"/>
      <c r="Q1346" s="219"/>
      <c r="R1346" s="219"/>
      <c r="S1346" s="219"/>
    </row>
    <row r="1347" spans="1:19" x14ac:dyDescent="0.25">
      <c r="A1347" s="219"/>
      <c r="B1347" s="219"/>
      <c r="C1347" s="219"/>
      <c r="D1347" s="219"/>
      <c r="E1347" s="219"/>
      <c r="F1347" s="219"/>
      <c r="G1347" s="219"/>
      <c r="H1347" s="219"/>
      <c r="I1347" s="248"/>
      <c r="J1347" s="219"/>
      <c r="K1347" s="219"/>
      <c r="L1347" s="219"/>
      <c r="M1347" s="219"/>
      <c r="N1347" s="219"/>
      <c r="O1347" s="219"/>
      <c r="P1347" s="219"/>
      <c r="Q1347" s="219"/>
      <c r="R1347" s="219"/>
      <c r="S1347" s="219"/>
    </row>
    <row r="1348" spans="1:19" x14ac:dyDescent="0.25">
      <c r="A1348" s="219"/>
      <c r="B1348" s="219"/>
      <c r="C1348" s="219"/>
      <c r="D1348" s="219"/>
      <c r="E1348" s="219"/>
      <c r="F1348" s="219"/>
      <c r="G1348" s="219"/>
      <c r="H1348" s="219"/>
      <c r="I1348" s="248"/>
      <c r="J1348" s="219"/>
      <c r="K1348" s="219"/>
      <c r="L1348" s="219"/>
      <c r="M1348" s="219"/>
      <c r="N1348" s="219"/>
      <c r="O1348" s="219"/>
      <c r="P1348" s="219"/>
      <c r="Q1348" s="219"/>
      <c r="R1348" s="219"/>
      <c r="S1348" s="219"/>
    </row>
    <row r="1349" spans="1:19" x14ac:dyDescent="0.25">
      <c r="A1349" s="219"/>
      <c r="B1349" s="219"/>
      <c r="C1349" s="219"/>
      <c r="D1349" s="219"/>
      <c r="E1349" s="219"/>
      <c r="F1349" s="219"/>
      <c r="G1349" s="219"/>
      <c r="H1349" s="219"/>
      <c r="I1349" s="248"/>
      <c r="J1349" s="219"/>
      <c r="K1349" s="219"/>
      <c r="L1349" s="219"/>
      <c r="M1349" s="219"/>
      <c r="N1349" s="219"/>
      <c r="O1349" s="219"/>
      <c r="P1349" s="219"/>
      <c r="Q1349" s="219"/>
      <c r="R1349" s="219"/>
      <c r="S1349" s="219"/>
    </row>
    <row r="1350" spans="1:19" x14ac:dyDescent="0.25">
      <c r="A1350" s="219"/>
      <c r="B1350" s="219"/>
      <c r="C1350" s="219"/>
      <c r="D1350" s="219"/>
      <c r="E1350" s="219"/>
      <c r="F1350" s="219"/>
      <c r="G1350" s="219"/>
      <c r="H1350" s="219"/>
      <c r="I1350" s="248"/>
      <c r="J1350" s="219"/>
      <c r="K1350" s="219"/>
      <c r="L1350" s="219"/>
      <c r="M1350" s="219"/>
      <c r="N1350" s="219"/>
      <c r="O1350" s="219"/>
      <c r="P1350" s="219"/>
      <c r="Q1350" s="219"/>
      <c r="R1350" s="219"/>
      <c r="S1350" s="219"/>
    </row>
    <row r="1351" spans="1:19" x14ac:dyDescent="0.25">
      <c r="A1351" s="219"/>
      <c r="B1351" s="219"/>
      <c r="C1351" s="219"/>
      <c r="D1351" s="219"/>
      <c r="E1351" s="219"/>
      <c r="F1351" s="219"/>
      <c r="G1351" s="219"/>
      <c r="H1351" s="219"/>
      <c r="I1351" s="248"/>
      <c r="J1351" s="219"/>
      <c r="K1351" s="219"/>
      <c r="L1351" s="219"/>
      <c r="M1351" s="219"/>
      <c r="N1351" s="219"/>
      <c r="O1351" s="219"/>
      <c r="P1351" s="219"/>
      <c r="Q1351" s="219"/>
      <c r="R1351" s="219"/>
      <c r="S1351" s="219"/>
    </row>
    <row r="1352" spans="1:19" x14ac:dyDescent="0.25">
      <c r="A1352" s="219"/>
      <c r="B1352" s="219"/>
      <c r="C1352" s="219"/>
      <c r="D1352" s="219"/>
      <c r="E1352" s="219"/>
      <c r="F1352" s="219"/>
      <c r="G1352" s="219"/>
      <c r="H1352" s="219"/>
      <c r="I1352" s="248"/>
      <c r="J1352" s="219"/>
      <c r="K1352" s="219"/>
      <c r="L1352" s="219"/>
      <c r="M1352" s="219"/>
      <c r="N1352" s="219"/>
      <c r="O1352" s="219"/>
      <c r="P1352" s="219"/>
      <c r="Q1352" s="219"/>
      <c r="R1352" s="219"/>
      <c r="S1352" s="219"/>
    </row>
    <row r="1353" spans="1:19" x14ac:dyDescent="0.25">
      <c r="A1353" s="219"/>
      <c r="B1353" s="219"/>
      <c r="C1353" s="219"/>
      <c r="D1353" s="219"/>
      <c r="E1353" s="219"/>
      <c r="F1353" s="219"/>
      <c r="G1353" s="219"/>
      <c r="H1353" s="219"/>
      <c r="I1353" s="248"/>
      <c r="J1353" s="219"/>
      <c r="K1353" s="219"/>
      <c r="L1353" s="219"/>
      <c r="M1353" s="219"/>
      <c r="N1353" s="219"/>
      <c r="O1353" s="219"/>
      <c r="P1353" s="219"/>
      <c r="Q1353" s="219"/>
      <c r="R1353" s="219"/>
      <c r="S1353" s="219"/>
    </row>
    <row r="1354" spans="1:19" x14ac:dyDescent="0.25">
      <c r="A1354" s="219"/>
      <c r="B1354" s="219"/>
      <c r="C1354" s="219"/>
      <c r="D1354" s="219"/>
      <c r="E1354" s="219"/>
      <c r="F1354" s="219"/>
      <c r="G1354" s="219"/>
      <c r="H1354" s="219"/>
      <c r="I1354" s="248"/>
      <c r="J1354" s="219"/>
      <c r="K1354" s="219"/>
      <c r="L1354" s="219"/>
      <c r="M1354" s="219"/>
      <c r="N1354" s="219"/>
      <c r="O1354" s="219"/>
      <c r="P1354" s="219"/>
      <c r="Q1354" s="219"/>
      <c r="R1354" s="219"/>
      <c r="S1354" s="219"/>
    </row>
    <row r="1355" spans="1:19" x14ac:dyDescent="0.25">
      <c r="A1355" s="219"/>
      <c r="B1355" s="219"/>
      <c r="C1355" s="219"/>
      <c r="D1355" s="219"/>
      <c r="E1355" s="219"/>
      <c r="F1355" s="219"/>
      <c r="G1355" s="219"/>
      <c r="H1355" s="219"/>
      <c r="I1355" s="248"/>
      <c r="J1355" s="219"/>
      <c r="K1355" s="219"/>
      <c r="L1355" s="219"/>
      <c r="M1355" s="219"/>
      <c r="N1355" s="219"/>
      <c r="O1355" s="219"/>
      <c r="P1355" s="219"/>
      <c r="Q1355" s="219"/>
      <c r="R1355" s="219"/>
      <c r="S1355" s="219"/>
    </row>
    <row r="1356" spans="1:19" x14ac:dyDescent="0.25">
      <c r="A1356" s="219"/>
      <c r="B1356" s="219"/>
      <c r="C1356" s="219"/>
      <c r="D1356" s="219"/>
      <c r="E1356" s="219"/>
      <c r="F1356" s="219"/>
      <c r="G1356" s="219"/>
      <c r="H1356" s="219"/>
      <c r="I1356" s="248"/>
      <c r="J1356" s="219"/>
      <c r="K1356" s="219"/>
      <c r="L1356" s="219"/>
      <c r="M1356" s="219"/>
      <c r="N1356" s="219"/>
      <c r="O1356" s="219"/>
      <c r="P1356" s="219"/>
      <c r="Q1356" s="219"/>
      <c r="R1356" s="219"/>
      <c r="S1356" s="219"/>
    </row>
    <row r="1357" spans="1:19" x14ac:dyDescent="0.25">
      <c r="A1357" s="219"/>
      <c r="B1357" s="219"/>
      <c r="C1357" s="219"/>
      <c r="D1357" s="219"/>
      <c r="E1357" s="219"/>
      <c r="F1357" s="219"/>
      <c r="G1357" s="219"/>
      <c r="H1357" s="219"/>
      <c r="I1357" s="248"/>
      <c r="J1357" s="219"/>
      <c r="K1357" s="219"/>
      <c r="L1357" s="219"/>
      <c r="M1357" s="219"/>
      <c r="N1357" s="219"/>
      <c r="O1357" s="219"/>
      <c r="P1357" s="219"/>
      <c r="Q1357" s="219"/>
      <c r="R1357" s="219"/>
      <c r="S1357" s="219"/>
    </row>
    <row r="1358" spans="1:19" x14ac:dyDescent="0.25">
      <c r="A1358" s="219"/>
      <c r="B1358" s="219"/>
      <c r="C1358" s="219"/>
      <c r="D1358" s="219"/>
      <c r="E1358" s="219"/>
      <c r="F1358" s="219"/>
      <c r="G1358" s="219"/>
      <c r="H1358" s="219"/>
      <c r="I1358" s="248"/>
      <c r="J1358" s="219"/>
      <c r="K1358" s="219"/>
      <c r="L1358" s="219"/>
      <c r="M1358" s="219"/>
      <c r="N1358" s="219"/>
      <c r="O1358" s="219"/>
      <c r="P1358" s="219"/>
      <c r="Q1358" s="219"/>
      <c r="R1358" s="219"/>
      <c r="S1358" s="219"/>
    </row>
    <row r="1359" spans="1:19" x14ac:dyDescent="0.25">
      <c r="A1359" s="219"/>
      <c r="B1359" s="219"/>
      <c r="C1359" s="219"/>
      <c r="D1359" s="219"/>
      <c r="E1359" s="219"/>
      <c r="F1359" s="219"/>
      <c r="G1359" s="219"/>
      <c r="H1359" s="219"/>
      <c r="I1359" s="248"/>
      <c r="J1359" s="219"/>
      <c r="K1359" s="219"/>
      <c r="L1359" s="219"/>
      <c r="M1359" s="219"/>
      <c r="N1359" s="219"/>
      <c r="O1359" s="219"/>
      <c r="P1359" s="219"/>
      <c r="Q1359" s="219"/>
      <c r="R1359" s="219"/>
      <c r="S1359" s="219"/>
    </row>
    <row r="1360" spans="1:19" x14ac:dyDescent="0.25">
      <c r="A1360" s="219"/>
      <c r="B1360" s="219"/>
      <c r="C1360" s="219"/>
      <c r="D1360" s="219"/>
      <c r="E1360" s="219"/>
      <c r="F1360" s="219"/>
      <c r="G1360" s="219"/>
      <c r="H1360" s="219"/>
      <c r="I1360" s="248"/>
      <c r="J1360" s="219"/>
      <c r="K1360" s="219"/>
      <c r="L1360" s="219"/>
      <c r="M1360" s="219"/>
      <c r="N1360" s="219"/>
      <c r="O1360" s="219"/>
      <c r="P1360" s="219"/>
      <c r="Q1360" s="219"/>
      <c r="R1360" s="219"/>
      <c r="S1360" s="219"/>
    </row>
    <row r="1361" spans="1:19" x14ac:dyDescent="0.25">
      <c r="A1361" s="219"/>
      <c r="B1361" s="219"/>
      <c r="C1361" s="219"/>
      <c r="D1361" s="219"/>
      <c r="E1361" s="219"/>
      <c r="F1361" s="219"/>
      <c r="G1361" s="219"/>
      <c r="H1361" s="219"/>
      <c r="I1361" s="248"/>
      <c r="J1361" s="219"/>
      <c r="K1361" s="219"/>
      <c r="L1361" s="219"/>
      <c r="M1361" s="219"/>
      <c r="N1361" s="219"/>
      <c r="O1361" s="219"/>
      <c r="P1361" s="219"/>
      <c r="Q1361" s="219"/>
      <c r="R1361" s="219"/>
      <c r="S1361" s="219"/>
    </row>
    <row r="1362" spans="1:19" x14ac:dyDescent="0.25">
      <c r="A1362" s="219"/>
      <c r="B1362" s="219"/>
      <c r="C1362" s="219"/>
      <c r="D1362" s="219"/>
      <c r="E1362" s="219"/>
      <c r="F1362" s="219"/>
      <c r="G1362" s="219"/>
      <c r="H1362" s="219"/>
      <c r="I1362" s="248"/>
      <c r="J1362" s="219"/>
      <c r="K1362" s="219"/>
      <c r="L1362" s="219"/>
      <c r="M1362" s="219"/>
      <c r="N1362" s="219"/>
      <c r="O1362" s="219"/>
      <c r="P1362" s="219"/>
      <c r="Q1362" s="219"/>
      <c r="R1362" s="219"/>
      <c r="S1362" s="219"/>
    </row>
    <row r="1363" spans="1:19" x14ac:dyDescent="0.25">
      <c r="A1363" s="219"/>
      <c r="B1363" s="219"/>
      <c r="C1363" s="219"/>
      <c r="D1363" s="219"/>
      <c r="E1363" s="219"/>
      <c r="F1363" s="219"/>
      <c r="G1363" s="219"/>
      <c r="H1363" s="219"/>
      <c r="I1363" s="248"/>
      <c r="J1363" s="219"/>
      <c r="K1363" s="219"/>
      <c r="L1363" s="219"/>
      <c r="M1363" s="219"/>
      <c r="N1363" s="219"/>
      <c r="O1363" s="219"/>
      <c r="P1363" s="219"/>
      <c r="Q1363" s="219"/>
      <c r="R1363" s="219"/>
      <c r="S1363" s="219"/>
    </row>
    <row r="1364" spans="1:19" x14ac:dyDescent="0.25">
      <c r="A1364" s="219"/>
      <c r="B1364" s="219"/>
      <c r="C1364" s="219"/>
      <c r="D1364" s="219"/>
      <c r="E1364" s="219"/>
      <c r="F1364" s="219"/>
      <c r="G1364" s="219"/>
      <c r="H1364" s="219"/>
      <c r="I1364" s="248"/>
      <c r="J1364" s="219"/>
      <c r="K1364" s="219"/>
      <c r="L1364" s="219"/>
      <c r="M1364" s="219"/>
      <c r="N1364" s="219"/>
      <c r="O1364" s="219"/>
      <c r="P1364" s="219"/>
      <c r="Q1364" s="219"/>
      <c r="R1364" s="219"/>
      <c r="S1364" s="219"/>
    </row>
    <row r="1365" spans="1:19" x14ac:dyDescent="0.25">
      <c r="A1365" s="219"/>
      <c r="B1365" s="219"/>
      <c r="C1365" s="219"/>
      <c r="D1365" s="219"/>
      <c r="E1365" s="219"/>
      <c r="F1365" s="219"/>
      <c r="G1365" s="219"/>
      <c r="H1365" s="219"/>
      <c r="I1365" s="248"/>
      <c r="J1365" s="219"/>
      <c r="K1365" s="219"/>
      <c r="L1365" s="219"/>
      <c r="M1365" s="219"/>
      <c r="N1365" s="219"/>
      <c r="O1365" s="219"/>
      <c r="P1365" s="219"/>
      <c r="Q1365" s="219"/>
      <c r="R1365" s="219"/>
      <c r="S1365" s="219"/>
    </row>
    <row r="1366" spans="1:19" x14ac:dyDescent="0.25">
      <c r="A1366" s="219"/>
      <c r="B1366" s="219"/>
      <c r="C1366" s="219"/>
      <c r="D1366" s="219"/>
      <c r="E1366" s="219"/>
      <c r="F1366" s="219"/>
      <c r="G1366" s="219"/>
      <c r="H1366" s="219"/>
      <c r="I1366" s="248"/>
      <c r="J1366" s="219"/>
      <c r="K1366" s="219"/>
      <c r="L1366" s="219"/>
      <c r="M1366" s="219"/>
      <c r="N1366" s="219"/>
      <c r="O1366" s="219"/>
      <c r="P1366" s="219"/>
      <c r="Q1366" s="219"/>
      <c r="R1366" s="219"/>
      <c r="S1366" s="219"/>
    </row>
    <row r="1367" spans="1:19" x14ac:dyDescent="0.25">
      <c r="A1367" s="219"/>
      <c r="B1367" s="219"/>
      <c r="C1367" s="219"/>
      <c r="D1367" s="219"/>
      <c r="E1367" s="219"/>
      <c r="F1367" s="219"/>
      <c r="G1367" s="219"/>
      <c r="H1367" s="219"/>
      <c r="I1367" s="248"/>
      <c r="J1367" s="219"/>
      <c r="K1367" s="219"/>
      <c r="L1367" s="219"/>
      <c r="M1367" s="219"/>
      <c r="N1367" s="219"/>
      <c r="O1367" s="219"/>
      <c r="P1367" s="219"/>
      <c r="Q1367" s="219"/>
      <c r="R1367" s="219"/>
      <c r="S1367" s="219"/>
    </row>
    <row r="1368" spans="1:19" x14ac:dyDescent="0.25">
      <c r="A1368" s="219"/>
      <c r="B1368" s="219"/>
      <c r="C1368" s="219"/>
      <c r="D1368" s="219"/>
      <c r="E1368" s="219"/>
      <c r="F1368" s="219"/>
      <c r="G1368" s="219"/>
      <c r="H1368" s="219"/>
      <c r="I1368" s="248"/>
      <c r="J1368" s="219"/>
      <c r="K1368" s="219"/>
      <c r="L1368" s="219"/>
      <c r="M1368" s="219"/>
      <c r="N1368" s="219"/>
      <c r="O1368" s="219"/>
      <c r="P1368" s="219"/>
      <c r="Q1368" s="219"/>
      <c r="R1368" s="219"/>
      <c r="S1368" s="219"/>
    </row>
    <row r="1369" spans="1:19" x14ac:dyDescent="0.25">
      <c r="A1369" s="219"/>
      <c r="B1369" s="219"/>
      <c r="C1369" s="219"/>
      <c r="D1369" s="219"/>
      <c r="E1369" s="219"/>
      <c r="F1369" s="219"/>
      <c r="G1369" s="219"/>
      <c r="H1369" s="219"/>
      <c r="I1369" s="248"/>
      <c r="J1369" s="219"/>
      <c r="K1369" s="219"/>
      <c r="L1369" s="219"/>
      <c r="M1369" s="219"/>
      <c r="N1369" s="219"/>
      <c r="O1369" s="219"/>
      <c r="P1369" s="219"/>
      <c r="Q1369" s="219"/>
      <c r="R1369" s="219"/>
      <c r="S1369" s="219"/>
    </row>
  </sheetData>
  <mergeCells count="18">
    <mergeCell ref="A1:B1"/>
    <mergeCell ref="S1:S2"/>
    <mergeCell ref="R1:R2"/>
    <mergeCell ref="N1:O1"/>
    <mergeCell ref="C1:D1"/>
    <mergeCell ref="E1:F1"/>
    <mergeCell ref="G1:H1"/>
    <mergeCell ref="L1:M1"/>
    <mergeCell ref="P1:Q1"/>
    <mergeCell ref="J1:K1"/>
    <mergeCell ref="I1:I2"/>
    <mergeCell ref="V1:X1"/>
    <mergeCell ref="Y1:Z1"/>
    <mergeCell ref="AZ1:BC1"/>
    <mergeCell ref="AO1:AU1"/>
    <mergeCell ref="BO1:BP1"/>
    <mergeCell ref="AV1:AY1"/>
    <mergeCell ref="AD1:AN1"/>
  </mergeCells>
  <dataValidations count="9">
    <dataValidation allowBlank="1" showErrorMessage="1" errorTitle="Ошибка!!" error="Значение не из списка." promptTitle="Скорость" prompt="по возрастанию производительности" sqref="T1"/>
    <dataValidation type="list" allowBlank="1" showInputMessage="1" showErrorMessage="1" sqref="BE2">
      <formula1>"310SE,FC51,212SE"</formula1>
    </dataValidation>
    <dataValidation type="list" allowBlank="1" showInputMessage="1" showErrorMessage="1" sqref="BD2">
      <formula1>"1,2,3"</formula1>
    </dataValidation>
    <dataValidation type="list" allowBlank="1" showInputMessage="1" showErrorMessage="1" sqref="AA75:AA77">
      <mc:AlternateContent xmlns:x12ac="http://schemas.microsoft.com/office/spreadsheetml/2011/1/ac" xmlns:mc="http://schemas.openxmlformats.org/markup-compatibility/2006">
        <mc:Choice Requires="x12ac">
          <x12ac:list>"No,Glycol,Rotor,Plate"</x12ac:list>
        </mc:Choice>
        <mc:Fallback>
          <formula1>"No,Glycol,Rotor,Plate"</formula1>
        </mc:Fallback>
      </mc:AlternateContent>
    </dataValidation>
    <dataValidation type="list" allowBlank="1" showInputMessage="1" showErrorMessage="1" sqref="AA3:AA74">
      <formula1>"No, Glycol, Rotor, Plate"</formula1>
    </dataValidation>
    <dataValidation type="list" allowBlank="1" showInputMessage="1" showErrorMessage="1" sqref="P3:P77">
      <formula1>"Exghaust,Intake,both,No"</formula1>
    </dataValidation>
    <dataValidation type="list" allowBlank="1" showInputMessage="1" showErrorMessage="1" sqref="AB13:AB77">
      <formula1>"0,1,2,3,4"</formula1>
    </dataValidation>
    <dataValidation type="list" allowBlank="1" showInputMessage="1" showErrorMessage="1" sqref="BH2">
      <formula1>"Нет, Температура обр, Прессостат, Полная"</formula1>
    </dataValidation>
    <dataValidation type="list" allowBlank="1" showInputMessage="1" showErrorMessage="1" sqref="BI2">
      <mc:AlternateContent xmlns:x12ac="http://schemas.microsoft.com/office/spreadsheetml/2011/1/ac" xmlns:mc="http://schemas.openxmlformats.org/markup-compatibility/2006">
        <mc:Choice Requires="x12ac">
          <x12ac:list>"Высокий &gt;0,6","Оптимальный ~0,5"," Низкий &gt;0,2"</x12ac:list>
        </mc:Choice>
        <mc:Fallback>
          <formula1>"Высокий &gt;0,6,Оптимальный ~0,5, Низкий &gt;0,2"</formula1>
        </mc:Fallback>
      </mc:AlternateContent>
    </dataValidation>
  </dataValidations>
  <pageMargins left="0.7" right="0.7" top="0.75" bottom="0.75" header="0.3" footer="0.3"/>
  <pageSetup paperSize="9" orientation="portrait" horizontalDpi="4294967293" verticalDpi="4294967293" r:id="rId1"/>
  <drawing r:id="rId2"/>
  <legacyDrawing r:id="rId3"/>
  <picture r:id="rId4"/>
  <controls>
    <mc:AlternateContent xmlns:mc="http://schemas.openxmlformats.org/markup-compatibility/2006">
      <mc:Choice Requires="x14">
        <control shapeId="4147" r:id="rId5" name="CheckBoxAlienFreqConverters">
          <controlPr autoLine="0" r:id="rId6">
            <anchor moveWithCells="1">
              <from>
                <xdr:col>55</xdr:col>
                <xdr:colOff>133350</xdr:colOff>
                <xdr:row>32</xdr:row>
                <xdr:rowOff>114300</xdr:rowOff>
              </from>
              <to>
                <xdr:col>59</xdr:col>
                <xdr:colOff>104775</xdr:colOff>
                <xdr:row>35</xdr:row>
                <xdr:rowOff>95250</xdr:rowOff>
              </to>
            </anchor>
          </controlPr>
        </control>
      </mc:Choice>
      <mc:Fallback>
        <control shapeId="4147" r:id="rId5" name="CheckBoxAlienFreqConverters"/>
      </mc:Fallback>
    </mc:AlternateContent>
    <mc:AlternateContent xmlns:mc="http://schemas.openxmlformats.org/markup-compatibility/2006">
      <mc:Choice Requires="x14">
        <control shapeId="4144" r:id="rId7" name="CheckBoxMotorHeatProtect">
          <controlPr autoLine="0" r:id="rId8">
            <anchor moveWithCells="1">
              <from>
                <xdr:col>55</xdr:col>
                <xdr:colOff>133350</xdr:colOff>
                <xdr:row>29</xdr:row>
                <xdr:rowOff>47625</xdr:rowOff>
              </from>
              <to>
                <xdr:col>59</xdr:col>
                <xdr:colOff>104775</xdr:colOff>
                <xdr:row>33</xdr:row>
                <xdr:rowOff>47625</xdr:rowOff>
              </to>
            </anchor>
          </controlPr>
        </control>
      </mc:Choice>
      <mc:Fallback>
        <control shapeId="4144" r:id="rId7" name="CheckBoxMotorHeatProtect"/>
      </mc:Fallback>
    </mc:AlternateContent>
    <mc:AlternateContent xmlns:mc="http://schemas.openxmlformats.org/markup-compatibility/2006">
      <mc:Choice Requires="x14">
        <control shapeId="4121" r:id="rId9" name="CommandButton3">
          <controlPr autoLine="0" r:id="rId10">
            <anchor moveWithCells="1">
              <from>
                <xdr:col>59</xdr:col>
                <xdr:colOff>361950</xdr:colOff>
                <xdr:row>13</xdr:row>
                <xdr:rowOff>114300</xdr:rowOff>
              </from>
              <to>
                <xdr:col>62</xdr:col>
                <xdr:colOff>428625</xdr:colOff>
                <xdr:row>16</xdr:row>
                <xdr:rowOff>57150</xdr:rowOff>
              </to>
            </anchor>
          </controlPr>
        </control>
      </mc:Choice>
      <mc:Fallback>
        <control shapeId="4121" r:id="rId9" name="CommandButton3"/>
      </mc:Fallback>
    </mc:AlternateContent>
    <mc:AlternateContent xmlns:mc="http://schemas.openxmlformats.org/markup-compatibility/2006">
      <mc:Choice Requires="x14">
        <control shapeId="4111" r:id="rId11" name="CheckBox9">
          <controlPr autoLine="0" autoPict="0" r:id="rId12">
            <anchor moveWithCells="1">
              <from>
                <xdr:col>55</xdr:col>
                <xdr:colOff>133350</xdr:colOff>
                <xdr:row>59</xdr:row>
                <xdr:rowOff>47625</xdr:rowOff>
              </from>
              <to>
                <xdr:col>59</xdr:col>
                <xdr:colOff>104775</xdr:colOff>
                <xdr:row>62</xdr:row>
                <xdr:rowOff>114300</xdr:rowOff>
              </to>
            </anchor>
          </controlPr>
        </control>
      </mc:Choice>
      <mc:Fallback>
        <control shapeId="4111" r:id="rId11" name="CheckBox9"/>
      </mc:Fallback>
    </mc:AlternateContent>
    <mc:AlternateContent xmlns:mc="http://schemas.openxmlformats.org/markup-compatibility/2006">
      <mc:Choice Requires="x14">
        <control shapeId="4097" r:id="rId13" name="CheckBox1">
          <controlPr autoLine="0" autoPict="0" r:id="rId14">
            <anchor moveWithCells="1">
              <from>
                <xdr:col>55</xdr:col>
                <xdr:colOff>133350</xdr:colOff>
                <xdr:row>35</xdr:row>
                <xdr:rowOff>171450</xdr:rowOff>
              </from>
              <to>
                <xdr:col>59</xdr:col>
                <xdr:colOff>104775</xdr:colOff>
                <xdr:row>39</xdr:row>
                <xdr:rowOff>47625</xdr:rowOff>
              </to>
            </anchor>
          </controlPr>
        </control>
      </mc:Choice>
      <mc:Fallback>
        <control shapeId="4097" r:id="rId13" name="CheckBox1"/>
      </mc:Fallback>
    </mc:AlternateContent>
    <mc:AlternateContent xmlns:mc="http://schemas.openxmlformats.org/markup-compatibility/2006">
      <mc:Choice Requires="x14">
        <control shapeId="4098" r:id="rId15" name="CheckBox2">
          <controlPr autoLine="0" autoPict="0" r:id="rId16">
            <anchor moveWithCells="1">
              <from>
                <xdr:col>55</xdr:col>
                <xdr:colOff>133350</xdr:colOff>
                <xdr:row>45</xdr:row>
                <xdr:rowOff>171450</xdr:rowOff>
              </from>
              <to>
                <xdr:col>59</xdr:col>
                <xdr:colOff>104775</xdr:colOff>
                <xdr:row>49</xdr:row>
                <xdr:rowOff>47625</xdr:rowOff>
              </to>
            </anchor>
          </controlPr>
        </control>
      </mc:Choice>
      <mc:Fallback>
        <control shapeId="4098" r:id="rId15" name="CheckBox2"/>
      </mc:Fallback>
    </mc:AlternateContent>
    <mc:AlternateContent xmlns:mc="http://schemas.openxmlformats.org/markup-compatibility/2006">
      <mc:Choice Requires="x14">
        <control shapeId="4099" r:id="rId17" name="CheckBoxResPump">
          <controlPr autoLine="0" autoPict="0" r:id="rId18">
            <anchor moveWithCells="1">
              <from>
                <xdr:col>55</xdr:col>
                <xdr:colOff>133350</xdr:colOff>
                <xdr:row>42</xdr:row>
                <xdr:rowOff>114300</xdr:rowOff>
              </from>
              <to>
                <xdr:col>59</xdr:col>
                <xdr:colOff>104775</xdr:colOff>
                <xdr:row>45</xdr:row>
                <xdr:rowOff>171450</xdr:rowOff>
              </to>
            </anchor>
          </controlPr>
        </control>
      </mc:Choice>
      <mc:Fallback>
        <control shapeId="4099" r:id="rId17" name="CheckBoxResPump"/>
      </mc:Fallback>
    </mc:AlternateContent>
    <mc:AlternateContent xmlns:mc="http://schemas.openxmlformats.org/markup-compatibility/2006">
      <mc:Choice Requires="x14">
        <control shapeId="4100" r:id="rId19" name="CheckBoxFireAlarm">
          <controlPr autoLine="0" r:id="rId20">
            <anchor moveWithCells="1">
              <from>
                <xdr:col>55</xdr:col>
                <xdr:colOff>133350</xdr:colOff>
                <xdr:row>12</xdr:row>
                <xdr:rowOff>114300</xdr:rowOff>
              </from>
              <to>
                <xdr:col>59</xdr:col>
                <xdr:colOff>104775</xdr:colOff>
                <xdr:row>16</xdr:row>
                <xdr:rowOff>114300</xdr:rowOff>
              </to>
            </anchor>
          </controlPr>
        </control>
      </mc:Choice>
      <mc:Fallback>
        <control shapeId="4100" r:id="rId19" name="CheckBoxFireAlarm"/>
      </mc:Fallback>
    </mc:AlternateContent>
    <mc:AlternateContent xmlns:mc="http://schemas.openxmlformats.org/markup-compatibility/2006">
      <mc:Choice Requires="x14">
        <control shapeId="4101" r:id="rId21" name="CheckBoxInOperSig">
          <controlPr autoLine="0" r:id="rId22">
            <anchor moveWithCells="1">
              <from>
                <xdr:col>55</xdr:col>
                <xdr:colOff>133350</xdr:colOff>
                <xdr:row>19</xdr:row>
                <xdr:rowOff>47625</xdr:rowOff>
              </from>
              <to>
                <xdr:col>59</xdr:col>
                <xdr:colOff>104775</xdr:colOff>
                <xdr:row>23</xdr:row>
                <xdr:rowOff>47625</xdr:rowOff>
              </to>
            </anchor>
          </controlPr>
        </control>
      </mc:Choice>
      <mc:Fallback>
        <control shapeId="4101" r:id="rId21" name="CheckBoxInOperSig"/>
      </mc:Fallback>
    </mc:AlternateContent>
    <mc:AlternateContent xmlns:mc="http://schemas.openxmlformats.org/markup-compatibility/2006">
      <mc:Choice Requires="x14">
        <control shapeId="4102" r:id="rId23" name="CheckBoxAlarmSig">
          <controlPr autoLine="0" r:id="rId24">
            <anchor moveWithCells="1">
              <from>
                <xdr:col>55</xdr:col>
                <xdr:colOff>133350</xdr:colOff>
                <xdr:row>15</xdr:row>
                <xdr:rowOff>171450</xdr:rowOff>
              </from>
              <to>
                <xdr:col>59</xdr:col>
                <xdr:colOff>104775</xdr:colOff>
                <xdr:row>19</xdr:row>
                <xdr:rowOff>171450</xdr:rowOff>
              </to>
            </anchor>
          </controlPr>
        </control>
      </mc:Choice>
      <mc:Fallback>
        <control shapeId="4102" r:id="rId23" name="CheckBoxAlarmSig"/>
      </mc:Fallback>
    </mc:AlternateContent>
    <mc:AlternateContent xmlns:mc="http://schemas.openxmlformats.org/markup-compatibility/2006">
      <mc:Choice Requires="x14">
        <control shapeId="4107" r:id="rId25" name="CommandButton1">
          <controlPr autoLine="0" r:id="rId26">
            <anchor moveWithCells="1">
              <from>
                <xdr:col>59</xdr:col>
                <xdr:colOff>361950</xdr:colOff>
                <xdr:row>6</xdr:row>
                <xdr:rowOff>180975</xdr:rowOff>
              </from>
              <to>
                <xdr:col>62</xdr:col>
                <xdr:colOff>428625</xdr:colOff>
                <xdr:row>9</xdr:row>
                <xdr:rowOff>114300</xdr:rowOff>
              </to>
            </anchor>
          </controlPr>
        </control>
      </mc:Choice>
      <mc:Fallback>
        <control shapeId="4107" r:id="rId25" name="CommandButton1"/>
      </mc:Fallback>
    </mc:AlternateContent>
    <mc:AlternateContent xmlns:mc="http://schemas.openxmlformats.org/markup-compatibility/2006">
      <mc:Choice Requires="x14">
        <control shapeId="4108" r:id="rId27" name="CommandButton2">
          <controlPr autoLine="0" r:id="rId28">
            <anchor moveWithCells="1">
              <from>
                <xdr:col>59</xdr:col>
                <xdr:colOff>361950</xdr:colOff>
                <xdr:row>10</xdr:row>
                <xdr:rowOff>47625</xdr:rowOff>
              </from>
              <to>
                <xdr:col>62</xdr:col>
                <xdr:colOff>428625</xdr:colOff>
                <xdr:row>12</xdr:row>
                <xdr:rowOff>180975</xdr:rowOff>
              </to>
            </anchor>
          </controlPr>
        </control>
      </mc:Choice>
      <mc:Fallback>
        <control shapeId="4108" r:id="rId27" name="CommandButton2"/>
      </mc:Fallback>
    </mc:AlternateContent>
    <mc:AlternateContent xmlns:mc="http://schemas.openxmlformats.org/markup-compatibility/2006">
      <mc:Choice Requires="x14">
        <control shapeId="4109" r:id="rId29" name="CheckBox7">
          <controlPr autoLine="0" r:id="rId30">
            <anchor moveWithCells="1">
              <from>
                <xdr:col>55</xdr:col>
                <xdr:colOff>133350</xdr:colOff>
                <xdr:row>22</xdr:row>
                <xdr:rowOff>114300</xdr:rowOff>
              </from>
              <to>
                <xdr:col>59</xdr:col>
                <xdr:colOff>104775</xdr:colOff>
                <xdr:row>26</xdr:row>
                <xdr:rowOff>114300</xdr:rowOff>
              </to>
            </anchor>
          </controlPr>
        </control>
      </mc:Choice>
      <mc:Fallback>
        <control shapeId="4109" r:id="rId29" name="CheckBox7"/>
      </mc:Fallback>
    </mc:AlternateContent>
    <mc:AlternateContent xmlns:mc="http://schemas.openxmlformats.org/markup-compatibility/2006">
      <mc:Choice Requires="x14">
        <control shapeId="4115" r:id="rId31" name="CheckBox10">
          <controlPr autoLine="0" r:id="rId32">
            <anchor moveWithCells="1">
              <from>
                <xdr:col>55</xdr:col>
                <xdr:colOff>133350</xdr:colOff>
                <xdr:row>25</xdr:row>
                <xdr:rowOff>171450</xdr:rowOff>
              </from>
              <to>
                <xdr:col>59</xdr:col>
                <xdr:colOff>104775</xdr:colOff>
                <xdr:row>29</xdr:row>
                <xdr:rowOff>171450</xdr:rowOff>
              </to>
            </anchor>
          </controlPr>
        </control>
      </mc:Choice>
      <mc:Fallback>
        <control shapeId="4115" r:id="rId31" name="CheckBox10"/>
      </mc:Fallback>
    </mc:AlternateContent>
    <mc:AlternateContent xmlns:mc="http://schemas.openxmlformats.org/markup-compatibility/2006">
      <mc:Choice Requires="x14">
        <control shapeId="4130" r:id="rId33" name="SCADA_CheckBox11">
          <controlPr autoLine="0" autoPict="0" r:id="rId34">
            <anchor moveWithCells="1">
              <from>
                <xdr:col>55</xdr:col>
                <xdr:colOff>133350</xdr:colOff>
                <xdr:row>2</xdr:row>
                <xdr:rowOff>114300</xdr:rowOff>
              </from>
              <to>
                <xdr:col>59</xdr:col>
                <xdr:colOff>104775</xdr:colOff>
                <xdr:row>6</xdr:row>
                <xdr:rowOff>104775</xdr:rowOff>
              </to>
            </anchor>
          </controlPr>
        </control>
      </mc:Choice>
      <mc:Fallback>
        <control shapeId="4130" r:id="rId33" name="SCADA_CheckBox11"/>
      </mc:Fallback>
    </mc:AlternateContent>
    <mc:AlternateContent xmlns:mc="http://schemas.openxmlformats.org/markup-compatibility/2006">
      <mc:Choice Requires="x14">
        <control shapeId="4131" r:id="rId35" name="METALL_CheckBox12">
          <controlPr autoLine="0" r:id="rId36">
            <anchor moveWithCells="1">
              <from>
                <xdr:col>55</xdr:col>
                <xdr:colOff>133350</xdr:colOff>
                <xdr:row>5</xdr:row>
                <xdr:rowOff>171450</xdr:rowOff>
              </from>
              <to>
                <xdr:col>59</xdr:col>
                <xdr:colOff>104775</xdr:colOff>
                <xdr:row>9</xdr:row>
                <xdr:rowOff>171450</xdr:rowOff>
              </to>
            </anchor>
          </controlPr>
        </control>
      </mc:Choice>
      <mc:Fallback>
        <control shapeId="4131" r:id="rId35" name="METALL_CheckBox12"/>
      </mc:Fallback>
    </mc:AlternateContent>
    <mc:AlternateContent xmlns:mc="http://schemas.openxmlformats.org/markup-compatibility/2006">
      <mc:Choice Requires="x14">
        <control shapeId="4132" r:id="rId37" name="ONLY172_CheckBox13">
          <controlPr autoLine="0" r:id="rId38">
            <anchor moveWithCells="1">
              <from>
                <xdr:col>55</xdr:col>
                <xdr:colOff>133350</xdr:colOff>
                <xdr:row>9</xdr:row>
                <xdr:rowOff>47625</xdr:rowOff>
              </from>
              <to>
                <xdr:col>59</xdr:col>
                <xdr:colOff>104775</xdr:colOff>
                <xdr:row>13</xdr:row>
                <xdr:rowOff>47625</xdr:rowOff>
              </to>
            </anchor>
          </controlPr>
        </control>
      </mc:Choice>
      <mc:Fallback>
        <control shapeId="4132" r:id="rId37" name="ONLY172_CheckBox13"/>
      </mc:Fallback>
    </mc:AlternateContent>
    <mc:AlternateContent xmlns:mc="http://schemas.openxmlformats.org/markup-compatibility/2006">
      <mc:Choice Requires="x14">
        <control shapeId="4134" r:id="rId39" name="CommandButton4">
          <controlPr autoLine="0" r:id="rId40">
            <anchor moveWithCells="1">
              <from>
                <xdr:col>59</xdr:col>
                <xdr:colOff>361950</xdr:colOff>
                <xdr:row>3</xdr:row>
                <xdr:rowOff>95250</xdr:rowOff>
              </from>
              <to>
                <xdr:col>62</xdr:col>
                <xdr:colOff>438150</xdr:colOff>
                <xdr:row>6</xdr:row>
                <xdr:rowOff>47625</xdr:rowOff>
              </to>
            </anchor>
          </controlPr>
        </control>
      </mc:Choice>
      <mc:Fallback>
        <control shapeId="4134" r:id="rId39" name="CommandButton4"/>
      </mc:Fallback>
    </mc:AlternateContent>
    <mc:AlternateContent xmlns:mc="http://schemas.openxmlformats.org/markup-compatibility/2006">
      <mc:Choice Requires="x14">
        <control shapeId="4145" r:id="rId41" name="CheckBoxSplitMixUnit">
          <controlPr autoLine="0" autoPict="0" r:id="rId42">
            <anchor moveWithCells="1">
              <from>
                <xdr:col>55</xdr:col>
                <xdr:colOff>133350</xdr:colOff>
                <xdr:row>39</xdr:row>
                <xdr:rowOff>47625</xdr:rowOff>
              </from>
              <to>
                <xdr:col>59</xdr:col>
                <xdr:colOff>104775</xdr:colOff>
                <xdr:row>42</xdr:row>
                <xdr:rowOff>114300</xdr:rowOff>
              </to>
            </anchor>
          </controlPr>
        </control>
      </mc:Choice>
      <mc:Fallback>
        <control shapeId="4145" r:id="rId41" name="CheckBoxSplitMixUnit"/>
      </mc:Fallback>
    </mc:AlternateContent>
    <mc:AlternateContent xmlns:mc="http://schemas.openxmlformats.org/markup-compatibility/2006">
      <mc:Choice Requires="x14">
        <control shapeId="4146" r:id="rId43" name="CheckBoxSchemeOut">
          <controlPr autoLine="0" autoPict="0" r:id="rId44">
            <anchor moveWithCells="1">
              <from>
                <xdr:col>55</xdr:col>
                <xdr:colOff>133350</xdr:colOff>
                <xdr:row>65</xdr:row>
                <xdr:rowOff>171450</xdr:rowOff>
              </from>
              <to>
                <xdr:col>59</xdr:col>
                <xdr:colOff>104775</xdr:colOff>
                <xdr:row>69</xdr:row>
                <xdr:rowOff>47625</xdr:rowOff>
              </to>
            </anchor>
          </controlPr>
        </control>
      </mc:Choice>
      <mc:Fallback>
        <control shapeId="4146" r:id="rId43" name="CheckBoxSchemeOut"/>
      </mc:Fallback>
    </mc:AlternateContent>
    <mc:AlternateContent xmlns:mc="http://schemas.openxmlformats.org/markup-compatibility/2006">
      <mc:Choice Requires="x14">
        <control shapeId="4148" r:id="rId45" name="CheckBoxByPassRecuPlate">
          <controlPr autoLine="0" r:id="rId46">
            <anchor moveWithCells="1">
              <from>
                <xdr:col>55</xdr:col>
                <xdr:colOff>133350</xdr:colOff>
                <xdr:row>49</xdr:row>
                <xdr:rowOff>47625</xdr:rowOff>
              </from>
              <to>
                <xdr:col>59</xdr:col>
                <xdr:colOff>104775</xdr:colOff>
                <xdr:row>52</xdr:row>
                <xdr:rowOff>114300</xdr:rowOff>
              </to>
            </anchor>
          </controlPr>
        </control>
      </mc:Choice>
      <mc:Fallback>
        <control shapeId="4148" r:id="rId45" name="CheckBoxByPassRecuPlate"/>
      </mc:Fallback>
    </mc:AlternateContent>
    <mc:AlternateContent xmlns:mc="http://schemas.openxmlformats.org/markup-compatibility/2006">
      <mc:Choice Requires="x14">
        <control shapeId="4149" r:id="rId47" name="CheckBoxAdbWideControl">
          <controlPr autoLine="0" autoPict="0" r:id="rId48">
            <anchor moveWithCells="1">
              <from>
                <xdr:col>55</xdr:col>
                <xdr:colOff>133350</xdr:colOff>
                <xdr:row>55</xdr:row>
                <xdr:rowOff>171450</xdr:rowOff>
              </from>
              <to>
                <xdr:col>59</xdr:col>
                <xdr:colOff>104775</xdr:colOff>
                <xdr:row>59</xdr:row>
                <xdr:rowOff>47625</xdr:rowOff>
              </to>
            </anchor>
          </controlPr>
        </control>
      </mc:Choice>
      <mc:Fallback>
        <control shapeId="4149" r:id="rId47" name="CheckBoxAdbWideControl"/>
      </mc:Fallback>
    </mc:AlternateContent>
    <mc:AlternateContent xmlns:mc="http://schemas.openxmlformats.org/markup-compatibility/2006">
      <mc:Choice Requires="x14">
        <control shapeId="4151" r:id="rId49" name="CheckBoxGasAirBypass">
          <controlPr autoLine="0" r:id="rId50">
            <anchor moveWithCells="1">
              <from>
                <xdr:col>55</xdr:col>
                <xdr:colOff>133350</xdr:colOff>
                <xdr:row>52</xdr:row>
                <xdr:rowOff>114300</xdr:rowOff>
              </from>
              <to>
                <xdr:col>59</xdr:col>
                <xdr:colOff>104775</xdr:colOff>
                <xdr:row>55</xdr:row>
                <xdr:rowOff>180975</xdr:rowOff>
              </to>
            </anchor>
          </controlPr>
        </control>
      </mc:Choice>
      <mc:Fallback>
        <control shapeId="4151" r:id="rId49" name="CheckBoxGasAirBypass"/>
      </mc:Fallback>
    </mc:AlternateContent>
    <mc:AlternateContent xmlns:mc="http://schemas.openxmlformats.org/markup-compatibility/2006">
      <mc:Choice Requires="x14">
        <control shapeId="4153" r:id="rId51" name="RestSignalsCheckBox">
          <controlPr autoLine="0" autoPict="0" r:id="rId52">
            <anchor moveWithCells="1">
              <from>
                <xdr:col>55</xdr:col>
                <xdr:colOff>133350</xdr:colOff>
                <xdr:row>62</xdr:row>
                <xdr:rowOff>114300</xdr:rowOff>
              </from>
              <to>
                <xdr:col>59</xdr:col>
                <xdr:colOff>104775</xdr:colOff>
                <xdr:row>65</xdr:row>
                <xdr:rowOff>171450</xdr:rowOff>
              </to>
            </anchor>
          </controlPr>
        </control>
      </mc:Choice>
      <mc:Fallback>
        <control shapeId="4153" r:id="rId51" name="RestSignalsCheck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8">
    <tabColor rgb="FF339966"/>
  </sheetPr>
  <dimension ref="A1:BOO245"/>
  <sheetViews>
    <sheetView zoomScale="85" zoomScaleNormal="85" workbookViewId="0">
      <pane ySplit="1" topLeftCell="A101" activePane="bottomLeft" state="frozen"/>
      <selection pane="bottomLeft" activeCell="H126" sqref="H126"/>
    </sheetView>
  </sheetViews>
  <sheetFormatPr defaultRowHeight="15" x14ac:dyDescent="0.25"/>
  <cols>
    <col min="1" max="1" width="6" style="309" bestFit="1" customWidth="1"/>
    <col min="2" max="3" width="3" style="309" bestFit="1" customWidth="1"/>
    <col min="4" max="5" width="11.85546875" style="309" bestFit="1" customWidth="1"/>
    <col min="6" max="6" width="10.85546875" style="309" bestFit="1" customWidth="1"/>
    <col min="7" max="7" width="7.7109375" style="309" bestFit="1" customWidth="1"/>
    <col min="8" max="8" width="10.85546875" style="309" bestFit="1" customWidth="1"/>
    <col min="9" max="9" width="13.85546875" style="309" bestFit="1" customWidth="1"/>
    <col min="10" max="10" width="10.7109375" style="309" bestFit="1" customWidth="1"/>
    <col min="11" max="11" width="10.85546875" style="309" bestFit="1" customWidth="1"/>
    <col min="12" max="12" width="7.7109375" style="309" bestFit="1" customWidth="1"/>
    <col min="13" max="13" width="10.5703125" style="179" bestFit="1" customWidth="1"/>
    <col min="14" max="14" width="21" style="400" customWidth="1"/>
    <col min="15" max="15" width="18.42578125" style="155" customWidth="1"/>
    <col min="16" max="16" width="23.28515625" style="155" customWidth="1"/>
    <col min="17" max="17" width="36" style="155" customWidth="1"/>
    <col min="18" max="18" width="25.85546875" style="395" customWidth="1"/>
    <col min="19" max="19" width="23.7109375" style="309" customWidth="1"/>
    <col min="20" max="20" width="14" style="309" customWidth="1"/>
    <col min="21" max="21" width="111.85546875" style="309" customWidth="1"/>
    <col min="22" max="23" width="9.140625" style="309" customWidth="1"/>
    <col min="24" max="24" width="18.42578125" style="309" bestFit="1" customWidth="1"/>
    <col min="25" max="33" width="9.140625" style="309" customWidth="1"/>
    <col min="34" max="39" width="11.7109375" style="309" bestFit="1" customWidth="1"/>
    <col min="40" max="40" width="17.42578125" style="309" customWidth="1"/>
    <col min="41" max="70" width="3.140625" style="309" bestFit="1" customWidth="1"/>
    <col min="71" max="75" width="3" style="309" bestFit="1" customWidth="1"/>
    <col min="76" max="76" width="14" style="309" bestFit="1" customWidth="1"/>
    <col min="77" max="80" width="13.85546875" style="309" bestFit="1" customWidth="1"/>
    <col min="81" max="81" width="13.85546875" style="309" customWidth="1"/>
    <col min="82" max="84" width="13.85546875" style="309" bestFit="1" customWidth="1"/>
    <col min="85" max="86" width="7.7109375" style="309" bestFit="1" customWidth="1"/>
    <col min="87" max="90" width="6" style="309" bestFit="1" customWidth="1"/>
    <col min="91" max="255" width="9.140625" style="309"/>
    <col min="256" max="256" width="16.7109375" style="309" customWidth="1"/>
    <col min="257" max="258" width="6.5703125" style="309" customWidth="1"/>
    <col min="259" max="259" width="5.5703125" style="309" customWidth="1"/>
    <col min="260" max="260" width="11.42578125" style="309" customWidth="1"/>
    <col min="261" max="261" width="7.85546875" style="309" customWidth="1"/>
    <col min="262" max="262" width="10.5703125" style="309" customWidth="1"/>
    <col min="263" max="263" width="8.7109375" style="309" customWidth="1"/>
    <col min="264" max="264" width="8.85546875" style="309" customWidth="1"/>
    <col min="265" max="265" width="7.140625" style="309" customWidth="1"/>
    <col min="266" max="266" width="8.5703125" style="309" customWidth="1"/>
    <col min="267" max="267" width="8.42578125" style="309" customWidth="1"/>
    <col min="268" max="268" width="7.85546875" style="309" customWidth="1"/>
    <col min="269" max="269" width="7.7109375" style="309" customWidth="1"/>
    <col min="270" max="270" width="15.28515625" style="309" customWidth="1"/>
    <col min="271" max="271" width="13.85546875" style="309" customWidth="1"/>
    <col min="272" max="272" width="18" style="309" customWidth="1"/>
    <col min="273" max="273" width="36" style="309" customWidth="1"/>
    <col min="274" max="274" width="13.7109375" style="309" customWidth="1"/>
    <col min="275" max="275" width="15.42578125" style="309" customWidth="1"/>
    <col min="276" max="276" width="9.140625" style="309"/>
    <col min="277" max="277" width="98.42578125" style="309" customWidth="1"/>
    <col min="278" max="511" width="9.140625" style="309"/>
    <col min="512" max="512" width="16.7109375" style="309" customWidth="1"/>
    <col min="513" max="514" width="6.5703125" style="309" customWidth="1"/>
    <col min="515" max="515" width="5.5703125" style="309" customWidth="1"/>
    <col min="516" max="516" width="11.42578125" style="309" customWidth="1"/>
    <col min="517" max="517" width="7.85546875" style="309" customWidth="1"/>
    <col min="518" max="518" width="10.5703125" style="309" customWidth="1"/>
    <col min="519" max="519" width="8.7109375" style="309" customWidth="1"/>
    <col min="520" max="520" width="8.85546875" style="309" customWidth="1"/>
    <col min="521" max="521" width="7.140625" style="309" customWidth="1"/>
    <col min="522" max="522" width="8.5703125" style="309" customWidth="1"/>
    <col min="523" max="523" width="8.42578125" style="309" customWidth="1"/>
    <col min="524" max="524" width="7.85546875" style="309" customWidth="1"/>
    <col min="525" max="525" width="7.7109375" style="309" customWidth="1"/>
    <col min="526" max="526" width="15.28515625" style="309" customWidth="1"/>
    <col min="527" max="527" width="13.85546875" style="309" customWidth="1"/>
    <col min="528" max="528" width="18" style="309" customWidth="1"/>
    <col min="529" max="529" width="36" style="309" customWidth="1"/>
    <col min="530" max="530" width="13.7109375" style="309" customWidth="1"/>
    <col min="531" max="531" width="15.42578125" style="309" customWidth="1"/>
    <col min="532" max="532" width="9.140625" style="309"/>
    <col min="533" max="533" width="98.42578125" style="309" customWidth="1"/>
    <col min="534" max="767" width="9.140625" style="309"/>
    <col min="768" max="768" width="16.7109375" style="309" customWidth="1"/>
    <col min="769" max="770" width="6.5703125" style="309" customWidth="1"/>
    <col min="771" max="771" width="5.5703125" style="309" customWidth="1"/>
    <col min="772" max="772" width="11.42578125" style="309" customWidth="1"/>
    <col min="773" max="773" width="7.85546875" style="309" customWidth="1"/>
    <col min="774" max="774" width="10.5703125" style="309" customWidth="1"/>
    <col min="775" max="775" width="8.7109375" style="309" customWidth="1"/>
    <col min="776" max="776" width="8.85546875" style="309" customWidth="1"/>
    <col min="777" max="777" width="7.140625" style="309" customWidth="1"/>
    <col min="778" max="778" width="8.5703125" style="309" customWidth="1"/>
    <col min="779" max="779" width="8.42578125" style="309" customWidth="1"/>
    <col min="780" max="780" width="7.85546875" style="309" customWidth="1"/>
    <col min="781" max="781" width="7.7109375" style="309" customWidth="1"/>
    <col min="782" max="782" width="15.28515625" style="309" customWidth="1"/>
    <col min="783" max="783" width="13.85546875" style="309" customWidth="1"/>
    <col min="784" max="784" width="18" style="309" customWidth="1"/>
    <col min="785" max="785" width="36" style="309" customWidth="1"/>
    <col min="786" max="786" width="13.7109375" style="309" customWidth="1"/>
    <col min="787" max="787" width="15.42578125" style="309" customWidth="1"/>
    <col min="788" max="788" width="9.140625" style="309"/>
    <col min="789" max="789" width="98.42578125" style="309" customWidth="1"/>
    <col min="790" max="1023" width="9.140625" style="309"/>
    <col min="1024" max="1024" width="16.7109375" style="309" customWidth="1"/>
    <col min="1025" max="1026" width="6.5703125" style="309" customWidth="1"/>
    <col min="1027" max="1027" width="5.5703125" style="309" customWidth="1"/>
    <col min="1028" max="1028" width="11.42578125" style="309" customWidth="1"/>
    <col min="1029" max="1029" width="7.85546875" style="309" customWidth="1"/>
    <col min="1030" max="1030" width="10.5703125" style="309" customWidth="1"/>
    <col min="1031" max="1031" width="8.7109375" style="309" customWidth="1"/>
    <col min="1032" max="1032" width="8.85546875" style="309" customWidth="1"/>
    <col min="1033" max="1033" width="7.140625" style="309" customWidth="1"/>
    <col min="1034" max="1034" width="8.5703125" style="309" customWidth="1"/>
    <col min="1035" max="1035" width="8.42578125" style="309" customWidth="1"/>
    <col min="1036" max="1036" width="7.85546875" style="309" customWidth="1"/>
    <col min="1037" max="1037" width="7.7109375" style="309" customWidth="1"/>
    <col min="1038" max="1038" width="15.28515625" style="309" customWidth="1"/>
    <col min="1039" max="1039" width="13.85546875" style="309" customWidth="1"/>
    <col min="1040" max="1040" width="18" style="309" customWidth="1"/>
    <col min="1041" max="1041" width="36" style="309" customWidth="1"/>
    <col min="1042" max="1042" width="13.7109375" style="309" customWidth="1"/>
    <col min="1043" max="1043" width="15.42578125" style="309" customWidth="1"/>
    <col min="1044" max="1044" width="9.140625" style="309"/>
    <col min="1045" max="1045" width="98.42578125" style="309" customWidth="1"/>
    <col min="1046" max="1279" width="9.140625" style="309"/>
    <col min="1280" max="1280" width="16.7109375" style="309" customWidth="1"/>
    <col min="1281" max="1282" width="6.5703125" style="309" customWidth="1"/>
    <col min="1283" max="1283" width="5.5703125" style="309" customWidth="1"/>
    <col min="1284" max="1284" width="11.42578125" style="309" customWidth="1"/>
    <col min="1285" max="1285" width="7.85546875" style="309" customWidth="1"/>
    <col min="1286" max="1286" width="10.5703125" style="309" customWidth="1"/>
    <col min="1287" max="1287" width="8.7109375" style="309" customWidth="1"/>
    <col min="1288" max="1288" width="8.85546875" style="309" customWidth="1"/>
    <col min="1289" max="1289" width="7.140625" style="309" customWidth="1"/>
    <col min="1290" max="1290" width="8.5703125" style="309" customWidth="1"/>
    <col min="1291" max="1291" width="8.42578125" style="309" customWidth="1"/>
    <col min="1292" max="1292" width="7.85546875" style="309" customWidth="1"/>
    <col min="1293" max="1293" width="7.7109375" style="309" customWidth="1"/>
    <col min="1294" max="1294" width="15.28515625" style="309" customWidth="1"/>
    <col min="1295" max="1295" width="13.85546875" style="309" customWidth="1"/>
    <col min="1296" max="1296" width="18" style="309" customWidth="1"/>
    <col min="1297" max="1297" width="36" style="309" customWidth="1"/>
    <col min="1298" max="1298" width="13.7109375" style="309" customWidth="1"/>
    <col min="1299" max="1299" width="15.42578125" style="309" customWidth="1"/>
    <col min="1300" max="1300" width="9.140625" style="309"/>
    <col min="1301" max="1301" width="98.42578125" style="309" customWidth="1"/>
    <col min="1302" max="1535" width="9.140625" style="309"/>
    <col min="1536" max="1536" width="16.7109375" style="309" customWidth="1"/>
    <col min="1537" max="1538" width="6.5703125" style="309" customWidth="1"/>
    <col min="1539" max="1539" width="5.5703125" style="309" customWidth="1"/>
    <col min="1540" max="1540" width="11.42578125" style="309" customWidth="1"/>
    <col min="1541" max="1541" width="7.85546875" style="309" customWidth="1"/>
    <col min="1542" max="1542" width="10.5703125" style="309" customWidth="1"/>
    <col min="1543" max="1543" width="8.7109375" style="309" customWidth="1"/>
    <col min="1544" max="1544" width="8.85546875" style="309" customWidth="1"/>
    <col min="1545" max="1545" width="7.140625" style="309" customWidth="1"/>
    <col min="1546" max="1546" width="8.5703125" style="309" customWidth="1"/>
    <col min="1547" max="1547" width="8.42578125" style="309" customWidth="1"/>
    <col min="1548" max="1548" width="7.85546875" style="309" customWidth="1"/>
    <col min="1549" max="1549" width="7.7109375" style="309" customWidth="1"/>
    <col min="1550" max="1550" width="15.28515625" style="309" customWidth="1"/>
    <col min="1551" max="1551" width="13.85546875" style="309" customWidth="1"/>
    <col min="1552" max="1552" width="18" style="309" customWidth="1"/>
    <col min="1553" max="1553" width="36" style="309" customWidth="1"/>
    <col min="1554" max="1554" width="13.7109375" style="309" customWidth="1"/>
    <col min="1555" max="1555" width="15.42578125" style="309" customWidth="1"/>
    <col min="1556" max="1556" width="9.140625" style="309"/>
    <col min="1557" max="1557" width="98.42578125" style="309" customWidth="1"/>
    <col min="1558" max="1791" width="9.140625" style="309"/>
    <col min="1792" max="1792" width="16.7109375" style="309" customWidth="1"/>
    <col min="1793" max="1794" width="6.5703125" style="309" customWidth="1"/>
    <col min="1795" max="1795" width="5.5703125" style="309" customWidth="1"/>
    <col min="1796" max="1796" width="11.42578125" style="309" customWidth="1"/>
    <col min="1797" max="1797" width="7.85546875" style="309" customWidth="1"/>
    <col min="1798" max="1798" width="10.5703125" style="309" customWidth="1"/>
    <col min="1799" max="1799" width="8.7109375" style="309" customWidth="1"/>
    <col min="1800" max="1800" width="8.85546875" style="309" customWidth="1"/>
    <col min="1801" max="1801" width="7.140625" style="309" customWidth="1"/>
    <col min="1802" max="1802" width="8.5703125" style="309" customWidth="1"/>
    <col min="1803" max="1803" width="8.42578125" style="309" customWidth="1"/>
    <col min="1804" max="1804" width="7.85546875" style="309" customWidth="1"/>
    <col min="1805" max="1805" width="7.7109375" style="309" customWidth="1"/>
    <col min="1806" max="1806" width="15.28515625" style="309" customWidth="1"/>
    <col min="1807" max="1807" width="13.85546875" style="309" customWidth="1"/>
    <col min="1808" max="1808" width="18" style="309" customWidth="1"/>
    <col min="1809" max="1809" width="36" style="309" customWidth="1"/>
    <col min="1810" max="1810" width="13.7109375" style="309" customWidth="1"/>
    <col min="1811" max="1811" width="15.42578125" style="309" customWidth="1"/>
    <col min="1812" max="1812" width="9.140625" style="309"/>
    <col min="1813" max="1813" width="98.42578125" style="309" customWidth="1"/>
    <col min="1814" max="2047" width="9.140625" style="309"/>
    <col min="2048" max="2048" width="16.7109375" style="309" customWidth="1"/>
    <col min="2049" max="2050" width="6.5703125" style="309" customWidth="1"/>
    <col min="2051" max="2051" width="5.5703125" style="309" customWidth="1"/>
    <col min="2052" max="2052" width="11.42578125" style="309" customWidth="1"/>
    <col min="2053" max="2053" width="7.85546875" style="309" customWidth="1"/>
    <col min="2054" max="2054" width="10.5703125" style="309" customWidth="1"/>
    <col min="2055" max="2055" width="8.7109375" style="309" customWidth="1"/>
    <col min="2056" max="2056" width="8.85546875" style="309" customWidth="1"/>
    <col min="2057" max="2057" width="7.140625" style="309" customWidth="1"/>
    <col min="2058" max="2058" width="8.5703125" style="309" customWidth="1"/>
    <col min="2059" max="2059" width="8.42578125" style="309" customWidth="1"/>
    <col min="2060" max="2060" width="7.85546875" style="309" customWidth="1"/>
    <col min="2061" max="2061" width="7.7109375" style="309" customWidth="1"/>
    <col min="2062" max="2062" width="15.28515625" style="309" customWidth="1"/>
    <col min="2063" max="2063" width="13.85546875" style="309" customWidth="1"/>
    <col min="2064" max="2064" width="18" style="309" customWidth="1"/>
    <col min="2065" max="2065" width="36" style="309" customWidth="1"/>
    <col min="2066" max="2066" width="13.7109375" style="309" customWidth="1"/>
    <col min="2067" max="2067" width="15.42578125" style="309" customWidth="1"/>
    <col min="2068" max="2068" width="9.140625" style="309"/>
    <col min="2069" max="2069" width="98.42578125" style="309" customWidth="1"/>
    <col min="2070" max="2303" width="9.140625" style="309"/>
    <col min="2304" max="2304" width="16.7109375" style="309" customWidth="1"/>
    <col min="2305" max="2306" width="6.5703125" style="309" customWidth="1"/>
    <col min="2307" max="2307" width="5.5703125" style="309" customWidth="1"/>
    <col min="2308" max="2308" width="11.42578125" style="309" customWidth="1"/>
    <col min="2309" max="2309" width="7.85546875" style="309" customWidth="1"/>
    <col min="2310" max="2310" width="10.5703125" style="309" customWidth="1"/>
    <col min="2311" max="2311" width="8.7109375" style="309" customWidth="1"/>
    <col min="2312" max="2312" width="8.85546875" style="309" customWidth="1"/>
    <col min="2313" max="2313" width="7.140625" style="309" customWidth="1"/>
    <col min="2314" max="2314" width="8.5703125" style="309" customWidth="1"/>
    <col min="2315" max="2315" width="8.42578125" style="309" customWidth="1"/>
    <col min="2316" max="2316" width="7.85546875" style="309" customWidth="1"/>
    <col min="2317" max="2317" width="7.7109375" style="309" customWidth="1"/>
    <col min="2318" max="2318" width="15.28515625" style="309" customWidth="1"/>
    <col min="2319" max="2319" width="13.85546875" style="309" customWidth="1"/>
    <col min="2320" max="2320" width="18" style="309" customWidth="1"/>
    <col min="2321" max="2321" width="36" style="309" customWidth="1"/>
    <col min="2322" max="2322" width="13.7109375" style="309" customWidth="1"/>
    <col min="2323" max="2323" width="15.42578125" style="309" customWidth="1"/>
    <col min="2324" max="2324" width="9.140625" style="309"/>
    <col min="2325" max="2325" width="98.42578125" style="309" customWidth="1"/>
    <col min="2326" max="2559" width="9.140625" style="309"/>
    <col min="2560" max="2560" width="16.7109375" style="309" customWidth="1"/>
    <col min="2561" max="2562" width="6.5703125" style="309" customWidth="1"/>
    <col min="2563" max="2563" width="5.5703125" style="309" customWidth="1"/>
    <col min="2564" max="2564" width="11.42578125" style="309" customWidth="1"/>
    <col min="2565" max="2565" width="7.85546875" style="309" customWidth="1"/>
    <col min="2566" max="2566" width="10.5703125" style="309" customWidth="1"/>
    <col min="2567" max="2567" width="8.7109375" style="309" customWidth="1"/>
    <col min="2568" max="2568" width="8.85546875" style="309" customWidth="1"/>
    <col min="2569" max="2569" width="7.140625" style="309" customWidth="1"/>
    <col min="2570" max="2570" width="8.5703125" style="309" customWidth="1"/>
    <col min="2571" max="2571" width="8.42578125" style="309" customWidth="1"/>
    <col min="2572" max="2572" width="7.85546875" style="309" customWidth="1"/>
    <col min="2573" max="2573" width="7.7109375" style="309" customWidth="1"/>
    <col min="2574" max="2574" width="15.28515625" style="309" customWidth="1"/>
    <col min="2575" max="2575" width="13.85546875" style="309" customWidth="1"/>
    <col min="2576" max="2576" width="18" style="309" customWidth="1"/>
    <col min="2577" max="2577" width="36" style="309" customWidth="1"/>
    <col min="2578" max="2578" width="13.7109375" style="309" customWidth="1"/>
    <col min="2579" max="2579" width="15.42578125" style="309" customWidth="1"/>
    <col min="2580" max="2580" width="9.140625" style="309"/>
    <col min="2581" max="2581" width="98.42578125" style="309" customWidth="1"/>
    <col min="2582" max="2815" width="9.140625" style="309"/>
    <col min="2816" max="2816" width="16.7109375" style="309" customWidth="1"/>
    <col min="2817" max="2818" width="6.5703125" style="309" customWidth="1"/>
    <col min="2819" max="2819" width="5.5703125" style="309" customWidth="1"/>
    <col min="2820" max="2820" width="11.42578125" style="309" customWidth="1"/>
    <col min="2821" max="2821" width="7.85546875" style="309" customWidth="1"/>
    <col min="2822" max="2822" width="10.5703125" style="309" customWidth="1"/>
    <col min="2823" max="2823" width="8.7109375" style="309" customWidth="1"/>
    <col min="2824" max="2824" width="8.85546875" style="309" customWidth="1"/>
    <col min="2825" max="2825" width="7.140625" style="309" customWidth="1"/>
    <col min="2826" max="2826" width="8.5703125" style="309" customWidth="1"/>
    <col min="2827" max="2827" width="8.42578125" style="309" customWidth="1"/>
    <col min="2828" max="2828" width="7.85546875" style="309" customWidth="1"/>
    <col min="2829" max="2829" width="7.7109375" style="309" customWidth="1"/>
    <col min="2830" max="2830" width="15.28515625" style="309" customWidth="1"/>
    <col min="2831" max="2831" width="13.85546875" style="309" customWidth="1"/>
    <col min="2832" max="2832" width="18" style="309" customWidth="1"/>
    <col min="2833" max="2833" width="36" style="309" customWidth="1"/>
    <col min="2834" max="2834" width="13.7109375" style="309" customWidth="1"/>
    <col min="2835" max="2835" width="15.42578125" style="309" customWidth="1"/>
    <col min="2836" max="2836" width="9.140625" style="309"/>
    <col min="2837" max="2837" width="98.42578125" style="309" customWidth="1"/>
    <col min="2838" max="3071" width="9.140625" style="309"/>
    <col min="3072" max="3072" width="16.7109375" style="309" customWidth="1"/>
    <col min="3073" max="3074" width="6.5703125" style="309" customWidth="1"/>
    <col min="3075" max="3075" width="5.5703125" style="309" customWidth="1"/>
    <col min="3076" max="3076" width="11.42578125" style="309" customWidth="1"/>
    <col min="3077" max="3077" width="7.85546875" style="309" customWidth="1"/>
    <col min="3078" max="3078" width="10.5703125" style="309" customWidth="1"/>
    <col min="3079" max="3079" width="8.7109375" style="309" customWidth="1"/>
    <col min="3080" max="3080" width="8.85546875" style="309" customWidth="1"/>
    <col min="3081" max="3081" width="7.140625" style="309" customWidth="1"/>
    <col min="3082" max="3082" width="8.5703125" style="309" customWidth="1"/>
    <col min="3083" max="3083" width="8.42578125" style="309" customWidth="1"/>
    <col min="3084" max="3084" width="7.85546875" style="309" customWidth="1"/>
    <col min="3085" max="3085" width="7.7109375" style="309" customWidth="1"/>
    <col min="3086" max="3086" width="15.28515625" style="309" customWidth="1"/>
    <col min="3087" max="3087" width="13.85546875" style="309" customWidth="1"/>
    <col min="3088" max="3088" width="18" style="309" customWidth="1"/>
    <col min="3089" max="3089" width="36" style="309" customWidth="1"/>
    <col min="3090" max="3090" width="13.7109375" style="309" customWidth="1"/>
    <col min="3091" max="3091" width="15.42578125" style="309" customWidth="1"/>
    <col min="3092" max="3092" width="9.140625" style="309"/>
    <col min="3093" max="3093" width="98.42578125" style="309" customWidth="1"/>
    <col min="3094" max="3327" width="9.140625" style="309"/>
    <col min="3328" max="3328" width="16.7109375" style="309" customWidth="1"/>
    <col min="3329" max="3330" width="6.5703125" style="309" customWidth="1"/>
    <col min="3331" max="3331" width="5.5703125" style="309" customWidth="1"/>
    <col min="3332" max="3332" width="11.42578125" style="309" customWidth="1"/>
    <col min="3333" max="3333" width="7.85546875" style="309" customWidth="1"/>
    <col min="3334" max="3334" width="10.5703125" style="309" customWidth="1"/>
    <col min="3335" max="3335" width="8.7109375" style="309" customWidth="1"/>
    <col min="3336" max="3336" width="8.85546875" style="309" customWidth="1"/>
    <col min="3337" max="3337" width="7.140625" style="309" customWidth="1"/>
    <col min="3338" max="3338" width="8.5703125" style="309" customWidth="1"/>
    <col min="3339" max="3339" width="8.42578125" style="309" customWidth="1"/>
    <col min="3340" max="3340" width="7.85546875" style="309" customWidth="1"/>
    <col min="3341" max="3341" width="7.7109375" style="309" customWidth="1"/>
    <col min="3342" max="3342" width="15.28515625" style="309" customWidth="1"/>
    <col min="3343" max="3343" width="13.85546875" style="309" customWidth="1"/>
    <col min="3344" max="3344" width="18" style="309" customWidth="1"/>
    <col min="3345" max="3345" width="36" style="309" customWidth="1"/>
    <col min="3346" max="3346" width="13.7109375" style="309" customWidth="1"/>
    <col min="3347" max="3347" width="15.42578125" style="309" customWidth="1"/>
    <col min="3348" max="3348" width="9.140625" style="309"/>
    <col min="3349" max="3349" width="98.42578125" style="309" customWidth="1"/>
    <col min="3350" max="3583" width="9.140625" style="309"/>
    <col min="3584" max="3584" width="16.7109375" style="309" customWidth="1"/>
    <col min="3585" max="3586" width="6.5703125" style="309" customWidth="1"/>
    <col min="3587" max="3587" width="5.5703125" style="309" customWidth="1"/>
    <col min="3588" max="3588" width="11.42578125" style="309" customWidth="1"/>
    <col min="3589" max="3589" width="7.85546875" style="309" customWidth="1"/>
    <col min="3590" max="3590" width="10.5703125" style="309" customWidth="1"/>
    <col min="3591" max="3591" width="8.7109375" style="309" customWidth="1"/>
    <col min="3592" max="3592" width="8.85546875" style="309" customWidth="1"/>
    <col min="3593" max="3593" width="7.140625" style="309" customWidth="1"/>
    <col min="3594" max="3594" width="8.5703125" style="309" customWidth="1"/>
    <col min="3595" max="3595" width="8.42578125" style="309" customWidth="1"/>
    <col min="3596" max="3596" width="7.85546875" style="309" customWidth="1"/>
    <col min="3597" max="3597" width="7.7109375" style="309" customWidth="1"/>
    <col min="3598" max="3598" width="15.28515625" style="309" customWidth="1"/>
    <col min="3599" max="3599" width="13.85546875" style="309" customWidth="1"/>
    <col min="3600" max="3600" width="18" style="309" customWidth="1"/>
    <col min="3601" max="3601" width="36" style="309" customWidth="1"/>
    <col min="3602" max="3602" width="13.7109375" style="309" customWidth="1"/>
    <col min="3603" max="3603" width="15.42578125" style="309" customWidth="1"/>
    <col min="3604" max="3604" width="9.140625" style="309"/>
    <col min="3605" max="3605" width="98.42578125" style="309" customWidth="1"/>
    <col min="3606" max="3839" width="9.140625" style="309"/>
    <col min="3840" max="3840" width="16.7109375" style="309" customWidth="1"/>
    <col min="3841" max="3842" width="6.5703125" style="309" customWidth="1"/>
    <col min="3843" max="3843" width="5.5703125" style="309" customWidth="1"/>
    <col min="3844" max="3844" width="11.42578125" style="309" customWidth="1"/>
    <col min="3845" max="3845" width="7.85546875" style="309" customWidth="1"/>
    <col min="3846" max="3846" width="10.5703125" style="309" customWidth="1"/>
    <col min="3847" max="3847" width="8.7109375" style="309" customWidth="1"/>
    <col min="3848" max="3848" width="8.85546875" style="309" customWidth="1"/>
    <col min="3849" max="3849" width="7.140625" style="309" customWidth="1"/>
    <col min="3850" max="3850" width="8.5703125" style="309" customWidth="1"/>
    <col min="3851" max="3851" width="8.42578125" style="309" customWidth="1"/>
    <col min="3852" max="3852" width="7.85546875" style="309" customWidth="1"/>
    <col min="3853" max="3853" width="7.7109375" style="309" customWidth="1"/>
    <col min="3854" max="3854" width="15.28515625" style="309" customWidth="1"/>
    <col min="3855" max="3855" width="13.85546875" style="309" customWidth="1"/>
    <col min="3856" max="3856" width="18" style="309" customWidth="1"/>
    <col min="3857" max="3857" width="36" style="309" customWidth="1"/>
    <col min="3858" max="3858" width="13.7109375" style="309" customWidth="1"/>
    <col min="3859" max="3859" width="15.42578125" style="309" customWidth="1"/>
    <col min="3860" max="3860" width="9.140625" style="309"/>
    <col min="3861" max="3861" width="98.42578125" style="309" customWidth="1"/>
    <col min="3862" max="4095" width="9.140625" style="309"/>
    <col min="4096" max="4096" width="16.7109375" style="309" customWidth="1"/>
    <col min="4097" max="4098" width="6.5703125" style="309" customWidth="1"/>
    <col min="4099" max="4099" width="5.5703125" style="309" customWidth="1"/>
    <col min="4100" max="4100" width="11.42578125" style="309" customWidth="1"/>
    <col min="4101" max="4101" width="7.85546875" style="309" customWidth="1"/>
    <col min="4102" max="4102" width="10.5703125" style="309" customWidth="1"/>
    <col min="4103" max="4103" width="8.7109375" style="309" customWidth="1"/>
    <col min="4104" max="4104" width="8.85546875" style="309" customWidth="1"/>
    <col min="4105" max="4105" width="7.140625" style="309" customWidth="1"/>
    <col min="4106" max="4106" width="8.5703125" style="309" customWidth="1"/>
    <col min="4107" max="4107" width="8.42578125" style="309" customWidth="1"/>
    <col min="4108" max="4108" width="7.85546875" style="309" customWidth="1"/>
    <col min="4109" max="4109" width="7.7109375" style="309" customWidth="1"/>
    <col min="4110" max="4110" width="15.28515625" style="309" customWidth="1"/>
    <col min="4111" max="4111" width="13.85546875" style="309" customWidth="1"/>
    <col min="4112" max="4112" width="18" style="309" customWidth="1"/>
    <col min="4113" max="4113" width="36" style="309" customWidth="1"/>
    <col min="4114" max="4114" width="13.7109375" style="309" customWidth="1"/>
    <col min="4115" max="4115" width="15.42578125" style="309" customWidth="1"/>
    <col min="4116" max="4116" width="9.140625" style="309"/>
    <col min="4117" max="4117" width="98.42578125" style="309" customWidth="1"/>
    <col min="4118" max="4351" width="9.140625" style="309"/>
    <col min="4352" max="4352" width="16.7109375" style="309" customWidth="1"/>
    <col min="4353" max="4354" width="6.5703125" style="309" customWidth="1"/>
    <col min="4355" max="4355" width="5.5703125" style="309" customWidth="1"/>
    <col min="4356" max="4356" width="11.42578125" style="309" customWidth="1"/>
    <col min="4357" max="4357" width="7.85546875" style="309" customWidth="1"/>
    <col min="4358" max="4358" width="10.5703125" style="309" customWidth="1"/>
    <col min="4359" max="4359" width="8.7109375" style="309" customWidth="1"/>
    <col min="4360" max="4360" width="8.85546875" style="309" customWidth="1"/>
    <col min="4361" max="4361" width="7.140625" style="309" customWidth="1"/>
    <col min="4362" max="4362" width="8.5703125" style="309" customWidth="1"/>
    <col min="4363" max="4363" width="8.42578125" style="309" customWidth="1"/>
    <col min="4364" max="4364" width="7.85546875" style="309" customWidth="1"/>
    <col min="4365" max="4365" width="7.7109375" style="309" customWidth="1"/>
    <col min="4366" max="4366" width="15.28515625" style="309" customWidth="1"/>
    <col min="4367" max="4367" width="13.85546875" style="309" customWidth="1"/>
    <col min="4368" max="4368" width="18" style="309" customWidth="1"/>
    <col min="4369" max="4369" width="36" style="309" customWidth="1"/>
    <col min="4370" max="4370" width="13.7109375" style="309" customWidth="1"/>
    <col min="4371" max="4371" width="15.42578125" style="309" customWidth="1"/>
    <col min="4372" max="4372" width="9.140625" style="309"/>
    <col min="4373" max="4373" width="98.42578125" style="309" customWidth="1"/>
    <col min="4374" max="4607" width="9.140625" style="309"/>
    <col min="4608" max="4608" width="16.7109375" style="309" customWidth="1"/>
    <col min="4609" max="4610" width="6.5703125" style="309" customWidth="1"/>
    <col min="4611" max="4611" width="5.5703125" style="309" customWidth="1"/>
    <col min="4612" max="4612" width="11.42578125" style="309" customWidth="1"/>
    <col min="4613" max="4613" width="7.85546875" style="309" customWidth="1"/>
    <col min="4614" max="4614" width="10.5703125" style="309" customWidth="1"/>
    <col min="4615" max="4615" width="8.7109375" style="309" customWidth="1"/>
    <col min="4616" max="4616" width="8.85546875" style="309" customWidth="1"/>
    <col min="4617" max="4617" width="7.140625" style="309" customWidth="1"/>
    <col min="4618" max="4618" width="8.5703125" style="309" customWidth="1"/>
    <col min="4619" max="4619" width="8.42578125" style="309" customWidth="1"/>
    <col min="4620" max="4620" width="7.85546875" style="309" customWidth="1"/>
    <col min="4621" max="4621" width="7.7109375" style="309" customWidth="1"/>
    <col min="4622" max="4622" width="15.28515625" style="309" customWidth="1"/>
    <col min="4623" max="4623" width="13.85546875" style="309" customWidth="1"/>
    <col min="4624" max="4624" width="18" style="309" customWidth="1"/>
    <col min="4625" max="4625" width="36" style="309" customWidth="1"/>
    <col min="4626" max="4626" width="13.7109375" style="309" customWidth="1"/>
    <col min="4627" max="4627" width="15.42578125" style="309" customWidth="1"/>
    <col min="4628" max="4628" width="9.140625" style="309"/>
    <col min="4629" max="4629" width="98.42578125" style="309" customWidth="1"/>
    <col min="4630" max="4863" width="9.140625" style="309"/>
    <col min="4864" max="4864" width="16.7109375" style="309" customWidth="1"/>
    <col min="4865" max="4866" width="6.5703125" style="309" customWidth="1"/>
    <col min="4867" max="4867" width="5.5703125" style="309" customWidth="1"/>
    <col min="4868" max="4868" width="11.42578125" style="309" customWidth="1"/>
    <col min="4869" max="4869" width="7.85546875" style="309" customWidth="1"/>
    <col min="4870" max="4870" width="10.5703125" style="309" customWidth="1"/>
    <col min="4871" max="4871" width="8.7109375" style="309" customWidth="1"/>
    <col min="4872" max="4872" width="8.85546875" style="309" customWidth="1"/>
    <col min="4873" max="4873" width="7.140625" style="309" customWidth="1"/>
    <col min="4874" max="4874" width="8.5703125" style="309" customWidth="1"/>
    <col min="4875" max="4875" width="8.42578125" style="309" customWidth="1"/>
    <col min="4876" max="4876" width="7.85546875" style="309" customWidth="1"/>
    <col min="4877" max="4877" width="7.7109375" style="309" customWidth="1"/>
    <col min="4878" max="4878" width="15.28515625" style="309" customWidth="1"/>
    <col min="4879" max="4879" width="13.85546875" style="309" customWidth="1"/>
    <col min="4880" max="4880" width="18" style="309" customWidth="1"/>
    <col min="4881" max="4881" width="36" style="309" customWidth="1"/>
    <col min="4882" max="4882" width="13.7109375" style="309" customWidth="1"/>
    <col min="4883" max="4883" width="15.42578125" style="309" customWidth="1"/>
    <col min="4884" max="4884" width="9.140625" style="309"/>
    <col min="4885" max="4885" width="98.42578125" style="309" customWidth="1"/>
    <col min="4886" max="5119" width="9.140625" style="309"/>
    <col min="5120" max="5120" width="16.7109375" style="309" customWidth="1"/>
    <col min="5121" max="5122" width="6.5703125" style="309" customWidth="1"/>
    <col min="5123" max="5123" width="5.5703125" style="309" customWidth="1"/>
    <col min="5124" max="5124" width="11.42578125" style="309" customWidth="1"/>
    <col min="5125" max="5125" width="7.85546875" style="309" customWidth="1"/>
    <col min="5126" max="5126" width="10.5703125" style="309" customWidth="1"/>
    <col min="5127" max="5127" width="8.7109375" style="309" customWidth="1"/>
    <col min="5128" max="5128" width="8.85546875" style="309" customWidth="1"/>
    <col min="5129" max="5129" width="7.140625" style="309" customWidth="1"/>
    <col min="5130" max="5130" width="8.5703125" style="309" customWidth="1"/>
    <col min="5131" max="5131" width="8.42578125" style="309" customWidth="1"/>
    <col min="5132" max="5132" width="7.85546875" style="309" customWidth="1"/>
    <col min="5133" max="5133" width="7.7109375" style="309" customWidth="1"/>
    <col min="5134" max="5134" width="15.28515625" style="309" customWidth="1"/>
    <col min="5135" max="5135" width="13.85546875" style="309" customWidth="1"/>
    <col min="5136" max="5136" width="18" style="309" customWidth="1"/>
    <col min="5137" max="5137" width="36" style="309" customWidth="1"/>
    <col min="5138" max="5138" width="13.7109375" style="309" customWidth="1"/>
    <col min="5139" max="5139" width="15.42578125" style="309" customWidth="1"/>
    <col min="5140" max="5140" width="9.140625" style="309"/>
    <col min="5141" max="5141" width="98.42578125" style="309" customWidth="1"/>
    <col min="5142" max="5375" width="9.140625" style="309"/>
    <col min="5376" max="5376" width="16.7109375" style="309" customWidth="1"/>
    <col min="5377" max="5378" width="6.5703125" style="309" customWidth="1"/>
    <col min="5379" max="5379" width="5.5703125" style="309" customWidth="1"/>
    <col min="5380" max="5380" width="11.42578125" style="309" customWidth="1"/>
    <col min="5381" max="5381" width="7.85546875" style="309" customWidth="1"/>
    <col min="5382" max="5382" width="10.5703125" style="309" customWidth="1"/>
    <col min="5383" max="5383" width="8.7109375" style="309" customWidth="1"/>
    <col min="5384" max="5384" width="8.85546875" style="309" customWidth="1"/>
    <col min="5385" max="5385" width="7.140625" style="309" customWidth="1"/>
    <col min="5386" max="5386" width="8.5703125" style="309" customWidth="1"/>
    <col min="5387" max="5387" width="8.42578125" style="309" customWidth="1"/>
    <col min="5388" max="5388" width="7.85546875" style="309" customWidth="1"/>
    <col min="5389" max="5389" width="7.7109375" style="309" customWidth="1"/>
    <col min="5390" max="5390" width="15.28515625" style="309" customWidth="1"/>
    <col min="5391" max="5391" width="13.85546875" style="309" customWidth="1"/>
    <col min="5392" max="5392" width="18" style="309" customWidth="1"/>
    <col min="5393" max="5393" width="36" style="309" customWidth="1"/>
    <col min="5394" max="5394" width="13.7109375" style="309" customWidth="1"/>
    <col min="5395" max="5395" width="15.42578125" style="309" customWidth="1"/>
    <col min="5396" max="5396" width="9.140625" style="309"/>
    <col min="5397" max="5397" width="98.42578125" style="309" customWidth="1"/>
    <col min="5398" max="5631" width="9.140625" style="309"/>
    <col min="5632" max="5632" width="16.7109375" style="309" customWidth="1"/>
    <col min="5633" max="5634" width="6.5703125" style="309" customWidth="1"/>
    <col min="5635" max="5635" width="5.5703125" style="309" customWidth="1"/>
    <col min="5636" max="5636" width="11.42578125" style="309" customWidth="1"/>
    <col min="5637" max="5637" width="7.85546875" style="309" customWidth="1"/>
    <col min="5638" max="5638" width="10.5703125" style="309" customWidth="1"/>
    <col min="5639" max="5639" width="8.7109375" style="309" customWidth="1"/>
    <col min="5640" max="5640" width="8.85546875" style="309" customWidth="1"/>
    <col min="5641" max="5641" width="7.140625" style="309" customWidth="1"/>
    <col min="5642" max="5642" width="8.5703125" style="309" customWidth="1"/>
    <col min="5643" max="5643" width="8.42578125" style="309" customWidth="1"/>
    <col min="5644" max="5644" width="7.85546875" style="309" customWidth="1"/>
    <col min="5645" max="5645" width="7.7109375" style="309" customWidth="1"/>
    <col min="5646" max="5646" width="15.28515625" style="309" customWidth="1"/>
    <col min="5647" max="5647" width="13.85546875" style="309" customWidth="1"/>
    <col min="5648" max="5648" width="18" style="309" customWidth="1"/>
    <col min="5649" max="5649" width="36" style="309" customWidth="1"/>
    <col min="5650" max="5650" width="13.7109375" style="309" customWidth="1"/>
    <col min="5651" max="5651" width="15.42578125" style="309" customWidth="1"/>
    <col min="5652" max="5652" width="9.140625" style="309"/>
    <col min="5653" max="5653" width="98.42578125" style="309" customWidth="1"/>
    <col min="5654" max="5887" width="9.140625" style="309"/>
    <col min="5888" max="5888" width="16.7109375" style="309" customWidth="1"/>
    <col min="5889" max="5890" width="6.5703125" style="309" customWidth="1"/>
    <col min="5891" max="5891" width="5.5703125" style="309" customWidth="1"/>
    <col min="5892" max="5892" width="11.42578125" style="309" customWidth="1"/>
    <col min="5893" max="5893" width="7.85546875" style="309" customWidth="1"/>
    <col min="5894" max="5894" width="10.5703125" style="309" customWidth="1"/>
    <col min="5895" max="5895" width="8.7109375" style="309" customWidth="1"/>
    <col min="5896" max="5896" width="8.85546875" style="309" customWidth="1"/>
    <col min="5897" max="5897" width="7.140625" style="309" customWidth="1"/>
    <col min="5898" max="5898" width="8.5703125" style="309" customWidth="1"/>
    <col min="5899" max="5899" width="8.42578125" style="309" customWidth="1"/>
    <col min="5900" max="5900" width="7.85546875" style="309" customWidth="1"/>
    <col min="5901" max="5901" width="7.7109375" style="309" customWidth="1"/>
    <col min="5902" max="5902" width="15.28515625" style="309" customWidth="1"/>
    <col min="5903" max="5903" width="13.85546875" style="309" customWidth="1"/>
    <col min="5904" max="5904" width="18" style="309" customWidth="1"/>
    <col min="5905" max="5905" width="36" style="309" customWidth="1"/>
    <col min="5906" max="5906" width="13.7109375" style="309" customWidth="1"/>
    <col min="5907" max="5907" width="15.42578125" style="309" customWidth="1"/>
    <col min="5908" max="5908" width="9.140625" style="309"/>
    <col min="5909" max="5909" width="98.42578125" style="309" customWidth="1"/>
    <col min="5910" max="6143" width="9.140625" style="309"/>
    <col min="6144" max="6144" width="16.7109375" style="309" customWidth="1"/>
    <col min="6145" max="6146" width="6.5703125" style="309" customWidth="1"/>
    <col min="6147" max="6147" width="5.5703125" style="309" customWidth="1"/>
    <col min="6148" max="6148" width="11.42578125" style="309" customWidth="1"/>
    <col min="6149" max="6149" width="7.85546875" style="309" customWidth="1"/>
    <col min="6150" max="6150" width="10.5703125" style="309" customWidth="1"/>
    <col min="6151" max="6151" width="8.7109375" style="309" customWidth="1"/>
    <col min="6152" max="6152" width="8.85546875" style="309" customWidth="1"/>
    <col min="6153" max="6153" width="7.140625" style="309" customWidth="1"/>
    <col min="6154" max="6154" width="8.5703125" style="309" customWidth="1"/>
    <col min="6155" max="6155" width="8.42578125" style="309" customWidth="1"/>
    <col min="6156" max="6156" width="7.85546875" style="309" customWidth="1"/>
    <col min="6157" max="6157" width="7.7109375" style="309" customWidth="1"/>
    <col min="6158" max="6158" width="15.28515625" style="309" customWidth="1"/>
    <col min="6159" max="6159" width="13.85546875" style="309" customWidth="1"/>
    <col min="6160" max="6160" width="18" style="309" customWidth="1"/>
    <col min="6161" max="6161" width="36" style="309" customWidth="1"/>
    <col min="6162" max="6162" width="13.7109375" style="309" customWidth="1"/>
    <col min="6163" max="6163" width="15.42578125" style="309" customWidth="1"/>
    <col min="6164" max="6164" width="9.140625" style="309"/>
    <col min="6165" max="6165" width="98.42578125" style="309" customWidth="1"/>
    <col min="6166" max="6399" width="9.140625" style="309"/>
    <col min="6400" max="6400" width="16.7109375" style="309" customWidth="1"/>
    <col min="6401" max="6402" width="6.5703125" style="309" customWidth="1"/>
    <col min="6403" max="6403" width="5.5703125" style="309" customWidth="1"/>
    <col min="6404" max="6404" width="11.42578125" style="309" customWidth="1"/>
    <col min="6405" max="6405" width="7.85546875" style="309" customWidth="1"/>
    <col min="6406" max="6406" width="10.5703125" style="309" customWidth="1"/>
    <col min="6407" max="6407" width="8.7109375" style="309" customWidth="1"/>
    <col min="6408" max="6408" width="8.85546875" style="309" customWidth="1"/>
    <col min="6409" max="6409" width="7.140625" style="309" customWidth="1"/>
    <col min="6410" max="6410" width="8.5703125" style="309" customWidth="1"/>
    <col min="6411" max="6411" width="8.42578125" style="309" customWidth="1"/>
    <col min="6412" max="6412" width="7.85546875" style="309" customWidth="1"/>
    <col min="6413" max="6413" width="7.7109375" style="309" customWidth="1"/>
    <col min="6414" max="6414" width="15.28515625" style="309" customWidth="1"/>
    <col min="6415" max="6415" width="13.85546875" style="309" customWidth="1"/>
    <col min="6416" max="6416" width="18" style="309" customWidth="1"/>
    <col min="6417" max="6417" width="36" style="309" customWidth="1"/>
    <col min="6418" max="6418" width="13.7109375" style="309" customWidth="1"/>
    <col min="6419" max="6419" width="15.42578125" style="309" customWidth="1"/>
    <col min="6420" max="6420" width="9.140625" style="309"/>
    <col min="6421" max="6421" width="98.42578125" style="309" customWidth="1"/>
    <col min="6422" max="6655" width="9.140625" style="309"/>
    <col min="6656" max="6656" width="16.7109375" style="309" customWidth="1"/>
    <col min="6657" max="6658" width="6.5703125" style="309" customWidth="1"/>
    <col min="6659" max="6659" width="5.5703125" style="309" customWidth="1"/>
    <col min="6660" max="6660" width="11.42578125" style="309" customWidth="1"/>
    <col min="6661" max="6661" width="7.85546875" style="309" customWidth="1"/>
    <col min="6662" max="6662" width="10.5703125" style="309" customWidth="1"/>
    <col min="6663" max="6663" width="8.7109375" style="309" customWidth="1"/>
    <col min="6664" max="6664" width="8.85546875" style="309" customWidth="1"/>
    <col min="6665" max="6665" width="7.140625" style="309" customWidth="1"/>
    <col min="6666" max="6666" width="8.5703125" style="309" customWidth="1"/>
    <col min="6667" max="6667" width="8.42578125" style="309" customWidth="1"/>
    <col min="6668" max="6668" width="7.85546875" style="309" customWidth="1"/>
    <col min="6669" max="6669" width="7.7109375" style="309" customWidth="1"/>
    <col min="6670" max="6670" width="15.28515625" style="309" customWidth="1"/>
    <col min="6671" max="6671" width="13.85546875" style="309" customWidth="1"/>
    <col min="6672" max="6672" width="18" style="309" customWidth="1"/>
    <col min="6673" max="6673" width="36" style="309" customWidth="1"/>
    <col min="6674" max="6674" width="13.7109375" style="309" customWidth="1"/>
    <col min="6675" max="6675" width="15.42578125" style="309" customWidth="1"/>
    <col min="6676" max="6676" width="9.140625" style="309"/>
    <col min="6677" max="6677" width="98.42578125" style="309" customWidth="1"/>
    <col min="6678" max="6911" width="9.140625" style="309"/>
    <col min="6912" max="6912" width="16.7109375" style="309" customWidth="1"/>
    <col min="6913" max="6914" width="6.5703125" style="309" customWidth="1"/>
    <col min="6915" max="6915" width="5.5703125" style="309" customWidth="1"/>
    <col min="6916" max="6916" width="11.42578125" style="309" customWidth="1"/>
    <col min="6917" max="6917" width="7.85546875" style="309" customWidth="1"/>
    <col min="6918" max="6918" width="10.5703125" style="309" customWidth="1"/>
    <col min="6919" max="6919" width="8.7109375" style="309" customWidth="1"/>
    <col min="6920" max="6920" width="8.85546875" style="309" customWidth="1"/>
    <col min="6921" max="6921" width="7.140625" style="309" customWidth="1"/>
    <col min="6922" max="6922" width="8.5703125" style="309" customWidth="1"/>
    <col min="6923" max="6923" width="8.42578125" style="309" customWidth="1"/>
    <col min="6924" max="6924" width="7.85546875" style="309" customWidth="1"/>
    <col min="6925" max="6925" width="7.7109375" style="309" customWidth="1"/>
    <col min="6926" max="6926" width="15.28515625" style="309" customWidth="1"/>
    <col min="6927" max="6927" width="13.85546875" style="309" customWidth="1"/>
    <col min="6928" max="6928" width="18" style="309" customWidth="1"/>
    <col min="6929" max="6929" width="36" style="309" customWidth="1"/>
    <col min="6930" max="6930" width="13.7109375" style="309" customWidth="1"/>
    <col min="6931" max="6931" width="15.42578125" style="309" customWidth="1"/>
    <col min="6932" max="6932" width="9.140625" style="309"/>
    <col min="6933" max="6933" width="98.42578125" style="309" customWidth="1"/>
    <col min="6934" max="7167" width="9.140625" style="309"/>
    <col min="7168" max="7168" width="16.7109375" style="309" customWidth="1"/>
    <col min="7169" max="7170" width="6.5703125" style="309" customWidth="1"/>
    <col min="7171" max="7171" width="5.5703125" style="309" customWidth="1"/>
    <col min="7172" max="7172" width="11.42578125" style="309" customWidth="1"/>
    <col min="7173" max="7173" width="7.85546875" style="309" customWidth="1"/>
    <col min="7174" max="7174" width="10.5703125" style="309" customWidth="1"/>
    <col min="7175" max="7175" width="8.7109375" style="309" customWidth="1"/>
    <col min="7176" max="7176" width="8.85546875" style="309" customWidth="1"/>
    <col min="7177" max="7177" width="7.140625" style="309" customWidth="1"/>
    <col min="7178" max="7178" width="8.5703125" style="309" customWidth="1"/>
    <col min="7179" max="7179" width="8.42578125" style="309" customWidth="1"/>
    <col min="7180" max="7180" width="7.85546875" style="309" customWidth="1"/>
    <col min="7181" max="7181" width="7.7109375" style="309" customWidth="1"/>
    <col min="7182" max="7182" width="15.28515625" style="309" customWidth="1"/>
    <col min="7183" max="7183" width="13.85546875" style="309" customWidth="1"/>
    <col min="7184" max="7184" width="18" style="309" customWidth="1"/>
    <col min="7185" max="7185" width="36" style="309" customWidth="1"/>
    <col min="7186" max="7186" width="13.7109375" style="309" customWidth="1"/>
    <col min="7187" max="7187" width="15.42578125" style="309" customWidth="1"/>
    <col min="7188" max="7188" width="9.140625" style="309"/>
    <col min="7189" max="7189" width="98.42578125" style="309" customWidth="1"/>
    <col min="7190" max="7423" width="9.140625" style="309"/>
    <col min="7424" max="7424" width="16.7109375" style="309" customWidth="1"/>
    <col min="7425" max="7426" width="6.5703125" style="309" customWidth="1"/>
    <col min="7427" max="7427" width="5.5703125" style="309" customWidth="1"/>
    <col min="7428" max="7428" width="11.42578125" style="309" customWidth="1"/>
    <col min="7429" max="7429" width="7.85546875" style="309" customWidth="1"/>
    <col min="7430" max="7430" width="10.5703125" style="309" customWidth="1"/>
    <col min="7431" max="7431" width="8.7109375" style="309" customWidth="1"/>
    <col min="7432" max="7432" width="8.85546875" style="309" customWidth="1"/>
    <col min="7433" max="7433" width="7.140625" style="309" customWidth="1"/>
    <col min="7434" max="7434" width="8.5703125" style="309" customWidth="1"/>
    <col min="7435" max="7435" width="8.42578125" style="309" customWidth="1"/>
    <col min="7436" max="7436" width="7.85546875" style="309" customWidth="1"/>
    <col min="7437" max="7437" width="7.7109375" style="309" customWidth="1"/>
    <col min="7438" max="7438" width="15.28515625" style="309" customWidth="1"/>
    <col min="7439" max="7439" width="13.85546875" style="309" customWidth="1"/>
    <col min="7440" max="7440" width="18" style="309" customWidth="1"/>
    <col min="7441" max="7441" width="36" style="309" customWidth="1"/>
    <col min="7442" max="7442" width="13.7109375" style="309" customWidth="1"/>
    <col min="7443" max="7443" width="15.42578125" style="309" customWidth="1"/>
    <col min="7444" max="7444" width="9.140625" style="309"/>
    <col min="7445" max="7445" width="98.42578125" style="309" customWidth="1"/>
    <col min="7446" max="7679" width="9.140625" style="309"/>
    <col min="7680" max="7680" width="16.7109375" style="309" customWidth="1"/>
    <col min="7681" max="7682" width="6.5703125" style="309" customWidth="1"/>
    <col min="7683" max="7683" width="5.5703125" style="309" customWidth="1"/>
    <col min="7684" max="7684" width="11.42578125" style="309" customWidth="1"/>
    <col min="7685" max="7685" width="7.85546875" style="309" customWidth="1"/>
    <col min="7686" max="7686" width="10.5703125" style="309" customWidth="1"/>
    <col min="7687" max="7687" width="8.7109375" style="309" customWidth="1"/>
    <col min="7688" max="7688" width="8.85546875" style="309" customWidth="1"/>
    <col min="7689" max="7689" width="7.140625" style="309" customWidth="1"/>
    <col min="7690" max="7690" width="8.5703125" style="309" customWidth="1"/>
    <col min="7691" max="7691" width="8.42578125" style="309" customWidth="1"/>
    <col min="7692" max="7692" width="7.85546875" style="309" customWidth="1"/>
    <col min="7693" max="7693" width="7.7109375" style="309" customWidth="1"/>
    <col min="7694" max="7694" width="15.28515625" style="309" customWidth="1"/>
    <col min="7695" max="7695" width="13.85546875" style="309" customWidth="1"/>
    <col min="7696" max="7696" width="18" style="309" customWidth="1"/>
    <col min="7697" max="7697" width="36" style="309" customWidth="1"/>
    <col min="7698" max="7698" width="13.7109375" style="309" customWidth="1"/>
    <col min="7699" max="7699" width="15.42578125" style="309" customWidth="1"/>
    <col min="7700" max="7700" width="9.140625" style="309"/>
    <col min="7701" max="7701" width="98.42578125" style="309" customWidth="1"/>
    <col min="7702" max="7935" width="9.140625" style="309"/>
    <col min="7936" max="7936" width="16.7109375" style="309" customWidth="1"/>
    <col min="7937" max="7938" width="6.5703125" style="309" customWidth="1"/>
    <col min="7939" max="7939" width="5.5703125" style="309" customWidth="1"/>
    <col min="7940" max="7940" width="11.42578125" style="309" customWidth="1"/>
    <col min="7941" max="7941" width="7.85546875" style="309" customWidth="1"/>
    <col min="7942" max="7942" width="10.5703125" style="309" customWidth="1"/>
    <col min="7943" max="7943" width="8.7109375" style="309" customWidth="1"/>
    <col min="7944" max="7944" width="8.85546875" style="309" customWidth="1"/>
    <col min="7945" max="7945" width="7.140625" style="309" customWidth="1"/>
    <col min="7946" max="7946" width="8.5703125" style="309" customWidth="1"/>
    <col min="7947" max="7947" width="8.42578125" style="309" customWidth="1"/>
    <col min="7948" max="7948" width="7.85546875" style="309" customWidth="1"/>
    <col min="7949" max="7949" width="7.7109375" style="309" customWidth="1"/>
    <col min="7950" max="7950" width="15.28515625" style="309" customWidth="1"/>
    <col min="7951" max="7951" width="13.85546875" style="309" customWidth="1"/>
    <col min="7952" max="7952" width="18" style="309" customWidth="1"/>
    <col min="7953" max="7953" width="36" style="309" customWidth="1"/>
    <col min="7954" max="7954" width="13.7109375" style="309" customWidth="1"/>
    <col min="7955" max="7955" width="15.42578125" style="309" customWidth="1"/>
    <col min="7956" max="7956" width="9.140625" style="309"/>
    <col min="7957" max="7957" width="98.42578125" style="309" customWidth="1"/>
    <col min="7958" max="8191" width="9.140625" style="309"/>
    <col min="8192" max="8192" width="16.7109375" style="309" customWidth="1"/>
    <col min="8193" max="8194" width="6.5703125" style="309" customWidth="1"/>
    <col min="8195" max="8195" width="5.5703125" style="309" customWidth="1"/>
    <col min="8196" max="8196" width="11.42578125" style="309" customWidth="1"/>
    <col min="8197" max="8197" width="7.85546875" style="309" customWidth="1"/>
    <col min="8198" max="8198" width="10.5703125" style="309" customWidth="1"/>
    <col min="8199" max="8199" width="8.7109375" style="309" customWidth="1"/>
    <col min="8200" max="8200" width="8.85546875" style="309" customWidth="1"/>
    <col min="8201" max="8201" width="7.140625" style="309" customWidth="1"/>
    <col min="8202" max="8202" width="8.5703125" style="309" customWidth="1"/>
    <col min="8203" max="8203" width="8.42578125" style="309" customWidth="1"/>
    <col min="8204" max="8204" width="7.85546875" style="309" customWidth="1"/>
    <col min="8205" max="8205" width="7.7109375" style="309" customWidth="1"/>
    <col min="8206" max="8206" width="15.28515625" style="309" customWidth="1"/>
    <col min="8207" max="8207" width="13.85546875" style="309" customWidth="1"/>
    <col min="8208" max="8208" width="18" style="309" customWidth="1"/>
    <col min="8209" max="8209" width="36" style="309" customWidth="1"/>
    <col min="8210" max="8210" width="13.7109375" style="309" customWidth="1"/>
    <col min="8211" max="8211" width="15.42578125" style="309" customWidth="1"/>
    <col min="8212" max="8212" width="9.140625" style="309"/>
    <col min="8213" max="8213" width="98.42578125" style="309" customWidth="1"/>
    <col min="8214" max="8447" width="9.140625" style="309"/>
    <col min="8448" max="8448" width="16.7109375" style="309" customWidth="1"/>
    <col min="8449" max="8450" width="6.5703125" style="309" customWidth="1"/>
    <col min="8451" max="8451" width="5.5703125" style="309" customWidth="1"/>
    <col min="8452" max="8452" width="11.42578125" style="309" customWidth="1"/>
    <col min="8453" max="8453" width="7.85546875" style="309" customWidth="1"/>
    <col min="8454" max="8454" width="10.5703125" style="309" customWidth="1"/>
    <col min="8455" max="8455" width="8.7109375" style="309" customWidth="1"/>
    <col min="8456" max="8456" width="8.85546875" style="309" customWidth="1"/>
    <col min="8457" max="8457" width="7.140625" style="309" customWidth="1"/>
    <col min="8458" max="8458" width="8.5703125" style="309" customWidth="1"/>
    <col min="8459" max="8459" width="8.42578125" style="309" customWidth="1"/>
    <col min="8460" max="8460" width="7.85546875" style="309" customWidth="1"/>
    <col min="8461" max="8461" width="7.7109375" style="309" customWidth="1"/>
    <col min="8462" max="8462" width="15.28515625" style="309" customWidth="1"/>
    <col min="8463" max="8463" width="13.85546875" style="309" customWidth="1"/>
    <col min="8464" max="8464" width="18" style="309" customWidth="1"/>
    <col min="8465" max="8465" width="36" style="309" customWidth="1"/>
    <col min="8466" max="8466" width="13.7109375" style="309" customWidth="1"/>
    <col min="8467" max="8467" width="15.42578125" style="309" customWidth="1"/>
    <col min="8468" max="8468" width="9.140625" style="309"/>
    <col min="8469" max="8469" width="98.42578125" style="309" customWidth="1"/>
    <col min="8470" max="8703" width="9.140625" style="309"/>
    <col min="8704" max="8704" width="16.7109375" style="309" customWidth="1"/>
    <col min="8705" max="8706" width="6.5703125" style="309" customWidth="1"/>
    <col min="8707" max="8707" width="5.5703125" style="309" customWidth="1"/>
    <col min="8708" max="8708" width="11.42578125" style="309" customWidth="1"/>
    <col min="8709" max="8709" width="7.85546875" style="309" customWidth="1"/>
    <col min="8710" max="8710" width="10.5703125" style="309" customWidth="1"/>
    <col min="8711" max="8711" width="8.7109375" style="309" customWidth="1"/>
    <col min="8712" max="8712" width="8.85546875" style="309" customWidth="1"/>
    <col min="8713" max="8713" width="7.140625" style="309" customWidth="1"/>
    <col min="8714" max="8714" width="8.5703125" style="309" customWidth="1"/>
    <col min="8715" max="8715" width="8.42578125" style="309" customWidth="1"/>
    <col min="8716" max="8716" width="7.85546875" style="309" customWidth="1"/>
    <col min="8717" max="8717" width="7.7109375" style="309" customWidth="1"/>
    <col min="8718" max="8718" width="15.28515625" style="309" customWidth="1"/>
    <col min="8719" max="8719" width="13.85546875" style="309" customWidth="1"/>
    <col min="8720" max="8720" width="18" style="309" customWidth="1"/>
    <col min="8721" max="8721" width="36" style="309" customWidth="1"/>
    <col min="8722" max="8722" width="13.7109375" style="309" customWidth="1"/>
    <col min="8723" max="8723" width="15.42578125" style="309" customWidth="1"/>
    <col min="8724" max="8724" width="9.140625" style="309"/>
    <col min="8725" max="8725" width="98.42578125" style="309" customWidth="1"/>
    <col min="8726" max="8959" width="9.140625" style="309"/>
    <col min="8960" max="8960" width="16.7109375" style="309" customWidth="1"/>
    <col min="8961" max="8962" width="6.5703125" style="309" customWidth="1"/>
    <col min="8963" max="8963" width="5.5703125" style="309" customWidth="1"/>
    <col min="8964" max="8964" width="11.42578125" style="309" customWidth="1"/>
    <col min="8965" max="8965" width="7.85546875" style="309" customWidth="1"/>
    <col min="8966" max="8966" width="10.5703125" style="309" customWidth="1"/>
    <col min="8967" max="8967" width="8.7109375" style="309" customWidth="1"/>
    <col min="8968" max="8968" width="8.85546875" style="309" customWidth="1"/>
    <col min="8969" max="8969" width="7.140625" style="309" customWidth="1"/>
    <col min="8970" max="8970" width="8.5703125" style="309" customWidth="1"/>
    <col min="8971" max="8971" width="8.42578125" style="309" customWidth="1"/>
    <col min="8972" max="8972" width="7.85546875" style="309" customWidth="1"/>
    <col min="8973" max="8973" width="7.7109375" style="309" customWidth="1"/>
    <col min="8974" max="8974" width="15.28515625" style="309" customWidth="1"/>
    <col min="8975" max="8975" width="13.85546875" style="309" customWidth="1"/>
    <col min="8976" max="8976" width="18" style="309" customWidth="1"/>
    <col min="8977" max="8977" width="36" style="309" customWidth="1"/>
    <col min="8978" max="8978" width="13.7109375" style="309" customWidth="1"/>
    <col min="8979" max="8979" width="15.42578125" style="309" customWidth="1"/>
    <col min="8980" max="8980" width="9.140625" style="309"/>
    <col min="8981" max="8981" width="98.42578125" style="309" customWidth="1"/>
    <col min="8982" max="9215" width="9.140625" style="309"/>
    <col min="9216" max="9216" width="16.7109375" style="309" customWidth="1"/>
    <col min="9217" max="9218" width="6.5703125" style="309" customWidth="1"/>
    <col min="9219" max="9219" width="5.5703125" style="309" customWidth="1"/>
    <col min="9220" max="9220" width="11.42578125" style="309" customWidth="1"/>
    <col min="9221" max="9221" width="7.85546875" style="309" customWidth="1"/>
    <col min="9222" max="9222" width="10.5703125" style="309" customWidth="1"/>
    <col min="9223" max="9223" width="8.7109375" style="309" customWidth="1"/>
    <col min="9224" max="9224" width="8.85546875" style="309" customWidth="1"/>
    <col min="9225" max="9225" width="7.140625" style="309" customWidth="1"/>
    <col min="9226" max="9226" width="8.5703125" style="309" customWidth="1"/>
    <col min="9227" max="9227" width="8.42578125" style="309" customWidth="1"/>
    <col min="9228" max="9228" width="7.85546875" style="309" customWidth="1"/>
    <col min="9229" max="9229" width="7.7109375" style="309" customWidth="1"/>
    <col min="9230" max="9230" width="15.28515625" style="309" customWidth="1"/>
    <col min="9231" max="9231" width="13.85546875" style="309" customWidth="1"/>
    <col min="9232" max="9232" width="18" style="309" customWidth="1"/>
    <col min="9233" max="9233" width="36" style="309" customWidth="1"/>
    <col min="9234" max="9234" width="13.7109375" style="309" customWidth="1"/>
    <col min="9235" max="9235" width="15.42578125" style="309" customWidth="1"/>
    <col min="9236" max="9236" width="9.140625" style="309"/>
    <col min="9237" max="9237" width="98.42578125" style="309" customWidth="1"/>
    <col min="9238" max="9471" width="9.140625" style="309"/>
    <col min="9472" max="9472" width="16.7109375" style="309" customWidth="1"/>
    <col min="9473" max="9474" width="6.5703125" style="309" customWidth="1"/>
    <col min="9475" max="9475" width="5.5703125" style="309" customWidth="1"/>
    <col min="9476" max="9476" width="11.42578125" style="309" customWidth="1"/>
    <col min="9477" max="9477" width="7.85546875" style="309" customWidth="1"/>
    <col min="9478" max="9478" width="10.5703125" style="309" customWidth="1"/>
    <col min="9479" max="9479" width="8.7109375" style="309" customWidth="1"/>
    <col min="9480" max="9480" width="8.85546875" style="309" customWidth="1"/>
    <col min="9481" max="9481" width="7.140625" style="309" customWidth="1"/>
    <col min="9482" max="9482" width="8.5703125" style="309" customWidth="1"/>
    <col min="9483" max="9483" width="8.42578125" style="309" customWidth="1"/>
    <col min="9484" max="9484" width="7.85546875" style="309" customWidth="1"/>
    <col min="9485" max="9485" width="7.7109375" style="309" customWidth="1"/>
    <col min="9486" max="9486" width="15.28515625" style="309" customWidth="1"/>
    <col min="9487" max="9487" width="13.85546875" style="309" customWidth="1"/>
    <col min="9488" max="9488" width="18" style="309" customWidth="1"/>
    <col min="9489" max="9489" width="36" style="309" customWidth="1"/>
    <col min="9490" max="9490" width="13.7109375" style="309" customWidth="1"/>
    <col min="9491" max="9491" width="15.42578125" style="309" customWidth="1"/>
    <col min="9492" max="9492" width="9.140625" style="309"/>
    <col min="9493" max="9493" width="98.42578125" style="309" customWidth="1"/>
    <col min="9494" max="9727" width="9.140625" style="309"/>
    <col min="9728" max="9728" width="16.7109375" style="309" customWidth="1"/>
    <col min="9729" max="9730" width="6.5703125" style="309" customWidth="1"/>
    <col min="9731" max="9731" width="5.5703125" style="309" customWidth="1"/>
    <col min="9732" max="9732" width="11.42578125" style="309" customWidth="1"/>
    <col min="9733" max="9733" width="7.85546875" style="309" customWidth="1"/>
    <col min="9734" max="9734" width="10.5703125" style="309" customWidth="1"/>
    <col min="9735" max="9735" width="8.7109375" style="309" customWidth="1"/>
    <col min="9736" max="9736" width="8.85546875" style="309" customWidth="1"/>
    <col min="9737" max="9737" width="7.140625" style="309" customWidth="1"/>
    <col min="9738" max="9738" width="8.5703125" style="309" customWidth="1"/>
    <col min="9739" max="9739" width="8.42578125" style="309" customWidth="1"/>
    <col min="9740" max="9740" width="7.85546875" style="309" customWidth="1"/>
    <col min="9741" max="9741" width="7.7109375" style="309" customWidth="1"/>
    <col min="9742" max="9742" width="15.28515625" style="309" customWidth="1"/>
    <col min="9743" max="9743" width="13.85546875" style="309" customWidth="1"/>
    <col min="9744" max="9744" width="18" style="309" customWidth="1"/>
    <col min="9745" max="9745" width="36" style="309" customWidth="1"/>
    <col min="9746" max="9746" width="13.7109375" style="309" customWidth="1"/>
    <col min="9747" max="9747" width="15.42578125" style="309" customWidth="1"/>
    <col min="9748" max="9748" width="9.140625" style="309"/>
    <col min="9749" max="9749" width="98.42578125" style="309" customWidth="1"/>
    <col min="9750" max="9983" width="9.140625" style="309"/>
    <col min="9984" max="9984" width="16.7109375" style="309" customWidth="1"/>
    <col min="9985" max="9986" width="6.5703125" style="309" customWidth="1"/>
    <col min="9987" max="9987" width="5.5703125" style="309" customWidth="1"/>
    <col min="9988" max="9988" width="11.42578125" style="309" customWidth="1"/>
    <col min="9989" max="9989" width="7.85546875" style="309" customWidth="1"/>
    <col min="9990" max="9990" width="10.5703125" style="309" customWidth="1"/>
    <col min="9991" max="9991" width="8.7109375" style="309" customWidth="1"/>
    <col min="9992" max="9992" width="8.85546875" style="309" customWidth="1"/>
    <col min="9993" max="9993" width="7.140625" style="309" customWidth="1"/>
    <col min="9994" max="9994" width="8.5703125" style="309" customWidth="1"/>
    <col min="9995" max="9995" width="8.42578125" style="309" customWidth="1"/>
    <col min="9996" max="9996" width="7.85546875" style="309" customWidth="1"/>
    <col min="9997" max="9997" width="7.7109375" style="309" customWidth="1"/>
    <col min="9998" max="9998" width="15.28515625" style="309" customWidth="1"/>
    <col min="9999" max="9999" width="13.85546875" style="309" customWidth="1"/>
    <col min="10000" max="10000" width="18" style="309" customWidth="1"/>
    <col min="10001" max="10001" width="36" style="309" customWidth="1"/>
    <col min="10002" max="10002" width="13.7109375" style="309" customWidth="1"/>
    <col min="10003" max="10003" width="15.42578125" style="309" customWidth="1"/>
    <col min="10004" max="10004" width="9.140625" style="309"/>
    <col min="10005" max="10005" width="98.42578125" style="309" customWidth="1"/>
    <col min="10006" max="10239" width="9.140625" style="309"/>
    <col min="10240" max="10240" width="16.7109375" style="309" customWidth="1"/>
    <col min="10241" max="10242" width="6.5703125" style="309" customWidth="1"/>
    <col min="10243" max="10243" width="5.5703125" style="309" customWidth="1"/>
    <col min="10244" max="10244" width="11.42578125" style="309" customWidth="1"/>
    <col min="10245" max="10245" width="7.85546875" style="309" customWidth="1"/>
    <col min="10246" max="10246" width="10.5703125" style="309" customWidth="1"/>
    <col min="10247" max="10247" width="8.7109375" style="309" customWidth="1"/>
    <col min="10248" max="10248" width="8.85546875" style="309" customWidth="1"/>
    <col min="10249" max="10249" width="7.140625" style="309" customWidth="1"/>
    <col min="10250" max="10250" width="8.5703125" style="309" customWidth="1"/>
    <col min="10251" max="10251" width="8.42578125" style="309" customWidth="1"/>
    <col min="10252" max="10252" width="7.85546875" style="309" customWidth="1"/>
    <col min="10253" max="10253" width="7.7109375" style="309" customWidth="1"/>
    <col min="10254" max="10254" width="15.28515625" style="309" customWidth="1"/>
    <col min="10255" max="10255" width="13.85546875" style="309" customWidth="1"/>
    <col min="10256" max="10256" width="18" style="309" customWidth="1"/>
    <col min="10257" max="10257" width="36" style="309" customWidth="1"/>
    <col min="10258" max="10258" width="13.7109375" style="309" customWidth="1"/>
    <col min="10259" max="10259" width="15.42578125" style="309" customWidth="1"/>
    <col min="10260" max="10260" width="9.140625" style="309"/>
    <col min="10261" max="10261" width="98.42578125" style="309" customWidth="1"/>
    <col min="10262" max="10495" width="9.140625" style="309"/>
    <col min="10496" max="10496" width="16.7109375" style="309" customWidth="1"/>
    <col min="10497" max="10498" width="6.5703125" style="309" customWidth="1"/>
    <col min="10499" max="10499" width="5.5703125" style="309" customWidth="1"/>
    <col min="10500" max="10500" width="11.42578125" style="309" customWidth="1"/>
    <col min="10501" max="10501" width="7.85546875" style="309" customWidth="1"/>
    <col min="10502" max="10502" width="10.5703125" style="309" customWidth="1"/>
    <col min="10503" max="10503" width="8.7109375" style="309" customWidth="1"/>
    <col min="10504" max="10504" width="8.85546875" style="309" customWidth="1"/>
    <col min="10505" max="10505" width="7.140625" style="309" customWidth="1"/>
    <col min="10506" max="10506" width="8.5703125" style="309" customWidth="1"/>
    <col min="10507" max="10507" width="8.42578125" style="309" customWidth="1"/>
    <col min="10508" max="10508" width="7.85546875" style="309" customWidth="1"/>
    <col min="10509" max="10509" width="7.7109375" style="309" customWidth="1"/>
    <col min="10510" max="10510" width="15.28515625" style="309" customWidth="1"/>
    <col min="10511" max="10511" width="13.85546875" style="309" customWidth="1"/>
    <col min="10512" max="10512" width="18" style="309" customWidth="1"/>
    <col min="10513" max="10513" width="36" style="309" customWidth="1"/>
    <col min="10514" max="10514" width="13.7109375" style="309" customWidth="1"/>
    <col min="10515" max="10515" width="15.42578125" style="309" customWidth="1"/>
    <col min="10516" max="10516" width="9.140625" style="309"/>
    <col min="10517" max="10517" width="98.42578125" style="309" customWidth="1"/>
    <col min="10518" max="10751" width="9.140625" style="309"/>
    <col min="10752" max="10752" width="16.7109375" style="309" customWidth="1"/>
    <col min="10753" max="10754" width="6.5703125" style="309" customWidth="1"/>
    <col min="10755" max="10755" width="5.5703125" style="309" customWidth="1"/>
    <col min="10756" max="10756" width="11.42578125" style="309" customWidth="1"/>
    <col min="10757" max="10757" width="7.85546875" style="309" customWidth="1"/>
    <col min="10758" max="10758" width="10.5703125" style="309" customWidth="1"/>
    <col min="10759" max="10759" width="8.7109375" style="309" customWidth="1"/>
    <col min="10760" max="10760" width="8.85546875" style="309" customWidth="1"/>
    <col min="10761" max="10761" width="7.140625" style="309" customWidth="1"/>
    <col min="10762" max="10762" width="8.5703125" style="309" customWidth="1"/>
    <col min="10763" max="10763" width="8.42578125" style="309" customWidth="1"/>
    <col min="10764" max="10764" width="7.85546875" style="309" customWidth="1"/>
    <col min="10765" max="10765" width="7.7109375" style="309" customWidth="1"/>
    <col min="10766" max="10766" width="15.28515625" style="309" customWidth="1"/>
    <col min="10767" max="10767" width="13.85546875" style="309" customWidth="1"/>
    <col min="10768" max="10768" width="18" style="309" customWidth="1"/>
    <col min="10769" max="10769" width="36" style="309" customWidth="1"/>
    <col min="10770" max="10770" width="13.7109375" style="309" customWidth="1"/>
    <col min="10771" max="10771" width="15.42578125" style="309" customWidth="1"/>
    <col min="10772" max="10772" width="9.140625" style="309"/>
    <col min="10773" max="10773" width="98.42578125" style="309" customWidth="1"/>
    <col min="10774" max="11007" width="9.140625" style="309"/>
    <col min="11008" max="11008" width="16.7109375" style="309" customWidth="1"/>
    <col min="11009" max="11010" width="6.5703125" style="309" customWidth="1"/>
    <col min="11011" max="11011" width="5.5703125" style="309" customWidth="1"/>
    <col min="11012" max="11012" width="11.42578125" style="309" customWidth="1"/>
    <col min="11013" max="11013" width="7.85546875" style="309" customWidth="1"/>
    <col min="11014" max="11014" width="10.5703125" style="309" customWidth="1"/>
    <col min="11015" max="11015" width="8.7109375" style="309" customWidth="1"/>
    <col min="11016" max="11016" width="8.85546875" style="309" customWidth="1"/>
    <col min="11017" max="11017" width="7.140625" style="309" customWidth="1"/>
    <col min="11018" max="11018" width="8.5703125" style="309" customWidth="1"/>
    <col min="11019" max="11019" width="8.42578125" style="309" customWidth="1"/>
    <col min="11020" max="11020" width="7.85546875" style="309" customWidth="1"/>
    <col min="11021" max="11021" width="7.7109375" style="309" customWidth="1"/>
    <col min="11022" max="11022" width="15.28515625" style="309" customWidth="1"/>
    <col min="11023" max="11023" width="13.85546875" style="309" customWidth="1"/>
    <col min="11024" max="11024" width="18" style="309" customWidth="1"/>
    <col min="11025" max="11025" width="36" style="309" customWidth="1"/>
    <col min="11026" max="11026" width="13.7109375" style="309" customWidth="1"/>
    <col min="11027" max="11027" width="15.42578125" style="309" customWidth="1"/>
    <col min="11028" max="11028" width="9.140625" style="309"/>
    <col min="11029" max="11029" width="98.42578125" style="309" customWidth="1"/>
    <col min="11030" max="11263" width="9.140625" style="309"/>
    <col min="11264" max="11264" width="16.7109375" style="309" customWidth="1"/>
    <col min="11265" max="11266" width="6.5703125" style="309" customWidth="1"/>
    <col min="11267" max="11267" width="5.5703125" style="309" customWidth="1"/>
    <col min="11268" max="11268" width="11.42578125" style="309" customWidth="1"/>
    <col min="11269" max="11269" width="7.85546875" style="309" customWidth="1"/>
    <col min="11270" max="11270" width="10.5703125" style="309" customWidth="1"/>
    <col min="11271" max="11271" width="8.7109375" style="309" customWidth="1"/>
    <col min="11272" max="11272" width="8.85546875" style="309" customWidth="1"/>
    <col min="11273" max="11273" width="7.140625" style="309" customWidth="1"/>
    <col min="11274" max="11274" width="8.5703125" style="309" customWidth="1"/>
    <col min="11275" max="11275" width="8.42578125" style="309" customWidth="1"/>
    <col min="11276" max="11276" width="7.85546875" style="309" customWidth="1"/>
    <col min="11277" max="11277" width="7.7109375" style="309" customWidth="1"/>
    <col min="11278" max="11278" width="15.28515625" style="309" customWidth="1"/>
    <col min="11279" max="11279" width="13.85546875" style="309" customWidth="1"/>
    <col min="11280" max="11280" width="18" style="309" customWidth="1"/>
    <col min="11281" max="11281" width="36" style="309" customWidth="1"/>
    <col min="11282" max="11282" width="13.7109375" style="309" customWidth="1"/>
    <col min="11283" max="11283" width="15.42578125" style="309" customWidth="1"/>
    <col min="11284" max="11284" width="9.140625" style="309"/>
    <col min="11285" max="11285" width="98.42578125" style="309" customWidth="1"/>
    <col min="11286" max="11519" width="9.140625" style="309"/>
    <col min="11520" max="11520" width="16.7109375" style="309" customWidth="1"/>
    <col min="11521" max="11522" width="6.5703125" style="309" customWidth="1"/>
    <col min="11523" max="11523" width="5.5703125" style="309" customWidth="1"/>
    <col min="11524" max="11524" width="11.42578125" style="309" customWidth="1"/>
    <col min="11525" max="11525" width="7.85546875" style="309" customWidth="1"/>
    <col min="11526" max="11526" width="10.5703125" style="309" customWidth="1"/>
    <col min="11527" max="11527" width="8.7109375" style="309" customWidth="1"/>
    <col min="11528" max="11528" width="8.85546875" style="309" customWidth="1"/>
    <col min="11529" max="11529" width="7.140625" style="309" customWidth="1"/>
    <col min="11530" max="11530" width="8.5703125" style="309" customWidth="1"/>
    <col min="11531" max="11531" width="8.42578125" style="309" customWidth="1"/>
    <col min="11532" max="11532" width="7.85546875" style="309" customWidth="1"/>
    <col min="11533" max="11533" width="7.7109375" style="309" customWidth="1"/>
    <col min="11534" max="11534" width="15.28515625" style="309" customWidth="1"/>
    <col min="11535" max="11535" width="13.85546875" style="309" customWidth="1"/>
    <col min="11536" max="11536" width="18" style="309" customWidth="1"/>
    <col min="11537" max="11537" width="36" style="309" customWidth="1"/>
    <col min="11538" max="11538" width="13.7109375" style="309" customWidth="1"/>
    <col min="11539" max="11539" width="15.42578125" style="309" customWidth="1"/>
    <col min="11540" max="11540" width="9.140625" style="309"/>
    <col min="11541" max="11541" width="98.42578125" style="309" customWidth="1"/>
    <col min="11542" max="11775" width="9.140625" style="309"/>
    <col min="11776" max="11776" width="16.7109375" style="309" customWidth="1"/>
    <col min="11777" max="11778" width="6.5703125" style="309" customWidth="1"/>
    <col min="11779" max="11779" width="5.5703125" style="309" customWidth="1"/>
    <col min="11780" max="11780" width="11.42578125" style="309" customWidth="1"/>
    <col min="11781" max="11781" width="7.85546875" style="309" customWidth="1"/>
    <col min="11782" max="11782" width="10.5703125" style="309" customWidth="1"/>
    <col min="11783" max="11783" width="8.7109375" style="309" customWidth="1"/>
    <col min="11784" max="11784" width="8.85546875" style="309" customWidth="1"/>
    <col min="11785" max="11785" width="7.140625" style="309" customWidth="1"/>
    <col min="11786" max="11786" width="8.5703125" style="309" customWidth="1"/>
    <col min="11787" max="11787" width="8.42578125" style="309" customWidth="1"/>
    <col min="11788" max="11788" width="7.85546875" style="309" customWidth="1"/>
    <col min="11789" max="11789" width="7.7109375" style="309" customWidth="1"/>
    <col min="11790" max="11790" width="15.28515625" style="309" customWidth="1"/>
    <col min="11791" max="11791" width="13.85546875" style="309" customWidth="1"/>
    <col min="11792" max="11792" width="18" style="309" customWidth="1"/>
    <col min="11793" max="11793" width="36" style="309" customWidth="1"/>
    <col min="11794" max="11794" width="13.7109375" style="309" customWidth="1"/>
    <col min="11795" max="11795" width="15.42578125" style="309" customWidth="1"/>
    <col min="11796" max="11796" width="9.140625" style="309"/>
    <col min="11797" max="11797" width="98.42578125" style="309" customWidth="1"/>
    <col min="11798" max="12031" width="9.140625" style="309"/>
    <col min="12032" max="12032" width="16.7109375" style="309" customWidth="1"/>
    <col min="12033" max="12034" width="6.5703125" style="309" customWidth="1"/>
    <col min="12035" max="12035" width="5.5703125" style="309" customWidth="1"/>
    <col min="12036" max="12036" width="11.42578125" style="309" customWidth="1"/>
    <col min="12037" max="12037" width="7.85546875" style="309" customWidth="1"/>
    <col min="12038" max="12038" width="10.5703125" style="309" customWidth="1"/>
    <col min="12039" max="12039" width="8.7109375" style="309" customWidth="1"/>
    <col min="12040" max="12040" width="8.85546875" style="309" customWidth="1"/>
    <col min="12041" max="12041" width="7.140625" style="309" customWidth="1"/>
    <col min="12042" max="12042" width="8.5703125" style="309" customWidth="1"/>
    <col min="12043" max="12043" width="8.42578125" style="309" customWidth="1"/>
    <col min="12044" max="12044" width="7.85546875" style="309" customWidth="1"/>
    <col min="12045" max="12045" width="7.7109375" style="309" customWidth="1"/>
    <col min="12046" max="12046" width="15.28515625" style="309" customWidth="1"/>
    <col min="12047" max="12047" width="13.85546875" style="309" customWidth="1"/>
    <col min="12048" max="12048" width="18" style="309" customWidth="1"/>
    <col min="12049" max="12049" width="36" style="309" customWidth="1"/>
    <col min="12050" max="12050" width="13.7109375" style="309" customWidth="1"/>
    <col min="12051" max="12051" width="15.42578125" style="309" customWidth="1"/>
    <col min="12052" max="12052" width="9.140625" style="309"/>
    <col min="12053" max="12053" width="98.42578125" style="309" customWidth="1"/>
    <col min="12054" max="12287" width="9.140625" style="309"/>
    <col min="12288" max="12288" width="16.7109375" style="309" customWidth="1"/>
    <col min="12289" max="12290" width="6.5703125" style="309" customWidth="1"/>
    <col min="12291" max="12291" width="5.5703125" style="309" customWidth="1"/>
    <col min="12292" max="12292" width="11.42578125" style="309" customWidth="1"/>
    <col min="12293" max="12293" width="7.85546875" style="309" customWidth="1"/>
    <col min="12294" max="12294" width="10.5703125" style="309" customWidth="1"/>
    <col min="12295" max="12295" width="8.7109375" style="309" customWidth="1"/>
    <col min="12296" max="12296" width="8.85546875" style="309" customWidth="1"/>
    <col min="12297" max="12297" width="7.140625" style="309" customWidth="1"/>
    <col min="12298" max="12298" width="8.5703125" style="309" customWidth="1"/>
    <col min="12299" max="12299" width="8.42578125" style="309" customWidth="1"/>
    <col min="12300" max="12300" width="7.85546875" style="309" customWidth="1"/>
    <col min="12301" max="12301" width="7.7109375" style="309" customWidth="1"/>
    <col min="12302" max="12302" width="15.28515625" style="309" customWidth="1"/>
    <col min="12303" max="12303" width="13.85546875" style="309" customWidth="1"/>
    <col min="12304" max="12304" width="18" style="309" customWidth="1"/>
    <col min="12305" max="12305" width="36" style="309" customWidth="1"/>
    <col min="12306" max="12306" width="13.7109375" style="309" customWidth="1"/>
    <col min="12307" max="12307" width="15.42578125" style="309" customWidth="1"/>
    <col min="12308" max="12308" width="9.140625" style="309"/>
    <col min="12309" max="12309" width="98.42578125" style="309" customWidth="1"/>
    <col min="12310" max="12543" width="9.140625" style="309"/>
    <col min="12544" max="12544" width="16.7109375" style="309" customWidth="1"/>
    <col min="12545" max="12546" width="6.5703125" style="309" customWidth="1"/>
    <col min="12547" max="12547" width="5.5703125" style="309" customWidth="1"/>
    <col min="12548" max="12548" width="11.42578125" style="309" customWidth="1"/>
    <col min="12549" max="12549" width="7.85546875" style="309" customWidth="1"/>
    <col min="12550" max="12550" width="10.5703125" style="309" customWidth="1"/>
    <col min="12551" max="12551" width="8.7109375" style="309" customWidth="1"/>
    <col min="12552" max="12552" width="8.85546875" style="309" customWidth="1"/>
    <col min="12553" max="12553" width="7.140625" style="309" customWidth="1"/>
    <col min="12554" max="12554" width="8.5703125" style="309" customWidth="1"/>
    <col min="12555" max="12555" width="8.42578125" style="309" customWidth="1"/>
    <col min="12556" max="12556" width="7.85546875" style="309" customWidth="1"/>
    <col min="12557" max="12557" width="7.7109375" style="309" customWidth="1"/>
    <col min="12558" max="12558" width="15.28515625" style="309" customWidth="1"/>
    <col min="12559" max="12559" width="13.85546875" style="309" customWidth="1"/>
    <col min="12560" max="12560" width="18" style="309" customWidth="1"/>
    <col min="12561" max="12561" width="36" style="309" customWidth="1"/>
    <col min="12562" max="12562" width="13.7109375" style="309" customWidth="1"/>
    <col min="12563" max="12563" width="15.42578125" style="309" customWidth="1"/>
    <col min="12564" max="12564" width="9.140625" style="309"/>
    <col min="12565" max="12565" width="98.42578125" style="309" customWidth="1"/>
    <col min="12566" max="12799" width="9.140625" style="309"/>
    <col min="12800" max="12800" width="16.7109375" style="309" customWidth="1"/>
    <col min="12801" max="12802" width="6.5703125" style="309" customWidth="1"/>
    <col min="12803" max="12803" width="5.5703125" style="309" customWidth="1"/>
    <col min="12804" max="12804" width="11.42578125" style="309" customWidth="1"/>
    <col min="12805" max="12805" width="7.85546875" style="309" customWidth="1"/>
    <col min="12806" max="12806" width="10.5703125" style="309" customWidth="1"/>
    <col min="12807" max="12807" width="8.7109375" style="309" customWidth="1"/>
    <col min="12808" max="12808" width="8.85546875" style="309" customWidth="1"/>
    <col min="12809" max="12809" width="7.140625" style="309" customWidth="1"/>
    <col min="12810" max="12810" width="8.5703125" style="309" customWidth="1"/>
    <col min="12811" max="12811" width="8.42578125" style="309" customWidth="1"/>
    <col min="12812" max="12812" width="7.85546875" style="309" customWidth="1"/>
    <col min="12813" max="12813" width="7.7109375" style="309" customWidth="1"/>
    <col min="12814" max="12814" width="15.28515625" style="309" customWidth="1"/>
    <col min="12815" max="12815" width="13.85546875" style="309" customWidth="1"/>
    <col min="12816" max="12816" width="18" style="309" customWidth="1"/>
    <col min="12817" max="12817" width="36" style="309" customWidth="1"/>
    <col min="12818" max="12818" width="13.7109375" style="309" customWidth="1"/>
    <col min="12819" max="12819" width="15.42578125" style="309" customWidth="1"/>
    <col min="12820" max="12820" width="9.140625" style="309"/>
    <col min="12821" max="12821" width="98.42578125" style="309" customWidth="1"/>
    <col min="12822" max="13055" width="9.140625" style="309"/>
    <col min="13056" max="13056" width="16.7109375" style="309" customWidth="1"/>
    <col min="13057" max="13058" width="6.5703125" style="309" customWidth="1"/>
    <col min="13059" max="13059" width="5.5703125" style="309" customWidth="1"/>
    <col min="13060" max="13060" width="11.42578125" style="309" customWidth="1"/>
    <col min="13061" max="13061" width="7.85546875" style="309" customWidth="1"/>
    <col min="13062" max="13062" width="10.5703125" style="309" customWidth="1"/>
    <col min="13063" max="13063" width="8.7109375" style="309" customWidth="1"/>
    <col min="13064" max="13064" width="8.85546875" style="309" customWidth="1"/>
    <col min="13065" max="13065" width="7.140625" style="309" customWidth="1"/>
    <col min="13066" max="13066" width="8.5703125" style="309" customWidth="1"/>
    <col min="13067" max="13067" width="8.42578125" style="309" customWidth="1"/>
    <col min="13068" max="13068" width="7.85546875" style="309" customWidth="1"/>
    <col min="13069" max="13069" width="7.7109375" style="309" customWidth="1"/>
    <col min="13070" max="13070" width="15.28515625" style="309" customWidth="1"/>
    <col min="13071" max="13071" width="13.85546875" style="309" customWidth="1"/>
    <col min="13072" max="13072" width="18" style="309" customWidth="1"/>
    <col min="13073" max="13073" width="36" style="309" customWidth="1"/>
    <col min="13074" max="13074" width="13.7109375" style="309" customWidth="1"/>
    <col min="13075" max="13075" width="15.42578125" style="309" customWidth="1"/>
    <col min="13076" max="13076" width="9.140625" style="309"/>
    <col min="13077" max="13077" width="98.42578125" style="309" customWidth="1"/>
    <col min="13078" max="13311" width="9.140625" style="309"/>
    <col min="13312" max="13312" width="16.7109375" style="309" customWidth="1"/>
    <col min="13313" max="13314" width="6.5703125" style="309" customWidth="1"/>
    <col min="13315" max="13315" width="5.5703125" style="309" customWidth="1"/>
    <col min="13316" max="13316" width="11.42578125" style="309" customWidth="1"/>
    <col min="13317" max="13317" width="7.85546875" style="309" customWidth="1"/>
    <col min="13318" max="13318" width="10.5703125" style="309" customWidth="1"/>
    <col min="13319" max="13319" width="8.7109375" style="309" customWidth="1"/>
    <col min="13320" max="13320" width="8.85546875" style="309" customWidth="1"/>
    <col min="13321" max="13321" width="7.140625" style="309" customWidth="1"/>
    <col min="13322" max="13322" width="8.5703125" style="309" customWidth="1"/>
    <col min="13323" max="13323" width="8.42578125" style="309" customWidth="1"/>
    <col min="13324" max="13324" width="7.85546875" style="309" customWidth="1"/>
    <col min="13325" max="13325" width="7.7109375" style="309" customWidth="1"/>
    <col min="13326" max="13326" width="15.28515625" style="309" customWidth="1"/>
    <col min="13327" max="13327" width="13.85546875" style="309" customWidth="1"/>
    <col min="13328" max="13328" width="18" style="309" customWidth="1"/>
    <col min="13329" max="13329" width="36" style="309" customWidth="1"/>
    <col min="13330" max="13330" width="13.7109375" style="309" customWidth="1"/>
    <col min="13331" max="13331" width="15.42578125" style="309" customWidth="1"/>
    <col min="13332" max="13332" width="9.140625" style="309"/>
    <col min="13333" max="13333" width="98.42578125" style="309" customWidth="1"/>
    <col min="13334" max="13567" width="9.140625" style="309"/>
    <col min="13568" max="13568" width="16.7109375" style="309" customWidth="1"/>
    <col min="13569" max="13570" width="6.5703125" style="309" customWidth="1"/>
    <col min="13571" max="13571" width="5.5703125" style="309" customWidth="1"/>
    <col min="13572" max="13572" width="11.42578125" style="309" customWidth="1"/>
    <col min="13573" max="13573" width="7.85546875" style="309" customWidth="1"/>
    <col min="13574" max="13574" width="10.5703125" style="309" customWidth="1"/>
    <col min="13575" max="13575" width="8.7109375" style="309" customWidth="1"/>
    <col min="13576" max="13576" width="8.85546875" style="309" customWidth="1"/>
    <col min="13577" max="13577" width="7.140625" style="309" customWidth="1"/>
    <col min="13578" max="13578" width="8.5703125" style="309" customWidth="1"/>
    <col min="13579" max="13579" width="8.42578125" style="309" customWidth="1"/>
    <col min="13580" max="13580" width="7.85546875" style="309" customWidth="1"/>
    <col min="13581" max="13581" width="7.7109375" style="309" customWidth="1"/>
    <col min="13582" max="13582" width="15.28515625" style="309" customWidth="1"/>
    <col min="13583" max="13583" width="13.85546875" style="309" customWidth="1"/>
    <col min="13584" max="13584" width="18" style="309" customWidth="1"/>
    <col min="13585" max="13585" width="36" style="309" customWidth="1"/>
    <col min="13586" max="13586" width="13.7109375" style="309" customWidth="1"/>
    <col min="13587" max="13587" width="15.42578125" style="309" customWidth="1"/>
    <col min="13588" max="13588" width="9.140625" style="309"/>
    <col min="13589" max="13589" width="98.42578125" style="309" customWidth="1"/>
    <col min="13590" max="13823" width="9.140625" style="309"/>
    <col min="13824" max="13824" width="16.7109375" style="309" customWidth="1"/>
    <col min="13825" max="13826" width="6.5703125" style="309" customWidth="1"/>
    <col min="13827" max="13827" width="5.5703125" style="309" customWidth="1"/>
    <col min="13828" max="13828" width="11.42578125" style="309" customWidth="1"/>
    <col min="13829" max="13829" width="7.85546875" style="309" customWidth="1"/>
    <col min="13830" max="13830" width="10.5703125" style="309" customWidth="1"/>
    <col min="13831" max="13831" width="8.7109375" style="309" customWidth="1"/>
    <col min="13832" max="13832" width="8.85546875" style="309" customWidth="1"/>
    <col min="13833" max="13833" width="7.140625" style="309" customWidth="1"/>
    <col min="13834" max="13834" width="8.5703125" style="309" customWidth="1"/>
    <col min="13835" max="13835" width="8.42578125" style="309" customWidth="1"/>
    <col min="13836" max="13836" width="7.85546875" style="309" customWidth="1"/>
    <col min="13837" max="13837" width="7.7109375" style="309" customWidth="1"/>
    <col min="13838" max="13838" width="15.28515625" style="309" customWidth="1"/>
    <col min="13839" max="13839" width="13.85546875" style="309" customWidth="1"/>
    <col min="13840" max="13840" width="18" style="309" customWidth="1"/>
    <col min="13841" max="13841" width="36" style="309" customWidth="1"/>
    <col min="13842" max="13842" width="13.7109375" style="309" customWidth="1"/>
    <col min="13843" max="13843" width="15.42578125" style="309" customWidth="1"/>
    <col min="13844" max="13844" width="9.140625" style="309"/>
    <col min="13845" max="13845" width="98.42578125" style="309" customWidth="1"/>
    <col min="13846" max="14079" width="9.140625" style="309"/>
    <col min="14080" max="14080" width="16.7109375" style="309" customWidth="1"/>
    <col min="14081" max="14082" width="6.5703125" style="309" customWidth="1"/>
    <col min="14083" max="14083" width="5.5703125" style="309" customWidth="1"/>
    <col min="14084" max="14084" width="11.42578125" style="309" customWidth="1"/>
    <col min="14085" max="14085" width="7.85546875" style="309" customWidth="1"/>
    <col min="14086" max="14086" width="10.5703125" style="309" customWidth="1"/>
    <col min="14087" max="14087" width="8.7109375" style="309" customWidth="1"/>
    <col min="14088" max="14088" width="8.85546875" style="309" customWidth="1"/>
    <col min="14089" max="14089" width="7.140625" style="309" customWidth="1"/>
    <col min="14090" max="14090" width="8.5703125" style="309" customWidth="1"/>
    <col min="14091" max="14091" width="8.42578125" style="309" customWidth="1"/>
    <col min="14092" max="14092" width="7.85546875" style="309" customWidth="1"/>
    <col min="14093" max="14093" width="7.7109375" style="309" customWidth="1"/>
    <col min="14094" max="14094" width="15.28515625" style="309" customWidth="1"/>
    <col min="14095" max="14095" width="13.85546875" style="309" customWidth="1"/>
    <col min="14096" max="14096" width="18" style="309" customWidth="1"/>
    <col min="14097" max="14097" width="36" style="309" customWidth="1"/>
    <col min="14098" max="14098" width="13.7109375" style="309" customWidth="1"/>
    <col min="14099" max="14099" width="15.42578125" style="309" customWidth="1"/>
    <col min="14100" max="14100" width="9.140625" style="309"/>
    <col min="14101" max="14101" width="98.42578125" style="309" customWidth="1"/>
    <col min="14102" max="14335" width="9.140625" style="309"/>
    <col min="14336" max="14336" width="16.7109375" style="309" customWidth="1"/>
    <col min="14337" max="14338" width="6.5703125" style="309" customWidth="1"/>
    <col min="14339" max="14339" width="5.5703125" style="309" customWidth="1"/>
    <col min="14340" max="14340" width="11.42578125" style="309" customWidth="1"/>
    <col min="14341" max="14341" width="7.85546875" style="309" customWidth="1"/>
    <col min="14342" max="14342" width="10.5703125" style="309" customWidth="1"/>
    <col min="14343" max="14343" width="8.7109375" style="309" customWidth="1"/>
    <col min="14344" max="14344" width="8.85546875" style="309" customWidth="1"/>
    <col min="14345" max="14345" width="7.140625" style="309" customWidth="1"/>
    <col min="14346" max="14346" width="8.5703125" style="309" customWidth="1"/>
    <col min="14347" max="14347" width="8.42578125" style="309" customWidth="1"/>
    <col min="14348" max="14348" width="7.85546875" style="309" customWidth="1"/>
    <col min="14349" max="14349" width="7.7109375" style="309" customWidth="1"/>
    <col min="14350" max="14350" width="15.28515625" style="309" customWidth="1"/>
    <col min="14351" max="14351" width="13.85546875" style="309" customWidth="1"/>
    <col min="14352" max="14352" width="18" style="309" customWidth="1"/>
    <col min="14353" max="14353" width="36" style="309" customWidth="1"/>
    <col min="14354" max="14354" width="13.7109375" style="309" customWidth="1"/>
    <col min="14355" max="14355" width="15.42578125" style="309" customWidth="1"/>
    <col min="14356" max="14356" width="9.140625" style="309"/>
    <col min="14357" max="14357" width="98.42578125" style="309" customWidth="1"/>
    <col min="14358" max="14591" width="9.140625" style="309"/>
    <col min="14592" max="14592" width="16.7109375" style="309" customWidth="1"/>
    <col min="14593" max="14594" width="6.5703125" style="309" customWidth="1"/>
    <col min="14595" max="14595" width="5.5703125" style="309" customWidth="1"/>
    <col min="14596" max="14596" width="11.42578125" style="309" customWidth="1"/>
    <col min="14597" max="14597" width="7.85546875" style="309" customWidth="1"/>
    <col min="14598" max="14598" width="10.5703125" style="309" customWidth="1"/>
    <col min="14599" max="14599" width="8.7109375" style="309" customWidth="1"/>
    <col min="14600" max="14600" width="8.85546875" style="309" customWidth="1"/>
    <col min="14601" max="14601" width="7.140625" style="309" customWidth="1"/>
    <col min="14602" max="14602" width="8.5703125" style="309" customWidth="1"/>
    <col min="14603" max="14603" width="8.42578125" style="309" customWidth="1"/>
    <col min="14604" max="14604" width="7.85546875" style="309" customWidth="1"/>
    <col min="14605" max="14605" width="7.7109375" style="309" customWidth="1"/>
    <col min="14606" max="14606" width="15.28515625" style="309" customWidth="1"/>
    <col min="14607" max="14607" width="13.85546875" style="309" customWidth="1"/>
    <col min="14608" max="14608" width="18" style="309" customWidth="1"/>
    <col min="14609" max="14609" width="36" style="309" customWidth="1"/>
    <col min="14610" max="14610" width="13.7109375" style="309" customWidth="1"/>
    <col min="14611" max="14611" width="15.42578125" style="309" customWidth="1"/>
    <col min="14612" max="14612" width="9.140625" style="309"/>
    <col min="14613" max="14613" width="98.42578125" style="309" customWidth="1"/>
    <col min="14614" max="14847" width="9.140625" style="309"/>
    <col min="14848" max="14848" width="16.7109375" style="309" customWidth="1"/>
    <col min="14849" max="14850" width="6.5703125" style="309" customWidth="1"/>
    <col min="14851" max="14851" width="5.5703125" style="309" customWidth="1"/>
    <col min="14852" max="14852" width="11.42578125" style="309" customWidth="1"/>
    <col min="14853" max="14853" width="7.85546875" style="309" customWidth="1"/>
    <col min="14854" max="14854" width="10.5703125" style="309" customWidth="1"/>
    <col min="14855" max="14855" width="8.7109375" style="309" customWidth="1"/>
    <col min="14856" max="14856" width="8.85546875" style="309" customWidth="1"/>
    <col min="14857" max="14857" width="7.140625" style="309" customWidth="1"/>
    <col min="14858" max="14858" width="8.5703125" style="309" customWidth="1"/>
    <col min="14859" max="14859" width="8.42578125" style="309" customWidth="1"/>
    <col min="14860" max="14860" width="7.85546875" style="309" customWidth="1"/>
    <col min="14861" max="14861" width="7.7109375" style="309" customWidth="1"/>
    <col min="14862" max="14862" width="15.28515625" style="309" customWidth="1"/>
    <col min="14863" max="14863" width="13.85546875" style="309" customWidth="1"/>
    <col min="14864" max="14864" width="18" style="309" customWidth="1"/>
    <col min="14865" max="14865" width="36" style="309" customWidth="1"/>
    <col min="14866" max="14866" width="13.7109375" style="309" customWidth="1"/>
    <col min="14867" max="14867" width="15.42578125" style="309" customWidth="1"/>
    <col min="14868" max="14868" width="9.140625" style="309"/>
    <col min="14869" max="14869" width="98.42578125" style="309" customWidth="1"/>
    <col min="14870" max="15103" width="9.140625" style="309"/>
    <col min="15104" max="15104" width="16.7109375" style="309" customWidth="1"/>
    <col min="15105" max="15106" width="6.5703125" style="309" customWidth="1"/>
    <col min="15107" max="15107" width="5.5703125" style="309" customWidth="1"/>
    <col min="15108" max="15108" width="11.42578125" style="309" customWidth="1"/>
    <col min="15109" max="15109" width="7.85546875" style="309" customWidth="1"/>
    <col min="15110" max="15110" width="10.5703125" style="309" customWidth="1"/>
    <col min="15111" max="15111" width="8.7109375" style="309" customWidth="1"/>
    <col min="15112" max="15112" width="8.85546875" style="309" customWidth="1"/>
    <col min="15113" max="15113" width="7.140625" style="309" customWidth="1"/>
    <col min="15114" max="15114" width="8.5703125" style="309" customWidth="1"/>
    <col min="15115" max="15115" width="8.42578125" style="309" customWidth="1"/>
    <col min="15116" max="15116" width="7.85546875" style="309" customWidth="1"/>
    <col min="15117" max="15117" width="7.7109375" style="309" customWidth="1"/>
    <col min="15118" max="15118" width="15.28515625" style="309" customWidth="1"/>
    <col min="15119" max="15119" width="13.85546875" style="309" customWidth="1"/>
    <col min="15120" max="15120" width="18" style="309" customWidth="1"/>
    <col min="15121" max="15121" width="36" style="309" customWidth="1"/>
    <col min="15122" max="15122" width="13.7109375" style="309" customWidth="1"/>
    <col min="15123" max="15123" width="15.42578125" style="309" customWidth="1"/>
    <col min="15124" max="15124" width="9.140625" style="309"/>
    <col min="15125" max="15125" width="98.42578125" style="309" customWidth="1"/>
    <col min="15126" max="15359" width="9.140625" style="309"/>
    <col min="15360" max="15360" width="16.7109375" style="309" customWidth="1"/>
    <col min="15361" max="15362" width="6.5703125" style="309" customWidth="1"/>
    <col min="15363" max="15363" width="5.5703125" style="309" customWidth="1"/>
    <col min="15364" max="15364" width="11.42578125" style="309" customWidth="1"/>
    <col min="15365" max="15365" width="7.85546875" style="309" customWidth="1"/>
    <col min="15366" max="15366" width="10.5703125" style="309" customWidth="1"/>
    <col min="15367" max="15367" width="8.7109375" style="309" customWidth="1"/>
    <col min="15368" max="15368" width="8.85546875" style="309" customWidth="1"/>
    <col min="15369" max="15369" width="7.140625" style="309" customWidth="1"/>
    <col min="15370" max="15370" width="8.5703125" style="309" customWidth="1"/>
    <col min="15371" max="15371" width="8.42578125" style="309" customWidth="1"/>
    <col min="15372" max="15372" width="7.85546875" style="309" customWidth="1"/>
    <col min="15373" max="15373" width="7.7109375" style="309" customWidth="1"/>
    <col min="15374" max="15374" width="15.28515625" style="309" customWidth="1"/>
    <col min="15375" max="15375" width="13.85546875" style="309" customWidth="1"/>
    <col min="15376" max="15376" width="18" style="309" customWidth="1"/>
    <col min="15377" max="15377" width="36" style="309" customWidth="1"/>
    <col min="15378" max="15378" width="13.7109375" style="309" customWidth="1"/>
    <col min="15379" max="15379" width="15.42578125" style="309" customWidth="1"/>
    <col min="15380" max="15380" width="9.140625" style="309"/>
    <col min="15381" max="15381" width="98.42578125" style="309" customWidth="1"/>
    <col min="15382" max="15615" width="9.140625" style="309"/>
    <col min="15616" max="15616" width="16.7109375" style="309" customWidth="1"/>
    <col min="15617" max="15618" width="6.5703125" style="309" customWidth="1"/>
    <col min="15619" max="15619" width="5.5703125" style="309" customWidth="1"/>
    <col min="15620" max="15620" width="11.42578125" style="309" customWidth="1"/>
    <col min="15621" max="15621" width="7.85546875" style="309" customWidth="1"/>
    <col min="15622" max="15622" width="10.5703125" style="309" customWidth="1"/>
    <col min="15623" max="15623" width="8.7109375" style="309" customWidth="1"/>
    <col min="15624" max="15624" width="8.85546875" style="309" customWidth="1"/>
    <col min="15625" max="15625" width="7.140625" style="309" customWidth="1"/>
    <col min="15626" max="15626" width="8.5703125" style="309" customWidth="1"/>
    <col min="15627" max="15627" width="8.42578125" style="309" customWidth="1"/>
    <col min="15628" max="15628" width="7.85546875" style="309" customWidth="1"/>
    <col min="15629" max="15629" width="7.7109375" style="309" customWidth="1"/>
    <col min="15630" max="15630" width="15.28515625" style="309" customWidth="1"/>
    <col min="15631" max="15631" width="13.85546875" style="309" customWidth="1"/>
    <col min="15632" max="15632" width="18" style="309" customWidth="1"/>
    <col min="15633" max="15633" width="36" style="309" customWidth="1"/>
    <col min="15634" max="15634" width="13.7109375" style="309" customWidth="1"/>
    <col min="15635" max="15635" width="15.42578125" style="309" customWidth="1"/>
    <col min="15636" max="15636" width="9.140625" style="309"/>
    <col min="15637" max="15637" width="98.42578125" style="309" customWidth="1"/>
    <col min="15638" max="15871" width="9.140625" style="309"/>
    <col min="15872" max="15872" width="16.7109375" style="309" customWidth="1"/>
    <col min="15873" max="15874" width="6.5703125" style="309" customWidth="1"/>
    <col min="15875" max="15875" width="5.5703125" style="309" customWidth="1"/>
    <col min="15876" max="15876" width="11.42578125" style="309" customWidth="1"/>
    <col min="15877" max="15877" width="7.85546875" style="309" customWidth="1"/>
    <col min="15878" max="15878" width="10.5703125" style="309" customWidth="1"/>
    <col min="15879" max="15879" width="8.7109375" style="309" customWidth="1"/>
    <col min="15880" max="15880" width="8.85546875" style="309" customWidth="1"/>
    <col min="15881" max="15881" width="7.140625" style="309" customWidth="1"/>
    <col min="15882" max="15882" width="8.5703125" style="309" customWidth="1"/>
    <col min="15883" max="15883" width="8.42578125" style="309" customWidth="1"/>
    <col min="15884" max="15884" width="7.85546875" style="309" customWidth="1"/>
    <col min="15885" max="15885" width="7.7109375" style="309" customWidth="1"/>
    <col min="15886" max="15886" width="15.28515625" style="309" customWidth="1"/>
    <col min="15887" max="15887" width="13.85546875" style="309" customWidth="1"/>
    <col min="15888" max="15888" width="18" style="309" customWidth="1"/>
    <col min="15889" max="15889" width="36" style="309" customWidth="1"/>
    <col min="15890" max="15890" width="13.7109375" style="309" customWidth="1"/>
    <col min="15891" max="15891" width="15.42578125" style="309" customWidth="1"/>
    <col min="15892" max="15892" width="9.140625" style="309"/>
    <col min="15893" max="15893" width="98.42578125" style="309" customWidth="1"/>
    <col min="15894" max="16127" width="9.140625" style="309"/>
    <col min="16128" max="16128" width="16.7109375" style="309" customWidth="1"/>
    <col min="16129" max="16130" width="6.5703125" style="309" customWidth="1"/>
    <col min="16131" max="16131" width="5.5703125" style="309" customWidth="1"/>
    <col min="16132" max="16132" width="11.42578125" style="309" customWidth="1"/>
    <col min="16133" max="16133" width="7.85546875" style="309" customWidth="1"/>
    <col min="16134" max="16134" width="10.5703125" style="309" customWidth="1"/>
    <col min="16135" max="16135" width="8.7109375" style="309" customWidth="1"/>
    <col min="16136" max="16136" width="8.85546875" style="309" customWidth="1"/>
    <col min="16137" max="16137" width="7.140625" style="309" customWidth="1"/>
    <col min="16138" max="16138" width="8.5703125" style="309" customWidth="1"/>
    <col min="16139" max="16139" width="8.42578125" style="309" customWidth="1"/>
    <col min="16140" max="16140" width="7.85546875" style="309" customWidth="1"/>
    <col min="16141" max="16141" width="7.7109375" style="309" customWidth="1"/>
    <col min="16142" max="16142" width="15.28515625" style="309" customWidth="1"/>
    <col min="16143" max="16143" width="13.85546875" style="309" customWidth="1"/>
    <col min="16144" max="16144" width="18" style="309" customWidth="1"/>
    <col min="16145" max="16145" width="36" style="309" customWidth="1"/>
    <col min="16146" max="16146" width="13.7109375" style="309" customWidth="1"/>
    <col min="16147" max="16147" width="15.42578125" style="309" customWidth="1"/>
    <col min="16148" max="16148" width="9.140625" style="309"/>
    <col min="16149" max="16149" width="98.42578125" style="309" customWidth="1"/>
    <col min="16150" max="16384" width="9.140625" style="309"/>
  </cols>
  <sheetData>
    <row r="1" spans="1:85" s="178" customFormat="1" ht="15" customHeight="1" x14ac:dyDescent="0.25">
      <c r="A1" s="176" t="s">
        <v>2359</v>
      </c>
      <c r="B1" s="176" t="s">
        <v>2034</v>
      </c>
      <c r="C1" s="176" t="s">
        <v>2033</v>
      </c>
      <c r="D1" s="176" t="s">
        <v>2370</v>
      </c>
      <c r="E1" s="176" t="s">
        <v>2373</v>
      </c>
      <c r="F1" s="176" t="s">
        <v>2371</v>
      </c>
      <c r="G1" s="176" t="s">
        <v>2037</v>
      </c>
      <c r="H1" s="176" t="s">
        <v>2360</v>
      </c>
      <c r="I1" s="176" t="s">
        <v>2361</v>
      </c>
      <c r="J1" s="176" t="s">
        <v>2372</v>
      </c>
      <c r="K1" s="176" t="s">
        <v>2362</v>
      </c>
      <c r="L1" s="176" t="s">
        <v>2036</v>
      </c>
      <c r="M1" s="177" t="s">
        <v>2363</v>
      </c>
      <c r="N1" s="177" t="s">
        <v>2364</v>
      </c>
      <c r="O1" s="176" t="s">
        <v>2365</v>
      </c>
      <c r="P1" s="176" t="s">
        <v>2366</v>
      </c>
      <c r="Q1" s="176" t="s">
        <v>168</v>
      </c>
      <c r="R1" s="176" t="s">
        <v>2367</v>
      </c>
      <c r="S1" s="176" t="s">
        <v>2368</v>
      </c>
      <c r="T1" s="176" t="s">
        <v>2369</v>
      </c>
      <c r="U1" s="176" t="s">
        <v>2089</v>
      </c>
      <c r="X1" s="178" t="s">
        <v>2490</v>
      </c>
      <c r="Y1" s="178" t="s">
        <v>2491</v>
      </c>
      <c r="Z1" s="178" t="s">
        <v>2492</v>
      </c>
    </row>
    <row r="2" spans="1:85" x14ac:dyDescent="0.25">
      <c r="A2" s="365">
        <v>1</v>
      </c>
      <c r="B2" s="365">
        <v>5</v>
      </c>
      <c r="C2" s="365">
        <v>1</v>
      </c>
      <c r="D2" s="365" t="s">
        <v>2374</v>
      </c>
      <c r="E2" s="365" t="s">
        <v>2435</v>
      </c>
      <c r="F2" s="365" t="s">
        <v>2378</v>
      </c>
      <c r="G2" s="365" t="s">
        <v>2435</v>
      </c>
      <c r="H2" s="365" t="s">
        <v>2435</v>
      </c>
      <c r="I2" s="365">
        <v>0</v>
      </c>
      <c r="J2" s="365">
        <v>1</v>
      </c>
      <c r="K2" s="365">
        <v>0</v>
      </c>
      <c r="L2" s="365">
        <v>1</v>
      </c>
      <c r="M2" s="366">
        <v>34</v>
      </c>
      <c r="N2" s="399" t="s">
        <v>490</v>
      </c>
      <c r="O2" s="237" t="s">
        <v>1482</v>
      </c>
      <c r="P2" s="237"/>
      <c r="Q2" s="360" t="s">
        <v>2129</v>
      </c>
      <c r="R2" s="361">
        <v>28751</v>
      </c>
      <c r="S2" s="362" t="s">
        <v>248</v>
      </c>
      <c r="T2" s="363">
        <v>4.0999999999999996</v>
      </c>
      <c r="U2" s="364" t="s">
        <v>2130</v>
      </c>
      <c r="X2" s="309">
        <v>70</v>
      </c>
      <c r="Y2" s="309">
        <v>215</v>
      </c>
      <c r="Z2" s="309">
        <v>180</v>
      </c>
      <c r="AH2" s="309" t="s">
        <v>2371</v>
      </c>
      <c r="AI2" s="309" t="s">
        <v>2370</v>
      </c>
      <c r="AS2" s="309" t="s">
        <v>2033</v>
      </c>
      <c r="AT2" s="309" t="s">
        <v>2034</v>
      </c>
      <c r="AU2" s="309" t="s">
        <v>2034</v>
      </c>
      <c r="AV2" s="309" t="s">
        <v>2034</v>
      </c>
      <c r="AW2" s="309" t="s">
        <v>2034</v>
      </c>
      <c r="AX2" s="309" t="s">
        <v>2034</v>
      </c>
      <c r="BY2" s="309" t="s">
        <v>2372</v>
      </c>
      <c r="BZ2" s="309" t="s">
        <v>2036</v>
      </c>
      <c r="CA2" s="309" t="s">
        <v>2359</v>
      </c>
    </row>
    <row r="3" spans="1:85" x14ac:dyDescent="0.25">
      <c r="A3" s="197">
        <v>2</v>
      </c>
      <c r="B3" s="197">
        <v>5</v>
      </c>
      <c r="C3" s="197">
        <v>1</v>
      </c>
      <c r="D3" s="197" t="s">
        <v>2374</v>
      </c>
      <c r="E3" s="197" t="s">
        <v>2435</v>
      </c>
      <c r="F3" s="197" t="s">
        <v>2435</v>
      </c>
      <c r="G3" s="197" t="s">
        <v>2435</v>
      </c>
      <c r="H3" s="197" t="s">
        <v>2375</v>
      </c>
      <c r="I3" s="197">
        <v>0</v>
      </c>
      <c r="J3" s="197">
        <v>0</v>
      </c>
      <c r="K3" s="197">
        <v>1</v>
      </c>
      <c r="L3" s="197">
        <v>1</v>
      </c>
      <c r="M3" s="359">
        <v>15</v>
      </c>
      <c r="N3" s="399" t="s">
        <v>414</v>
      </c>
      <c r="O3" s="237" t="s">
        <v>1482</v>
      </c>
      <c r="P3" s="237"/>
      <c r="Q3" s="360" t="s">
        <v>2108</v>
      </c>
      <c r="R3" s="361">
        <v>30594</v>
      </c>
      <c r="S3" s="362" t="s">
        <v>248</v>
      </c>
      <c r="T3" s="363">
        <v>3.5</v>
      </c>
      <c r="U3" s="364" t="s">
        <v>2109</v>
      </c>
      <c r="X3" s="309">
        <v>0.75</v>
      </c>
      <c r="Y3" s="309">
        <f>Y4/2</f>
        <v>9.5</v>
      </c>
      <c r="Z3" s="309">
        <f>Z4/2</f>
        <v>8</v>
      </c>
      <c r="AH3" s="309" t="s">
        <v>2370</v>
      </c>
      <c r="AI3" s="309" t="s">
        <v>2360</v>
      </c>
      <c r="AS3" s="309" t="s">
        <v>2033</v>
      </c>
      <c r="AT3" s="309" t="s">
        <v>2034</v>
      </c>
      <c r="AU3" s="309" t="s">
        <v>2034</v>
      </c>
      <c r="AV3" s="309" t="s">
        <v>2034</v>
      </c>
      <c r="AW3" s="309" t="s">
        <v>2034</v>
      </c>
      <c r="AX3" s="309" t="s">
        <v>2034</v>
      </c>
      <c r="BY3" s="309" t="s">
        <v>2362</v>
      </c>
      <c r="BZ3" s="309" t="s">
        <v>2036</v>
      </c>
      <c r="CA3" s="309" t="s">
        <v>2359</v>
      </c>
      <c r="CB3" s="309" t="s">
        <v>2359</v>
      </c>
    </row>
    <row r="4" spans="1:85" x14ac:dyDescent="0.25">
      <c r="A4" s="197">
        <v>2</v>
      </c>
      <c r="B4" s="197">
        <v>5</v>
      </c>
      <c r="C4" s="197">
        <v>1</v>
      </c>
      <c r="D4" s="197" t="s">
        <v>2376</v>
      </c>
      <c r="E4" s="197" t="s">
        <v>2435</v>
      </c>
      <c r="F4" s="197" t="s">
        <v>2435</v>
      </c>
      <c r="G4" s="197" t="s">
        <v>2435</v>
      </c>
      <c r="H4" s="197" t="s">
        <v>2375</v>
      </c>
      <c r="I4" s="197">
        <v>0</v>
      </c>
      <c r="J4" s="197">
        <v>0</v>
      </c>
      <c r="K4" s="197">
        <v>1</v>
      </c>
      <c r="L4" s="197">
        <v>1</v>
      </c>
      <c r="M4" s="359">
        <v>18</v>
      </c>
      <c r="N4" s="399" t="s">
        <v>417</v>
      </c>
      <c r="O4" s="237" t="s">
        <v>1482</v>
      </c>
      <c r="P4" s="237"/>
      <c r="Q4" s="360" t="s">
        <v>2111</v>
      </c>
      <c r="R4" s="361">
        <v>30661</v>
      </c>
      <c r="S4" s="362" t="s">
        <v>248</v>
      </c>
      <c r="T4" s="363">
        <v>3.5</v>
      </c>
      <c r="U4" s="364" t="s">
        <v>2112</v>
      </c>
      <c r="X4" s="309">
        <v>1.5</v>
      </c>
      <c r="Y4" s="309">
        <v>19</v>
      </c>
      <c r="Z4" s="309">
        <v>16</v>
      </c>
      <c r="AC4" s="263"/>
      <c r="AH4" s="309" t="s">
        <v>2370</v>
      </c>
      <c r="AI4" s="309" t="s">
        <v>2360</v>
      </c>
      <c r="AS4" s="309" t="s">
        <v>2033</v>
      </c>
      <c r="AT4" s="309" t="s">
        <v>2034</v>
      </c>
      <c r="AU4" s="309" t="s">
        <v>2034</v>
      </c>
      <c r="AV4" s="309" t="s">
        <v>2034</v>
      </c>
      <c r="AW4" s="309" t="s">
        <v>2034</v>
      </c>
      <c r="AX4" s="309" t="s">
        <v>2034</v>
      </c>
      <c r="BY4" s="309" t="s">
        <v>2362</v>
      </c>
      <c r="BZ4" s="309" t="s">
        <v>2036</v>
      </c>
      <c r="CA4" s="309" t="s">
        <v>2359</v>
      </c>
      <c r="CB4" s="309" t="s">
        <v>2359</v>
      </c>
    </row>
    <row r="5" spans="1:85" x14ac:dyDescent="0.25">
      <c r="A5" s="365">
        <v>1</v>
      </c>
      <c r="B5" s="365">
        <v>5</v>
      </c>
      <c r="C5" s="365">
        <v>1</v>
      </c>
      <c r="D5" s="365" t="s">
        <v>2374</v>
      </c>
      <c r="E5" s="365" t="s">
        <v>2435</v>
      </c>
      <c r="F5" s="365" t="s">
        <v>2380</v>
      </c>
      <c r="G5" s="365" t="s">
        <v>2435</v>
      </c>
      <c r="H5" s="365" t="s">
        <v>2435</v>
      </c>
      <c r="I5" s="365">
        <v>0</v>
      </c>
      <c r="J5" s="365">
        <v>1</v>
      </c>
      <c r="K5" s="365">
        <v>0</v>
      </c>
      <c r="L5" s="365">
        <v>1</v>
      </c>
      <c r="M5" s="366">
        <v>49</v>
      </c>
      <c r="N5" s="399" t="s">
        <v>493</v>
      </c>
      <c r="O5" s="237" t="s">
        <v>1482</v>
      </c>
      <c r="P5" s="237"/>
      <c r="Q5" s="360" t="s">
        <v>2131</v>
      </c>
      <c r="R5" s="361">
        <v>31182</v>
      </c>
      <c r="S5" s="362" t="s">
        <v>248</v>
      </c>
      <c r="T5" s="363">
        <v>4.0999999999999996</v>
      </c>
      <c r="U5" s="364" t="s">
        <v>2132</v>
      </c>
      <c r="X5" s="309">
        <v>2.5</v>
      </c>
      <c r="Y5" s="309">
        <v>27</v>
      </c>
      <c r="Z5" s="309">
        <v>25</v>
      </c>
      <c r="AH5" s="309" t="s">
        <v>2371</v>
      </c>
      <c r="AI5" s="309" t="s">
        <v>2370</v>
      </c>
      <c r="AS5" s="309" t="s">
        <v>2033</v>
      </c>
      <c r="AT5" s="309" t="s">
        <v>2034</v>
      </c>
      <c r="AU5" s="309" t="s">
        <v>2034</v>
      </c>
      <c r="AV5" s="309" t="s">
        <v>2034</v>
      </c>
      <c r="AW5" s="309" t="s">
        <v>2034</v>
      </c>
      <c r="AX5" s="309" t="s">
        <v>2034</v>
      </c>
      <c r="BY5" s="309" t="s">
        <v>2372</v>
      </c>
      <c r="BZ5" s="309" t="s">
        <v>2036</v>
      </c>
      <c r="CA5" s="309" t="s">
        <v>2359</v>
      </c>
    </row>
    <row r="6" spans="1:85" x14ac:dyDescent="0.25">
      <c r="A6" s="197">
        <v>2</v>
      </c>
      <c r="B6" s="197">
        <v>5</v>
      </c>
      <c r="C6" s="197">
        <v>1</v>
      </c>
      <c r="D6" s="197" t="s">
        <v>2377</v>
      </c>
      <c r="E6" s="197" t="s">
        <v>2435</v>
      </c>
      <c r="F6" s="197" t="s">
        <v>2435</v>
      </c>
      <c r="G6" s="197" t="s">
        <v>2435</v>
      </c>
      <c r="H6" s="197" t="s">
        <v>2375</v>
      </c>
      <c r="I6" s="197">
        <v>0</v>
      </c>
      <c r="J6" s="197">
        <v>0</v>
      </c>
      <c r="K6" s="197">
        <v>1</v>
      </c>
      <c r="L6" s="197">
        <v>1</v>
      </c>
      <c r="M6" s="359">
        <v>24</v>
      </c>
      <c r="N6" s="399" t="s">
        <v>420</v>
      </c>
      <c r="O6" s="237" t="s">
        <v>1482</v>
      </c>
      <c r="P6" s="237"/>
      <c r="Q6" s="360" t="s">
        <v>2113</v>
      </c>
      <c r="R6" s="361">
        <v>31491</v>
      </c>
      <c r="S6" s="362" t="s">
        <v>248</v>
      </c>
      <c r="T6" s="363">
        <v>3.5</v>
      </c>
      <c r="U6" s="364" t="s">
        <v>2114</v>
      </c>
      <c r="X6" s="309">
        <v>4</v>
      </c>
      <c r="Y6" s="309">
        <v>38</v>
      </c>
      <c r="Z6" s="309">
        <v>30</v>
      </c>
      <c r="AC6" s="263"/>
      <c r="AH6" s="309" t="s">
        <v>2370</v>
      </c>
      <c r="AI6" s="309" t="s">
        <v>2360</v>
      </c>
      <c r="AS6" s="309" t="s">
        <v>2033</v>
      </c>
      <c r="AT6" s="309" t="s">
        <v>2034</v>
      </c>
      <c r="AU6" s="309" t="s">
        <v>2034</v>
      </c>
      <c r="AV6" s="309" t="s">
        <v>2034</v>
      </c>
      <c r="AW6" s="309" t="s">
        <v>2034</v>
      </c>
      <c r="AX6" s="309" t="s">
        <v>2034</v>
      </c>
      <c r="BY6" s="309" t="s">
        <v>2362</v>
      </c>
      <c r="BZ6" s="309" t="s">
        <v>2036</v>
      </c>
      <c r="CA6" s="309" t="s">
        <v>2359</v>
      </c>
      <c r="CB6" s="309" t="s">
        <v>2359</v>
      </c>
    </row>
    <row r="7" spans="1:85" x14ac:dyDescent="0.25">
      <c r="A7" s="365">
        <v>1</v>
      </c>
      <c r="B7" s="365">
        <v>5</v>
      </c>
      <c r="C7" s="365">
        <v>1</v>
      </c>
      <c r="D7" s="365" t="s">
        <v>2374</v>
      </c>
      <c r="E7" s="365" t="s">
        <v>2435</v>
      </c>
      <c r="F7" s="365" t="s">
        <v>2378</v>
      </c>
      <c r="G7" s="365" t="s">
        <v>2435</v>
      </c>
      <c r="H7" s="365" t="s">
        <v>2435</v>
      </c>
      <c r="I7" s="365">
        <v>0</v>
      </c>
      <c r="J7" s="365">
        <v>1</v>
      </c>
      <c r="K7" s="365">
        <v>0</v>
      </c>
      <c r="L7" s="365">
        <v>1</v>
      </c>
      <c r="M7" s="366">
        <v>34</v>
      </c>
      <c r="N7" s="399" t="s">
        <v>673</v>
      </c>
      <c r="O7" s="237" t="s">
        <v>1486</v>
      </c>
      <c r="P7" s="237"/>
      <c r="Q7" s="360" t="s">
        <v>2137</v>
      </c>
      <c r="R7" s="361">
        <v>33774</v>
      </c>
      <c r="S7" s="362" t="s">
        <v>248</v>
      </c>
      <c r="T7" s="363">
        <v>4.0999999999999996</v>
      </c>
      <c r="U7" s="364" t="s">
        <v>2138</v>
      </c>
      <c r="X7" s="309">
        <v>6</v>
      </c>
      <c r="Y7" s="309">
        <v>46</v>
      </c>
      <c r="Z7" s="309">
        <v>40</v>
      </c>
      <c r="AH7" s="309" t="s">
        <v>2371</v>
      </c>
      <c r="AI7" s="309" t="s">
        <v>2370</v>
      </c>
      <c r="AS7" s="309" t="s">
        <v>2033</v>
      </c>
      <c r="AT7" s="309" t="s">
        <v>2034</v>
      </c>
      <c r="AU7" s="309" t="s">
        <v>2034</v>
      </c>
      <c r="AV7" s="309" t="s">
        <v>2034</v>
      </c>
      <c r="AW7" s="309" t="s">
        <v>2034</v>
      </c>
      <c r="AX7" s="309" t="s">
        <v>2034</v>
      </c>
      <c r="BY7" s="309" t="s">
        <v>2372</v>
      </c>
      <c r="BZ7" s="309" t="s">
        <v>2036</v>
      </c>
      <c r="CA7" s="309" t="s">
        <v>2359</v>
      </c>
    </row>
    <row r="8" spans="1:85" x14ac:dyDescent="0.25">
      <c r="A8" s="197">
        <v>2</v>
      </c>
      <c r="B8" s="197">
        <v>5</v>
      </c>
      <c r="C8" s="197">
        <v>1</v>
      </c>
      <c r="D8" s="197" t="s">
        <v>2374</v>
      </c>
      <c r="E8" s="197" t="s">
        <v>2435</v>
      </c>
      <c r="F8" s="197" t="s">
        <v>2435</v>
      </c>
      <c r="G8" s="197" t="s">
        <v>2435</v>
      </c>
      <c r="H8" s="197" t="s">
        <v>2375</v>
      </c>
      <c r="I8" s="197">
        <v>0</v>
      </c>
      <c r="J8" s="197">
        <v>0</v>
      </c>
      <c r="K8" s="197">
        <v>1</v>
      </c>
      <c r="L8" s="197">
        <v>1</v>
      </c>
      <c r="M8" s="359">
        <v>15</v>
      </c>
      <c r="N8" s="399" t="s">
        <v>455</v>
      </c>
      <c r="O8" s="237" t="s">
        <v>1486</v>
      </c>
      <c r="P8" s="237"/>
      <c r="Q8" s="360" t="s">
        <v>2119</v>
      </c>
      <c r="R8" s="361">
        <v>33850</v>
      </c>
      <c r="S8" s="362" t="s">
        <v>248</v>
      </c>
      <c r="T8" s="363">
        <v>3.5</v>
      </c>
      <c r="U8" s="364" t="s">
        <v>2120</v>
      </c>
      <c r="X8" s="309">
        <v>10</v>
      </c>
      <c r="Y8" s="309">
        <v>70</v>
      </c>
      <c r="Z8" s="309">
        <v>50</v>
      </c>
      <c r="AC8" s="263"/>
      <c r="AH8" s="309" t="s">
        <v>2370</v>
      </c>
      <c r="AI8" s="309" t="s">
        <v>2360</v>
      </c>
      <c r="AS8" s="309" t="s">
        <v>2033</v>
      </c>
      <c r="AT8" s="309" t="s">
        <v>2034</v>
      </c>
      <c r="AU8" s="309" t="s">
        <v>2034</v>
      </c>
      <c r="AV8" s="309" t="s">
        <v>2034</v>
      </c>
      <c r="AW8" s="309" t="s">
        <v>2034</v>
      </c>
      <c r="AX8" s="309" t="s">
        <v>2034</v>
      </c>
      <c r="BY8" s="309" t="s">
        <v>2362</v>
      </c>
      <c r="BZ8" s="309" t="s">
        <v>2036</v>
      </c>
      <c r="CA8" s="309" t="s">
        <v>2359</v>
      </c>
      <c r="CB8" s="309" t="s">
        <v>2359</v>
      </c>
    </row>
    <row r="9" spans="1:85" x14ac:dyDescent="0.25">
      <c r="A9" s="197">
        <v>2</v>
      </c>
      <c r="B9" s="197">
        <v>5</v>
      </c>
      <c r="C9" s="197">
        <v>1</v>
      </c>
      <c r="D9" s="197" t="s">
        <v>2376</v>
      </c>
      <c r="E9" s="197" t="s">
        <v>2435</v>
      </c>
      <c r="F9" s="197" t="s">
        <v>2435</v>
      </c>
      <c r="G9" s="197" t="s">
        <v>2435</v>
      </c>
      <c r="H9" s="197" t="s">
        <v>2375</v>
      </c>
      <c r="I9" s="197">
        <v>0</v>
      </c>
      <c r="J9" s="197">
        <v>0</v>
      </c>
      <c r="K9" s="197">
        <v>1</v>
      </c>
      <c r="L9" s="197">
        <v>1</v>
      </c>
      <c r="M9" s="359">
        <v>18</v>
      </c>
      <c r="N9" s="399" t="s">
        <v>458</v>
      </c>
      <c r="O9" s="237" t="s">
        <v>1486</v>
      </c>
      <c r="P9" s="237"/>
      <c r="Q9" s="360" t="s">
        <v>2121</v>
      </c>
      <c r="R9" s="361">
        <v>33895</v>
      </c>
      <c r="S9" s="362" t="s">
        <v>248</v>
      </c>
      <c r="T9" s="363">
        <v>3.5</v>
      </c>
      <c r="U9" s="364" t="s">
        <v>2122</v>
      </c>
      <c r="X9" s="309">
        <v>16</v>
      </c>
      <c r="Y9" s="309">
        <v>85</v>
      </c>
      <c r="Z9" s="309">
        <v>75</v>
      </c>
      <c r="AC9" s="263"/>
      <c r="AH9" s="309" t="s">
        <v>2370</v>
      </c>
      <c r="AI9" s="309" t="s">
        <v>2360</v>
      </c>
      <c r="AS9" s="309" t="s">
        <v>2033</v>
      </c>
      <c r="AT9" s="309" t="s">
        <v>2034</v>
      </c>
      <c r="AU9" s="309" t="s">
        <v>2034</v>
      </c>
      <c r="AV9" s="309" t="s">
        <v>2034</v>
      </c>
      <c r="AW9" s="309" t="s">
        <v>2034</v>
      </c>
      <c r="AX9" s="309" t="s">
        <v>2034</v>
      </c>
      <c r="BY9" s="309" t="s">
        <v>2362</v>
      </c>
      <c r="BZ9" s="309" t="s">
        <v>2036</v>
      </c>
      <c r="CA9" s="309" t="s">
        <v>2359</v>
      </c>
      <c r="CB9" s="309" t="s">
        <v>2359</v>
      </c>
    </row>
    <row r="10" spans="1:85" x14ac:dyDescent="0.25">
      <c r="A10" s="197">
        <v>2</v>
      </c>
      <c r="B10" s="197">
        <v>5</v>
      </c>
      <c r="C10" s="197">
        <v>1</v>
      </c>
      <c r="D10" s="197" t="s">
        <v>2377</v>
      </c>
      <c r="E10" s="197" t="s">
        <v>2435</v>
      </c>
      <c r="F10" s="197" t="s">
        <v>2435</v>
      </c>
      <c r="G10" s="197" t="s">
        <v>2435</v>
      </c>
      <c r="H10" s="197" t="s">
        <v>2375</v>
      </c>
      <c r="I10" s="197">
        <v>0</v>
      </c>
      <c r="J10" s="197">
        <v>0</v>
      </c>
      <c r="K10" s="197">
        <v>1</v>
      </c>
      <c r="L10" s="197">
        <v>1</v>
      </c>
      <c r="M10" s="359">
        <v>24</v>
      </c>
      <c r="N10" s="399" t="s">
        <v>460</v>
      </c>
      <c r="O10" s="237" t="s">
        <v>1486</v>
      </c>
      <c r="P10" s="237"/>
      <c r="Q10" s="360" t="s">
        <v>2123</v>
      </c>
      <c r="R10" s="361">
        <v>34778</v>
      </c>
      <c r="S10" s="362" t="s">
        <v>248</v>
      </c>
      <c r="T10" s="363">
        <v>3.5</v>
      </c>
      <c r="U10" s="364" t="s">
        <v>2124</v>
      </c>
      <c r="X10" s="309">
        <v>25</v>
      </c>
      <c r="Y10" s="309">
        <v>115</v>
      </c>
      <c r="Z10" s="309">
        <v>90</v>
      </c>
      <c r="AC10" s="263"/>
      <c r="AH10" s="309" t="s">
        <v>2370</v>
      </c>
      <c r="AI10" s="309" t="s">
        <v>2360</v>
      </c>
      <c r="AS10" s="309" t="s">
        <v>2033</v>
      </c>
      <c r="AT10" s="309" t="s">
        <v>2034</v>
      </c>
      <c r="AU10" s="309" t="s">
        <v>2034</v>
      </c>
      <c r="AV10" s="309" t="s">
        <v>2034</v>
      </c>
      <c r="AW10" s="309" t="s">
        <v>2034</v>
      </c>
      <c r="AX10" s="309" t="s">
        <v>2034</v>
      </c>
      <c r="BY10" s="309" t="s">
        <v>2362</v>
      </c>
      <c r="BZ10" s="309" t="s">
        <v>2036</v>
      </c>
      <c r="CA10" s="309" t="s">
        <v>2359</v>
      </c>
      <c r="CB10" s="309" t="s">
        <v>2359</v>
      </c>
    </row>
    <row r="11" spans="1:85" x14ac:dyDescent="0.25">
      <c r="A11" s="365">
        <v>1</v>
      </c>
      <c r="B11" s="365">
        <v>5</v>
      </c>
      <c r="C11" s="365">
        <v>1</v>
      </c>
      <c r="D11" s="365" t="s">
        <v>2381</v>
      </c>
      <c r="E11" s="197" t="s">
        <v>2374</v>
      </c>
      <c r="F11" s="365" t="s">
        <v>2435</v>
      </c>
      <c r="G11" s="365" t="s">
        <v>2435</v>
      </c>
      <c r="H11" s="365" t="s">
        <v>2435</v>
      </c>
      <c r="I11" s="365">
        <v>0</v>
      </c>
      <c r="J11" s="365">
        <v>1</v>
      </c>
      <c r="K11" s="365">
        <v>0</v>
      </c>
      <c r="L11" s="365">
        <v>0</v>
      </c>
      <c r="M11" s="366">
        <v>45</v>
      </c>
      <c r="N11" s="399" t="s">
        <v>496</v>
      </c>
      <c r="O11" s="237" t="s">
        <v>1482</v>
      </c>
      <c r="P11" s="237"/>
      <c r="Q11" s="360" t="s">
        <v>2133</v>
      </c>
      <c r="R11" s="361">
        <v>34791</v>
      </c>
      <c r="S11" s="362" t="s">
        <v>498</v>
      </c>
      <c r="T11" s="363">
        <v>5.6</v>
      </c>
      <c r="U11" s="364" t="s">
        <v>2134</v>
      </c>
      <c r="X11" s="309">
        <v>35</v>
      </c>
      <c r="Y11" s="309">
        <v>135</v>
      </c>
      <c r="Z11" s="309">
        <v>115</v>
      </c>
      <c r="AH11" s="309" t="s">
        <v>2370</v>
      </c>
      <c r="AI11" s="309" t="s">
        <v>2370</v>
      </c>
      <c r="AJ11" s="309" t="s">
        <v>2373</v>
      </c>
      <c r="AS11" s="309" t="s">
        <v>2033</v>
      </c>
      <c r="AT11" s="309" t="s">
        <v>2034</v>
      </c>
      <c r="AU11" s="309" t="s">
        <v>2034</v>
      </c>
      <c r="AV11" s="309" t="s">
        <v>2034</v>
      </c>
      <c r="AW11" s="309" t="s">
        <v>2034</v>
      </c>
      <c r="AX11" s="309" t="s">
        <v>2034</v>
      </c>
      <c r="BY11" s="309" t="s">
        <v>2372</v>
      </c>
      <c r="BZ11" s="309" t="s">
        <v>2359</v>
      </c>
    </row>
    <row r="12" spans="1:85" x14ac:dyDescent="0.25">
      <c r="A12" s="197">
        <v>2</v>
      </c>
      <c r="B12" s="197">
        <v>5</v>
      </c>
      <c r="C12" s="197">
        <v>1</v>
      </c>
      <c r="D12" s="197" t="s">
        <v>2378</v>
      </c>
      <c r="E12" s="197" t="s">
        <v>2435</v>
      </c>
      <c r="F12" s="197" t="s">
        <v>2435</v>
      </c>
      <c r="G12" s="197" t="s">
        <v>2435</v>
      </c>
      <c r="H12" s="197" t="s">
        <v>2375</v>
      </c>
      <c r="I12" s="197">
        <v>0</v>
      </c>
      <c r="J12" s="197">
        <v>0</v>
      </c>
      <c r="K12" s="197">
        <v>1</v>
      </c>
      <c r="L12" s="197">
        <v>1</v>
      </c>
      <c r="M12" s="359">
        <v>31</v>
      </c>
      <c r="N12" s="399" t="s">
        <v>423</v>
      </c>
      <c r="O12" s="237" t="s">
        <v>1482</v>
      </c>
      <c r="P12" s="237"/>
      <c r="Q12" s="360" t="s">
        <v>2115</v>
      </c>
      <c r="R12" s="361">
        <v>35207</v>
      </c>
      <c r="S12" s="362" t="s">
        <v>425</v>
      </c>
      <c r="T12" s="363">
        <v>4.8</v>
      </c>
      <c r="U12" s="364" t="s">
        <v>2116</v>
      </c>
      <c r="X12" s="309">
        <v>50</v>
      </c>
      <c r="Y12" s="309">
        <v>175</v>
      </c>
      <c r="Z12" s="309">
        <v>145</v>
      </c>
      <c r="AC12" s="263"/>
      <c r="AH12" s="309" t="s">
        <v>2370</v>
      </c>
      <c r="AI12" s="309" t="s">
        <v>2360</v>
      </c>
      <c r="AS12" s="309" t="s">
        <v>2033</v>
      </c>
      <c r="AT12" s="309" t="s">
        <v>2034</v>
      </c>
      <c r="AU12" s="309" t="s">
        <v>2034</v>
      </c>
      <c r="AV12" s="309" t="s">
        <v>2034</v>
      </c>
      <c r="AW12" s="309" t="s">
        <v>2034</v>
      </c>
      <c r="AX12" s="309" t="s">
        <v>2034</v>
      </c>
      <c r="BY12" s="309" t="s">
        <v>2362</v>
      </c>
      <c r="BZ12" s="309" t="s">
        <v>2036</v>
      </c>
      <c r="CA12" s="309" t="s">
        <v>2359</v>
      </c>
      <c r="CB12" s="309" t="s">
        <v>2359</v>
      </c>
    </row>
    <row r="13" spans="1:85" x14ac:dyDescent="0.25">
      <c r="A13" s="365">
        <v>1</v>
      </c>
      <c r="B13" s="365">
        <v>5</v>
      </c>
      <c r="C13" s="365">
        <v>1</v>
      </c>
      <c r="D13" s="365" t="s">
        <v>2374</v>
      </c>
      <c r="E13" s="365" t="s">
        <v>2435</v>
      </c>
      <c r="F13" s="365" t="s">
        <v>2380</v>
      </c>
      <c r="G13" s="365" t="s">
        <v>2435</v>
      </c>
      <c r="H13" s="365" t="s">
        <v>2435</v>
      </c>
      <c r="I13" s="365">
        <v>0</v>
      </c>
      <c r="J13" s="365">
        <v>1</v>
      </c>
      <c r="K13" s="365">
        <v>0</v>
      </c>
      <c r="L13" s="365">
        <v>1</v>
      </c>
      <c r="M13" s="366">
        <v>49</v>
      </c>
      <c r="N13" s="399" t="s">
        <v>675</v>
      </c>
      <c r="O13" s="237" t="s">
        <v>1486</v>
      </c>
      <c r="P13" s="237"/>
      <c r="Q13" s="360" t="s">
        <v>2139</v>
      </c>
      <c r="R13" s="361">
        <v>35937</v>
      </c>
      <c r="S13" s="362" t="s">
        <v>248</v>
      </c>
      <c r="T13" s="363">
        <v>4.2</v>
      </c>
      <c r="U13" s="364" t="s">
        <v>2140</v>
      </c>
      <c r="X13" s="309">
        <v>70</v>
      </c>
      <c r="Y13" s="309">
        <v>215</v>
      </c>
      <c r="Z13" s="309">
        <v>180</v>
      </c>
      <c r="AH13" s="309" t="s">
        <v>2371</v>
      </c>
      <c r="AI13" s="309" t="s">
        <v>2370</v>
      </c>
      <c r="AS13" s="309" t="s">
        <v>2033</v>
      </c>
      <c r="AT13" s="309" t="s">
        <v>2034</v>
      </c>
      <c r="AU13" s="309" t="s">
        <v>2034</v>
      </c>
      <c r="AV13" s="309" t="s">
        <v>2034</v>
      </c>
      <c r="AW13" s="309" t="s">
        <v>2034</v>
      </c>
      <c r="AX13" s="309" t="s">
        <v>2034</v>
      </c>
      <c r="BY13" s="309" t="s">
        <v>2372</v>
      </c>
      <c r="BZ13" s="309" t="s">
        <v>2036</v>
      </c>
      <c r="CA13" s="309" t="s">
        <v>2359</v>
      </c>
    </row>
    <row r="14" spans="1:85" x14ac:dyDescent="0.25">
      <c r="A14" s="197">
        <v>2</v>
      </c>
      <c r="B14" s="197">
        <v>5</v>
      </c>
      <c r="C14" s="197">
        <v>1</v>
      </c>
      <c r="D14" s="197" t="s">
        <v>2379</v>
      </c>
      <c r="E14" s="197" t="s">
        <v>2435</v>
      </c>
      <c r="F14" s="197" t="s">
        <v>2435</v>
      </c>
      <c r="G14" s="197" t="s">
        <v>2435</v>
      </c>
      <c r="H14" s="197" t="s">
        <v>2375</v>
      </c>
      <c r="I14" s="197">
        <v>0</v>
      </c>
      <c r="J14" s="197">
        <v>0</v>
      </c>
      <c r="K14" s="197">
        <v>1</v>
      </c>
      <c r="L14" s="197">
        <v>1</v>
      </c>
      <c r="M14" s="359">
        <v>38</v>
      </c>
      <c r="N14" s="399" t="s">
        <v>427</v>
      </c>
      <c r="O14" s="237" t="s">
        <v>1482</v>
      </c>
      <c r="P14" s="237"/>
      <c r="Q14" s="360" t="s">
        <v>2117</v>
      </c>
      <c r="R14" s="361">
        <v>37134</v>
      </c>
      <c r="S14" s="362" t="s">
        <v>425</v>
      </c>
      <c r="T14" s="363">
        <v>4.8</v>
      </c>
      <c r="U14" s="364" t="s">
        <v>2118</v>
      </c>
      <c r="X14" s="309">
        <v>95</v>
      </c>
      <c r="Y14" s="309">
        <v>260</v>
      </c>
      <c r="Z14" s="309">
        <v>220</v>
      </c>
      <c r="AC14" s="263"/>
      <c r="AH14" s="309" t="s">
        <v>2370</v>
      </c>
      <c r="AI14" s="309" t="s">
        <v>2360</v>
      </c>
      <c r="AS14" s="309" t="s">
        <v>2033</v>
      </c>
      <c r="AT14" s="309" t="s">
        <v>2034</v>
      </c>
      <c r="AU14" s="309" t="s">
        <v>2034</v>
      </c>
      <c r="AV14" s="309" t="s">
        <v>2034</v>
      </c>
      <c r="AW14" s="309" t="s">
        <v>2034</v>
      </c>
      <c r="AX14" s="309" t="s">
        <v>2034</v>
      </c>
      <c r="BY14" s="309" t="s">
        <v>2362</v>
      </c>
      <c r="BZ14" s="309" t="s">
        <v>2036</v>
      </c>
      <c r="CA14" s="309" t="s">
        <v>2359</v>
      </c>
      <c r="CB14" s="309" t="s">
        <v>2359</v>
      </c>
    </row>
    <row r="15" spans="1:85" x14ac:dyDescent="0.25">
      <c r="A15" s="197">
        <v>2</v>
      </c>
      <c r="B15" s="197">
        <v>5</v>
      </c>
      <c r="C15" s="197">
        <v>1</v>
      </c>
      <c r="D15" s="197" t="s">
        <v>2378</v>
      </c>
      <c r="E15" s="197" t="s">
        <v>2435</v>
      </c>
      <c r="F15" s="197" t="s">
        <v>2435</v>
      </c>
      <c r="G15" s="197" t="s">
        <v>2435</v>
      </c>
      <c r="H15" s="197" t="s">
        <v>2375</v>
      </c>
      <c r="I15" s="197">
        <v>0</v>
      </c>
      <c r="J15" s="197">
        <v>0</v>
      </c>
      <c r="K15" s="197">
        <v>1</v>
      </c>
      <c r="L15" s="197">
        <v>1</v>
      </c>
      <c r="M15" s="359">
        <v>31</v>
      </c>
      <c r="N15" s="399" t="s">
        <v>462</v>
      </c>
      <c r="O15" s="237" t="s">
        <v>1486</v>
      </c>
      <c r="P15" s="237"/>
      <c r="Q15" s="360" t="s">
        <v>2125</v>
      </c>
      <c r="R15" s="361">
        <v>38546</v>
      </c>
      <c r="S15" s="362" t="s">
        <v>425</v>
      </c>
      <c r="T15" s="363">
        <v>4.8</v>
      </c>
      <c r="U15" s="364" t="s">
        <v>2126</v>
      </c>
      <c r="X15" s="309">
        <v>120</v>
      </c>
      <c r="Y15" s="309">
        <v>300</v>
      </c>
      <c r="Z15" s="309">
        <v>260</v>
      </c>
      <c r="AC15" s="263"/>
      <c r="AH15" s="309" t="s">
        <v>2370</v>
      </c>
      <c r="AI15" s="309" t="s">
        <v>2360</v>
      </c>
      <c r="AS15" s="309" t="s">
        <v>2033</v>
      </c>
      <c r="AT15" s="309" t="s">
        <v>2034</v>
      </c>
      <c r="AU15" s="309" t="s">
        <v>2034</v>
      </c>
      <c r="AV15" s="309" t="s">
        <v>2034</v>
      </c>
      <c r="AW15" s="309" t="s">
        <v>2034</v>
      </c>
      <c r="AX15" s="309" t="s">
        <v>2034</v>
      </c>
      <c r="BY15" s="309" t="s">
        <v>2362</v>
      </c>
      <c r="BZ15" s="309" t="s">
        <v>2036</v>
      </c>
      <c r="CA15" s="309" t="s">
        <v>2359</v>
      </c>
      <c r="CB15" s="309" t="s">
        <v>2359</v>
      </c>
    </row>
    <row r="16" spans="1:85" x14ac:dyDescent="0.25">
      <c r="A16" s="365">
        <v>3</v>
      </c>
      <c r="B16" s="365">
        <v>5</v>
      </c>
      <c r="C16" s="365">
        <v>1</v>
      </c>
      <c r="D16" s="365" t="s">
        <v>2374</v>
      </c>
      <c r="E16" s="365" t="s">
        <v>2435</v>
      </c>
      <c r="F16" s="365" t="s">
        <v>2435</v>
      </c>
      <c r="G16" s="365" t="s">
        <v>2383</v>
      </c>
      <c r="H16" s="365" t="s">
        <v>2435</v>
      </c>
      <c r="I16" s="365">
        <v>0</v>
      </c>
      <c r="J16" s="365">
        <v>1</v>
      </c>
      <c r="K16" s="365">
        <v>0</v>
      </c>
      <c r="L16" s="365">
        <v>2</v>
      </c>
      <c r="M16" s="366">
        <v>41</v>
      </c>
      <c r="N16" s="399" t="s">
        <v>719</v>
      </c>
      <c r="O16" s="237" t="s">
        <v>1482</v>
      </c>
      <c r="P16" s="237"/>
      <c r="Q16" s="360" t="s">
        <v>2145</v>
      </c>
      <c r="R16" s="361">
        <v>39039</v>
      </c>
      <c r="S16" s="368" t="s">
        <v>498</v>
      </c>
      <c r="T16" s="363">
        <v>6.3</v>
      </c>
      <c r="U16" s="364" t="s">
        <v>2146</v>
      </c>
      <c r="AH16" s="309" t="s">
        <v>2037</v>
      </c>
      <c r="AI16" s="309" t="s">
        <v>2037</v>
      </c>
      <c r="AJ16" s="309" t="s">
        <v>2370</v>
      </c>
      <c r="AK16" s="309" t="s">
        <v>2037</v>
      </c>
      <c r="AL16" s="309" t="s">
        <v>2370</v>
      </c>
      <c r="AS16" s="309" t="s">
        <v>2033</v>
      </c>
      <c r="AT16" s="309" t="s">
        <v>2034</v>
      </c>
      <c r="AU16" s="309" t="s">
        <v>2034</v>
      </c>
      <c r="AV16" s="309" t="s">
        <v>2034</v>
      </c>
      <c r="AW16" s="309" t="s">
        <v>2034</v>
      </c>
      <c r="AX16" s="309" t="s">
        <v>2034</v>
      </c>
      <c r="AY16" s="309" t="s">
        <v>2033</v>
      </c>
      <c r="AZ16" s="309" t="s">
        <v>2033</v>
      </c>
      <c r="BA16" s="309" t="s">
        <v>2034</v>
      </c>
      <c r="BB16" s="309" t="s">
        <v>2034</v>
      </c>
      <c r="BC16" s="309" t="s">
        <v>2034</v>
      </c>
      <c r="BD16" s="309" t="s">
        <v>2034</v>
      </c>
      <c r="BE16" s="309" t="s">
        <v>2034</v>
      </c>
      <c r="BF16" s="309" t="s">
        <v>2034</v>
      </c>
      <c r="BG16" s="309" t="s">
        <v>2034</v>
      </c>
      <c r="BH16" s="309" t="s">
        <v>2034</v>
      </c>
      <c r="BI16" s="309" t="s">
        <v>2034</v>
      </c>
      <c r="BJ16" s="309" t="s">
        <v>2034</v>
      </c>
      <c r="BK16" s="309" t="s">
        <v>2034</v>
      </c>
      <c r="BY16" s="309" t="s">
        <v>2372</v>
      </c>
      <c r="BZ16" s="309" t="s">
        <v>2036</v>
      </c>
      <c r="CA16" s="309" t="s">
        <v>2036</v>
      </c>
      <c r="CB16" s="309" t="s">
        <v>2359</v>
      </c>
      <c r="CC16" s="309" t="s">
        <v>2359</v>
      </c>
      <c r="CD16" s="309" t="s">
        <v>2359</v>
      </c>
      <c r="CE16" s="309" t="s">
        <v>2359</v>
      </c>
      <c r="CF16" s="309" t="s">
        <v>2359</v>
      </c>
      <c r="CG16" s="309" t="s">
        <v>2359</v>
      </c>
    </row>
    <row r="17" spans="1:88 1090:1369" x14ac:dyDescent="0.25">
      <c r="A17" s="365">
        <v>1</v>
      </c>
      <c r="B17" s="365">
        <v>5</v>
      </c>
      <c r="C17" s="365">
        <v>1</v>
      </c>
      <c r="D17" s="365" t="s">
        <v>2382</v>
      </c>
      <c r="E17" s="197" t="s">
        <v>2374</v>
      </c>
      <c r="F17" s="365" t="s">
        <v>2435</v>
      </c>
      <c r="G17" s="365" t="s">
        <v>2435</v>
      </c>
      <c r="H17" s="365" t="s">
        <v>2435</v>
      </c>
      <c r="I17" s="365">
        <v>0</v>
      </c>
      <c r="J17" s="365">
        <v>1</v>
      </c>
      <c r="K17" s="365">
        <v>0</v>
      </c>
      <c r="L17" s="365">
        <v>0</v>
      </c>
      <c r="M17" s="366">
        <v>73</v>
      </c>
      <c r="N17" s="399" t="s">
        <v>500</v>
      </c>
      <c r="O17" s="237" t="s">
        <v>1482</v>
      </c>
      <c r="P17" s="237"/>
      <c r="Q17" s="360" t="s">
        <v>2135</v>
      </c>
      <c r="R17" s="361">
        <v>39714</v>
      </c>
      <c r="S17" s="362" t="s">
        <v>498</v>
      </c>
      <c r="T17" s="363">
        <v>5.8</v>
      </c>
      <c r="U17" s="364" t="s">
        <v>2136</v>
      </c>
      <c r="AH17" s="309" t="s">
        <v>2370</v>
      </c>
      <c r="AI17" s="309" t="s">
        <v>2370</v>
      </c>
      <c r="AJ17" s="309" t="s">
        <v>2373</v>
      </c>
      <c r="AS17" s="309" t="s">
        <v>2033</v>
      </c>
      <c r="AT17" s="309" t="s">
        <v>2034</v>
      </c>
      <c r="AU17" s="309" t="s">
        <v>2034</v>
      </c>
      <c r="AV17" s="309" t="s">
        <v>2034</v>
      </c>
      <c r="AW17" s="309" t="s">
        <v>2034</v>
      </c>
      <c r="AX17" s="309" t="s">
        <v>2034</v>
      </c>
      <c r="BY17" s="309" t="s">
        <v>2372</v>
      </c>
      <c r="BZ17" s="309" t="s">
        <v>2359</v>
      </c>
    </row>
    <row r="18" spans="1:88 1090:1369" x14ac:dyDescent="0.25">
      <c r="A18" s="197">
        <v>2</v>
      </c>
      <c r="B18" s="197">
        <v>5</v>
      </c>
      <c r="C18" s="197">
        <v>1</v>
      </c>
      <c r="D18" s="197" t="s">
        <v>2379</v>
      </c>
      <c r="E18" s="197" t="s">
        <v>2435</v>
      </c>
      <c r="F18" s="197" t="s">
        <v>2435</v>
      </c>
      <c r="G18" s="197" t="s">
        <v>2435</v>
      </c>
      <c r="H18" s="197" t="s">
        <v>2375</v>
      </c>
      <c r="I18" s="197">
        <v>0</v>
      </c>
      <c r="J18" s="197">
        <v>0</v>
      </c>
      <c r="K18" s="197">
        <v>1</v>
      </c>
      <c r="L18" s="197">
        <v>1</v>
      </c>
      <c r="M18" s="359">
        <v>38</v>
      </c>
      <c r="N18" s="399" t="s">
        <v>464</v>
      </c>
      <c r="O18" s="237" t="s">
        <v>1486</v>
      </c>
      <c r="P18" s="237"/>
      <c r="Q18" s="360" t="s">
        <v>2127</v>
      </c>
      <c r="R18" s="361">
        <v>40532</v>
      </c>
      <c r="S18" s="362" t="s">
        <v>425</v>
      </c>
      <c r="T18" s="363">
        <v>4.8</v>
      </c>
      <c r="U18" s="364" t="s">
        <v>2128</v>
      </c>
      <c r="AH18" s="309" t="s">
        <v>2370</v>
      </c>
      <c r="AI18" s="309" t="s">
        <v>2360</v>
      </c>
      <c r="AS18" s="309" t="s">
        <v>2033</v>
      </c>
      <c r="AT18" s="309" t="s">
        <v>2034</v>
      </c>
      <c r="AU18" s="309" t="s">
        <v>2034</v>
      </c>
      <c r="AV18" s="309" t="s">
        <v>2034</v>
      </c>
      <c r="AW18" s="309" t="s">
        <v>2034</v>
      </c>
      <c r="AX18" s="309" t="s">
        <v>2034</v>
      </c>
      <c r="BY18" s="309" t="s">
        <v>2362</v>
      </c>
      <c r="BZ18" s="309" t="s">
        <v>2036</v>
      </c>
      <c r="CA18" s="309" t="s">
        <v>2359</v>
      </c>
      <c r="CB18" s="309" t="s">
        <v>2359</v>
      </c>
    </row>
    <row r="19" spans="1:88 1090:1369" x14ac:dyDescent="0.25">
      <c r="A19" s="365">
        <v>3</v>
      </c>
      <c r="B19" s="365">
        <v>5</v>
      </c>
      <c r="C19" s="365">
        <v>1</v>
      </c>
      <c r="D19" s="365" t="s">
        <v>2374</v>
      </c>
      <c r="E19" s="365" t="s">
        <v>2435</v>
      </c>
      <c r="F19" s="365" t="s">
        <v>2435</v>
      </c>
      <c r="G19" s="365" t="s">
        <v>2384</v>
      </c>
      <c r="H19" s="365" t="s">
        <v>2435</v>
      </c>
      <c r="I19" s="365">
        <v>0</v>
      </c>
      <c r="J19" s="365">
        <v>1</v>
      </c>
      <c r="K19" s="365">
        <v>0</v>
      </c>
      <c r="L19" s="365">
        <v>2</v>
      </c>
      <c r="M19" s="366">
        <v>49</v>
      </c>
      <c r="N19" s="399" t="s">
        <v>722</v>
      </c>
      <c r="O19" s="237" t="s">
        <v>1482</v>
      </c>
      <c r="P19" s="237"/>
      <c r="Q19" s="360" t="s">
        <v>2147</v>
      </c>
      <c r="R19" s="361">
        <v>40662</v>
      </c>
      <c r="S19" s="368" t="s">
        <v>498</v>
      </c>
      <c r="T19" s="363">
        <v>6.3</v>
      </c>
      <c r="U19" s="364" t="s">
        <v>2148</v>
      </c>
      <c r="AH19" s="309" t="s">
        <v>2037</v>
      </c>
      <c r="AI19" s="309" t="s">
        <v>2037</v>
      </c>
      <c r="AJ19" s="309" t="s">
        <v>2370</v>
      </c>
      <c r="AK19" s="309" t="s">
        <v>2037</v>
      </c>
      <c r="AL19" s="309" t="s">
        <v>2370</v>
      </c>
      <c r="AS19" s="309" t="s">
        <v>2033</v>
      </c>
      <c r="AT19" s="309" t="s">
        <v>2034</v>
      </c>
      <c r="AU19" s="309" t="s">
        <v>2034</v>
      </c>
      <c r="AV19" s="309" t="s">
        <v>2034</v>
      </c>
      <c r="AW19" s="309" t="s">
        <v>2034</v>
      </c>
      <c r="AX19" s="309" t="s">
        <v>2034</v>
      </c>
      <c r="AY19" s="309" t="s">
        <v>2033</v>
      </c>
      <c r="AZ19" s="309" t="s">
        <v>2033</v>
      </c>
      <c r="BA19" s="309" t="s">
        <v>2034</v>
      </c>
      <c r="BB19" s="309" t="s">
        <v>2034</v>
      </c>
      <c r="BC19" s="309" t="s">
        <v>2034</v>
      </c>
      <c r="BD19" s="309" t="s">
        <v>2034</v>
      </c>
      <c r="BE19" s="309" t="s">
        <v>2034</v>
      </c>
      <c r="BF19" s="309" t="s">
        <v>2034</v>
      </c>
      <c r="BG19" s="309" t="s">
        <v>2034</v>
      </c>
      <c r="BH19" s="309" t="s">
        <v>2034</v>
      </c>
      <c r="BI19" s="309" t="s">
        <v>2034</v>
      </c>
      <c r="BJ19" s="309" t="s">
        <v>2034</v>
      </c>
      <c r="BK19" s="309" t="s">
        <v>2034</v>
      </c>
      <c r="BY19" s="309" t="s">
        <v>2372</v>
      </c>
      <c r="BZ19" s="309" t="s">
        <v>2036</v>
      </c>
      <c r="CA19" s="309" t="s">
        <v>2036</v>
      </c>
      <c r="CB19" s="309" t="s">
        <v>2359</v>
      </c>
      <c r="CC19" s="309" t="s">
        <v>2359</v>
      </c>
      <c r="CD19" s="309" t="s">
        <v>2359</v>
      </c>
      <c r="CE19" s="309" t="s">
        <v>2359</v>
      </c>
      <c r="CF19" s="309" t="s">
        <v>2359</v>
      </c>
      <c r="CG19" s="309" t="s">
        <v>2359</v>
      </c>
    </row>
    <row r="20" spans="1:88 1090:1369" x14ac:dyDescent="0.25">
      <c r="A20" s="197">
        <v>3</v>
      </c>
      <c r="B20" s="197">
        <v>5</v>
      </c>
      <c r="C20" s="197">
        <v>1</v>
      </c>
      <c r="D20" s="197" t="s">
        <v>2386</v>
      </c>
      <c r="E20" s="197" t="s">
        <v>2435</v>
      </c>
      <c r="F20" s="197" t="s">
        <v>2435</v>
      </c>
      <c r="G20" s="197" t="s">
        <v>2435</v>
      </c>
      <c r="H20" s="197" t="s">
        <v>2435</v>
      </c>
      <c r="I20" s="197">
        <v>2</v>
      </c>
      <c r="J20" s="197">
        <v>0</v>
      </c>
      <c r="K20" s="197">
        <v>0</v>
      </c>
      <c r="L20" s="197">
        <v>0</v>
      </c>
      <c r="M20" s="359">
        <v>34</v>
      </c>
      <c r="N20" s="399" t="s">
        <v>772</v>
      </c>
      <c r="O20" s="237" t="s">
        <v>1482</v>
      </c>
      <c r="P20" s="237"/>
      <c r="Q20" s="371" t="s">
        <v>2185</v>
      </c>
      <c r="R20" s="361">
        <v>40891</v>
      </c>
      <c r="S20" s="368" t="s">
        <v>498</v>
      </c>
      <c r="T20" s="363">
        <v>6.6</v>
      </c>
      <c r="U20" s="364" t="s">
        <v>2186</v>
      </c>
      <c r="AH20" s="309" t="s">
        <v>2370</v>
      </c>
      <c r="AI20" s="309" t="s">
        <v>2370</v>
      </c>
      <c r="AJ20" s="309" t="s">
        <v>2370</v>
      </c>
      <c r="AK20" s="309" t="s">
        <v>2370</v>
      </c>
      <c r="AL20" s="309" t="s">
        <v>2370</v>
      </c>
      <c r="AS20" s="309" t="s">
        <v>2033</v>
      </c>
      <c r="AT20" s="309" t="s">
        <v>2034</v>
      </c>
      <c r="AU20" s="309" t="s">
        <v>2034</v>
      </c>
      <c r="AV20" s="309" t="s">
        <v>2034</v>
      </c>
      <c r="AW20" s="309" t="s">
        <v>2034</v>
      </c>
      <c r="AX20" s="309" t="s">
        <v>2034</v>
      </c>
      <c r="AY20" s="309" t="s">
        <v>2033</v>
      </c>
      <c r="AZ20" s="309" t="s">
        <v>2033</v>
      </c>
      <c r="BA20" s="309" t="s">
        <v>2034</v>
      </c>
      <c r="BB20" s="309" t="s">
        <v>2034</v>
      </c>
      <c r="BC20" s="309" t="s">
        <v>2034</v>
      </c>
      <c r="BD20" s="309" t="s">
        <v>2034</v>
      </c>
      <c r="BE20" s="309" t="s">
        <v>2034</v>
      </c>
      <c r="BF20" s="309" t="s">
        <v>2034</v>
      </c>
      <c r="BG20" s="309" t="s">
        <v>2034</v>
      </c>
      <c r="BY20" s="309" t="s">
        <v>2361</v>
      </c>
      <c r="BZ20" s="309" t="s">
        <v>2361</v>
      </c>
      <c r="CA20" s="309" t="s">
        <v>2359</v>
      </c>
      <c r="CB20" s="309" t="s">
        <v>2359</v>
      </c>
      <c r="CC20" s="309" t="s">
        <v>2359</v>
      </c>
      <c r="CD20" s="309" t="s">
        <v>2359</v>
      </c>
      <c r="AOX20" s="309" t="s">
        <v>2361</v>
      </c>
      <c r="AOY20" s="309" t="s">
        <v>2361</v>
      </c>
      <c r="AOZ20" s="309" t="s">
        <v>2361</v>
      </c>
      <c r="APA20" s="309" t="s">
        <v>2361</v>
      </c>
      <c r="APB20" s="309" t="s">
        <v>2361</v>
      </c>
      <c r="APC20" s="309" t="s">
        <v>2372</v>
      </c>
      <c r="APD20" s="309" t="s">
        <v>2372</v>
      </c>
      <c r="APE20" s="309" t="s">
        <v>2372</v>
      </c>
      <c r="APF20" s="309" t="s">
        <v>2372</v>
      </c>
      <c r="APG20" s="309" t="s">
        <v>2372</v>
      </c>
      <c r="APH20" s="309" t="s">
        <v>2362</v>
      </c>
      <c r="API20" s="309" t="s">
        <v>2362</v>
      </c>
      <c r="APJ20" s="309" t="s">
        <v>2362</v>
      </c>
      <c r="APK20" s="309" t="s">
        <v>2362</v>
      </c>
      <c r="APL20" s="309" t="s">
        <v>2362</v>
      </c>
      <c r="APM20" s="309" t="s">
        <v>2036</v>
      </c>
      <c r="APN20" s="309" t="s">
        <v>2036</v>
      </c>
      <c r="APO20" s="309" t="s">
        <v>2036</v>
      </c>
      <c r="APP20" s="309" t="s">
        <v>2036</v>
      </c>
      <c r="APQ20" s="309" t="s">
        <v>2036</v>
      </c>
    </row>
    <row r="21" spans="1:88 1090:1369" x14ac:dyDescent="0.25">
      <c r="A21" s="365">
        <v>1</v>
      </c>
      <c r="B21" s="365">
        <v>5</v>
      </c>
      <c r="C21" s="365">
        <v>1</v>
      </c>
      <c r="D21" s="365" t="s">
        <v>2381</v>
      </c>
      <c r="E21" s="197" t="s">
        <v>2374</v>
      </c>
      <c r="F21" s="365" t="s">
        <v>2435</v>
      </c>
      <c r="G21" s="365" t="s">
        <v>2435</v>
      </c>
      <c r="H21" s="365" t="s">
        <v>2435</v>
      </c>
      <c r="I21" s="365">
        <v>0</v>
      </c>
      <c r="J21" s="365">
        <v>1</v>
      </c>
      <c r="K21" s="365">
        <v>0</v>
      </c>
      <c r="L21" s="365">
        <v>0</v>
      </c>
      <c r="M21" s="366">
        <v>45</v>
      </c>
      <c r="N21" s="399" t="s">
        <v>677</v>
      </c>
      <c r="O21" s="237" t="s">
        <v>1486</v>
      </c>
      <c r="P21" s="237"/>
      <c r="Q21" s="360" t="s">
        <v>2141</v>
      </c>
      <c r="R21" s="361">
        <v>41499</v>
      </c>
      <c r="S21" s="362" t="s">
        <v>498</v>
      </c>
      <c r="T21" s="363">
        <v>5.6</v>
      </c>
      <c r="U21" s="364" t="s">
        <v>2142</v>
      </c>
      <c r="Y21" s="309" t="s">
        <v>2802</v>
      </c>
      <c r="Z21" s="309" t="s">
        <v>2803</v>
      </c>
      <c r="AH21" s="309" t="s">
        <v>2370</v>
      </c>
      <c r="AI21" s="309" t="s">
        <v>2370</v>
      </c>
      <c r="AJ21" s="309" t="s">
        <v>2373</v>
      </c>
      <c r="AS21" s="309" t="s">
        <v>2033</v>
      </c>
      <c r="AT21" s="309" t="s">
        <v>2034</v>
      </c>
      <c r="AU21" s="309" t="s">
        <v>2034</v>
      </c>
      <c r="AV21" s="309" t="s">
        <v>2034</v>
      </c>
      <c r="AW21" s="309" t="s">
        <v>2034</v>
      </c>
      <c r="AX21" s="309" t="s">
        <v>2034</v>
      </c>
      <c r="BY21" s="309" t="s">
        <v>2372</v>
      </c>
      <c r="BZ21" s="309" t="s">
        <v>2359</v>
      </c>
      <c r="APR21" s="309" t="s">
        <v>2361</v>
      </c>
      <c r="APS21" s="309" t="s">
        <v>2361</v>
      </c>
      <c r="APT21" s="309" t="s">
        <v>2361</v>
      </c>
      <c r="APU21" s="309" t="s">
        <v>2361</v>
      </c>
      <c r="APV21" s="309" t="s">
        <v>2361</v>
      </c>
      <c r="APW21" s="309" t="s">
        <v>2372</v>
      </c>
      <c r="APX21" s="309" t="s">
        <v>2372</v>
      </c>
      <c r="APY21" s="309" t="s">
        <v>2372</v>
      </c>
      <c r="APZ21" s="309" t="s">
        <v>2372</v>
      </c>
      <c r="AQA21" s="309" t="s">
        <v>2372</v>
      </c>
      <c r="AQB21" s="309" t="s">
        <v>2362</v>
      </c>
      <c r="AQC21" s="309" t="s">
        <v>2362</v>
      </c>
      <c r="AQD21" s="309" t="s">
        <v>2362</v>
      </c>
      <c r="AQE21" s="309" t="s">
        <v>2362</v>
      </c>
      <c r="AQF21" s="309" t="s">
        <v>2362</v>
      </c>
      <c r="AQG21" s="309" t="s">
        <v>2036</v>
      </c>
      <c r="AQH21" s="309" t="s">
        <v>2036</v>
      </c>
      <c r="AQI21" s="309" t="s">
        <v>2036</v>
      </c>
      <c r="AQJ21" s="309" t="s">
        <v>2036</v>
      </c>
      <c r="AQK21" s="309" t="s">
        <v>2036</v>
      </c>
    </row>
    <row r="22" spans="1:88 1090:1369" x14ac:dyDescent="0.25">
      <c r="A22" s="365">
        <v>3</v>
      </c>
      <c r="B22" s="365">
        <v>5</v>
      </c>
      <c r="C22" s="365">
        <v>1</v>
      </c>
      <c r="D22" s="365" t="s">
        <v>2374</v>
      </c>
      <c r="E22" s="365" t="s">
        <v>2435</v>
      </c>
      <c r="F22" s="365" t="s">
        <v>2435</v>
      </c>
      <c r="G22" s="365" t="s">
        <v>2383</v>
      </c>
      <c r="H22" s="365" t="s">
        <v>2435</v>
      </c>
      <c r="I22" s="365">
        <v>0</v>
      </c>
      <c r="J22" s="365">
        <v>1</v>
      </c>
      <c r="K22" s="365">
        <v>0</v>
      </c>
      <c r="L22" s="365">
        <v>2</v>
      </c>
      <c r="M22" s="366">
        <v>41</v>
      </c>
      <c r="N22" s="399" t="s">
        <v>731</v>
      </c>
      <c r="O22" s="237" t="s">
        <v>1486</v>
      </c>
      <c r="P22" s="237"/>
      <c r="Q22" s="360" t="s">
        <v>2153</v>
      </c>
      <c r="R22" s="361">
        <v>41980</v>
      </c>
      <c r="S22" s="368" t="s">
        <v>498</v>
      </c>
      <c r="T22" s="363">
        <v>6.3</v>
      </c>
      <c r="U22" s="364" t="s">
        <v>2154</v>
      </c>
      <c r="X22" s="511" t="s">
        <v>2779</v>
      </c>
      <c r="Y22" s="512" t="s">
        <v>2780</v>
      </c>
      <c r="Z22" s="512"/>
      <c r="AH22" s="309" t="s">
        <v>2037</v>
      </c>
      <c r="AI22" s="309" t="s">
        <v>2037</v>
      </c>
      <c r="AJ22" s="309" t="s">
        <v>2370</v>
      </c>
      <c r="AK22" s="309" t="s">
        <v>2037</v>
      </c>
      <c r="AL22" s="309" t="s">
        <v>2037</v>
      </c>
      <c r="AM22" s="309" t="s">
        <v>2370</v>
      </c>
      <c r="AS22" s="309" t="s">
        <v>2033</v>
      </c>
      <c r="AT22" s="309" t="s">
        <v>2034</v>
      </c>
      <c r="AU22" s="309" t="s">
        <v>2034</v>
      </c>
      <c r="AV22" s="309" t="s">
        <v>2034</v>
      </c>
      <c r="AW22" s="309" t="s">
        <v>2034</v>
      </c>
      <c r="AX22" s="309" t="s">
        <v>2034</v>
      </c>
      <c r="AY22" s="309" t="s">
        <v>2033</v>
      </c>
      <c r="AZ22" s="309" t="s">
        <v>2033</v>
      </c>
      <c r="BA22" s="309" t="s">
        <v>2033</v>
      </c>
      <c r="BB22" s="309" t="s">
        <v>2033</v>
      </c>
      <c r="BC22" s="309" t="s">
        <v>2033</v>
      </c>
      <c r="BD22" s="309" t="s">
        <v>2033</v>
      </c>
      <c r="BE22" s="309" t="s">
        <v>2034</v>
      </c>
      <c r="BF22" s="309" t="s">
        <v>2034</v>
      </c>
      <c r="BG22" s="309" t="s">
        <v>2034</v>
      </c>
      <c r="BH22" s="309" t="s">
        <v>2034</v>
      </c>
      <c r="BI22" s="309" t="s">
        <v>2034</v>
      </c>
      <c r="BJ22" s="309" t="s">
        <v>2034</v>
      </c>
      <c r="BK22" s="309" t="s">
        <v>2034</v>
      </c>
      <c r="BL22" s="309" t="s">
        <v>2034</v>
      </c>
      <c r="BM22" s="309" t="s">
        <v>2034</v>
      </c>
      <c r="BN22" s="309" t="s">
        <v>2034</v>
      </c>
      <c r="BO22" s="309" t="s">
        <v>2034</v>
      </c>
      <c r="BY22" s="309" t="s">
        <v>2372</v>
      </c>
      <c r="BZ22" s="309" t="s">
        <v>2036</v>
      </c>
      <c r="CA22" s="309" t="s">
        <v>2036</v>
      </c>
      <c r="CB22" s="309" t="s">
        <v>2359</v>
      </c>
      <c r="CC22" s="309" t="s">
        <v>2359</v>
      </c>
      <c r="CD22" s="309" t="s">
        <v>2359</v>
      </c>
      <c r="CE22" s="309" t="s">
        <v>2359</v>
      </c>
      <c r="CF22" s="309" t="s">
        <v>2359</v>
      </c>
      <c r="CG22" s="309" t="s">
        <v>2359</v>
      </c>
      <c r="CH22" s="309" t="s">
        <v>2359</v>
      </c>
      <c r="CI22" s="309" t="s">
        <v>2359</v>
      </c>
      <c r="CJ22" s="309" t="s">
        <v>2359</v>
      </c>
      <c r="AQL22" s="309" t="s">
        <v>2361</v>
      </c>
      <c r="AQM22" s="309" t="s">
        <v>2361</v>
      </c>
      <c r="AQN22" s="309" t="s">
        <v>2361</v>
      </c>
      <c r="AQO22" s="309" t="s">
        <v>2361</v>
      </c>
      <c r="AQP22" s="309" t="s">
        <v>2361</v>
      </c>
      <c r="AQQ22" s="309" t="s">
        <v>2372</v>
      </c>
      <c r="AQR22" s="309" t="s">
        <v>2372</v>
      </c>
      <c r="AQS22" s="309" t="s">
        <v>2372</v>
      </c>
      <c r="AQT22" s="309" t="s">
        <v>2372</v>
      </c>
      <c r="AQU22" s="309" t="s">
        <v>2372</v>
      </c>
      <c r="AQV22" s="309" t="s">
        <v>2362</v>
      </c>
      <c r="AQW22" s="309" t="s">
        <v>2362</v>
      </c>
      <c r="AQX22" s="309" t="s">
        <v>2362</v>
      </c>
      <c r="AQY22" s="309" t="s">
        <v>2362</v>
      </c>
      <c r="AQZ22" s="309" t="s">
        <v>2362</v>
      </c>
      <c r="ARA22" s="309" t="s">
        <v>2036</v>
      </c>
      <c r="ARB22" s="309" t="s">
        <v>2036</v>
      </c>
      <c r="ARC22" s="309" t="s">
        <v>2036</v>
      </c>
      <c r="ARD22" s="309" t="s">
        <v>2036</v>
      </c>
      <c r="ARE22" s="309" t="s">
        <v>2036</v>
      </c>
    </row>
    <row r="23" spans="1:88 1090:1369" x14ac:dyDescent="0.25">
      <c r="A23" s="365">
        <v>3</v>
      </c>
      <c r="B23" s="365">
        <v>5</v>
      </c>
      <c r="C23" s="365">
        <v>1</v>
      </c>
      <c r="D23" s="365" t="s">
        <v>2374</v>
      </c>
      <c r="E23" s="365" t="s">
        <v>2435</v>
      </c>
      <c r="F23" s="365" t="s">
        <v>2435</v>
      </c>
      <c r="G23" s="365" t="s">
        <v>2385</v>
      </c>
      <c r="H23" s="365" t="s">
        <v>2435</v>
      </c>
      <c r="I23" s="365">
        <v>0</v>
      </c>
      <c r="J23" s="365">
        <v>1</v>
      </c>
      <c r="K23" s="365">
        <v>0</v>
      </c>
      <c r="L23" s="365">
        <v>2</v>
      </c>
      <c r="M23" s="366">
        <v>59</v>
      </c>
      <c r="N23" s="399" t="s">
        <v>725</v>
      </c>
      <c r="O23" s="237" t="s">
        <v>1482</v>
      </c>
      <c r="P23" s="237"/>
      <c r="Q23" s="360" t="s">
        <v>2149</v>
      </c>
      <c r="R23" s="361">
        <v>42157</v>
      </c>
      <c r="S23" s="368" t="s">
        <v>498</v>
      </c>
      <c r="T23" s="363">
        <v>6.5</v>
      </c>
      <c r="U23" s="364" t="s">
        <v>2150</v>
      </c>
      <c r="X23" s="511"/>
      <c r="Y23" s="149" t="s">
        <v>2781</v>
      </c>
      <c r="Z23" s="149" t="s">
        <v>2782</v>
      </c>
      <c r="AH23" s="309" t="s">
        <v>2037</v>
      </c>
      <c r="AI23" s="309" t="s">
        <v>2037</v>
      </c>
      <c r="AJ23" s="309" t="s">
        <v>2370</v>
      </c>
      <c r="AK23" s="309" t="s">
        <v>2037</v>
      </c>
      <c r="AL23" s="309" t="s">
        <v>2370</v>
      </c>
      <c r="AS23" s="309" t="s">
        <v>2033</v>
      </c>
      <c r="AT23" s="309" t="s">
        <v>2034</v>
      </c>
      <c r="AU23" s="309" t="s">
        <v>2034</v>
      </c>
      <c r="AV23" s="309" t="s">
        <v>2034</v>
      </c>
      <c r="AW23" s="309" t="s">
        <v>2034</v>
      </c>
      <c r="AX23" s="309" t="s">
        <v>2034</v>
      </c>
      <c r="AY23" s="309" t="s">
        <v>2033</v>
      </c>
      <c r="AZ23" s="309" t="s">
        <v>2033</v>
      </c>
      <c r="BA23" s="309" t="s">
        <v>2034</v>
      </c>
      <c r="BB23" s="309" t="s">
        <v>2034</v>
      </c>
      <c r="BC23" s="309" t="s">
        <v>2034</v>
      </c>
      <c r="BD23" s="309" t="s">
        <v>2034</v>
      </c>
      <c r="BE23" s="309" t="s">
        <v>2034</v>
      </c>
      <c r="BF23" s="309" t="s">
        <v>2034</v>
      </c>
      <c r="BG23" s="309" t="s">
        <v>2034</v>
      </c>
      <c r="BH23" s="309" t="s">
        <v>2034</v>
      </c>
      <c r="BI23" s="309" t="s">
        <v>2034</v>
      </c>
      <c r="BJ23" s="309" t="s">
        <v>2034</v>
      </c>
      <c r="BK23" s="309" t="s">
        <v>2034</v>
      </c>
      <c r="BY23" s="309" t="s">
        <v>2372</v>
      </c>
      <c r="BZ23" s="309" t="s">
        <v>2036</v>
      </c>
      <c r="CA23" s="309" t="s">
        <v>2036</v>
      </c>
      <c r="CB23" s="309" t="s">
        <v>2359</v>
      </c>
      <c r="CC23" s="309" t="s">
        <v>2359</v>
      </c>
      <c r="CD23" s="309" t="s">
        <v>2359</v>
      </c>
      <c r="CE23" s="309" t="s">
        <v>2359</v>
      </c>
      <c r="CF23" s="309" t="s">
        <v>2359</v>
      </c>
      <c r="CG23" s="309" t="s">
        <v>2359</v>
      </c>
      <c r="ARF23" s="309" t="s">
        <v>2361</v>
      </c>
      <c r="ARG23" s="309" t="s">
        <v>2361</v>
      </c>
      <c r="ARH23" s="309" t="s">
        <v>2361</v>
      </c>
      <c r="ARI23" s="309" t="s">
        <v>2361</v>
      </c>
      <c r="ARJ23" s="309" t="s">
        <v>2361</v>
      </c>
      <c r="ARK23" s="309" t="s">
        <v>2372</v>
      </c>
      <c r="ARL23" s="309" t="s">
        <v>2372</v>
      </c>
      <c r="ARM23" s="309" t="s">
        <v>2372</v>
      </c>
      <c r="ARN23" s="309" t="s">
        <v>2372</v>
      </c>
      <c r="ARO23" s="309" t="s">
        <v>2372</v>
      </c>
      <c r="ARP23" s="309" t="s">
        <v>2362</v>
      </c>
      <c r="ARQ23" s="309" t="s">
        <v>2362</v>
      </c>
      <c r="ARR23" s="309" t="s">
        <v>2362</v>
      </c>
      <c r="ARS23" s="309" t="s">
        <v>2362</v>
      </c>
      <c r="ART23" s="309" t="s">
        <v>2362</v>
      </c>
      <c r="ARU23" s="309" t="s">
        <v>2036</v>
      </c>
      <c r="ARV23" s="309" t="s">
        <v>2036</v>
      </c>
      <c r="ARW23" s="309" t="s">
        <v>2036</v>
      </c>
      <c r="ARX23" s="309" t="s">
        <v>2036</v>
      </c>
      <c r="ARY23" s="309" t="s">
        <v>2036</v>
      </c>
    </row>
    <row r="24" spans="1:88 1090:1369" x14ac:dyDescent="0.25">
      <c r="A24" s="197">
        <v>3</v>
      </c>
      <c r="B24" s="197">
        <v>5</v>
      </c>
      <c r="C24" s="197">
        <v>1</v>
      </c>
      <c r="D24" s="197" t="s">
        <v>2381</v>
      </c>
      <c r="E24" s="197" t="s">
        <v>2435</v>
      </c>
      <c r="F24" s="197" t="s">
        <v>2435</v>
      </c>
      <c r="G24" s="197" t="s">
        <v>2435</v>
      </c>
      <c r="H24" s="197" t="s">
        <v>2435</v>
      </c>
      <c r="I24" s="197">
        <v>2</v>
      </c>
      <c r="J24" s="197">
        <v>0</v>
      </c>
      <c r="K24" s="197">
        <v>0</v>
      </c>
      <c r="L24" s="197">
        <v>0</v>
      </c>
      <c r="M24" s="359">
        <v>46</v>
      </c>
      <c r="N24" s="399" t="s">
        <v>775</v>
      </c>
      <c r="O24" s="237" t="s">
        <v>1482</v>
      </c>
      <c r="P24" s="237"/>
      <c r="Q24" s="371" t="s">
        <v>2187</v>
      </c>
      <c r="R24" s="361">
        <v>42561</v>
      </c>
      <c r="S24" s="368" t="s">
        <v>498</v>
      </c>
      <c r="T24" s="363">
        <v>6.6</v>
      </c>
      <c r="U24" s="364" t="s">
        <v>2188</v>
      </c>
      <c r="X24" s="149" t="s">
        <v>2783</v>
      </c>
      <c r="Y24" s="149">
        <v>6</v>
      </c>
      <c r="Z24" s="149">
        <v>20</v>
      </c>
      <c r="AH24" s="309" t="s">
        <v>2370</v>
      </c>
      <c r="AI24" s="309" t="s">
        <v>2370</v>
      </c>
      <c r="AJ24" s="309" t="s">
        <v>2370</v>
      </c>
      <c r="AK24" s="309" t="s">
        <v>2370</v>
      </c>
      <c r="AL24" s="309" t="s">
        <v>2370</v>
      </c>
      <c r="AS24" s="309" t="s">
        <v>2033</v>
      </c>
      <c r="AT24" s="309" t="s">
        <v>2034</v>
      </c>
      <c r="AU24" s="309" t="s">
        <v>2034</v>
      </c>
      <c r="AV24" s="309" t="s">
        <v>2034</v>
      </c>
      <c r="AW24" s="309" t="s">
        <v>2034</v>
      </c>
      <c r="AX24" s="309" t="s">
        <v>2034</v>
      </c>
      <c r="AY24" s="309" t="s">
        <v>2033</v>
      </c>
      <c r="AZ24" s="309" t="s">
        <v>2033</v>
      </c>
      <c r="BA24" s="309" t="s">
        <v>2034</v>
      </c>
      <c r="BB24" s="309" t="s">
        <v>2034</v>
      </c>
      <c r="BC24" s="309" t="s">
        <v>2034</v>
      </c>
      <c r="BD24" s="309" t="s">
        <v>2034</v>
      </c>
      <c r="BE24" s="309" t="s">
        <v>2034</v>
      </c>
      <c r="BF24" s="309" t="s">
        <v>2034</v>
      </c>
      <c r="BG24" s="309" t="s">
        <v>2034</v>
      </c>
      <c r="BY24" s="309" t="s">
        <v>2361</v>
      </c>
      <c r="BZ24" s="309" t="s">
        <v>2361</v>
      </c>
      <c r="CA24" s="309" t="s">
        <v>2359</v>
      </c>
      <c r="CB24" s="309" t="s">
        <v>2359</v>
      </c>
      <c r="CC24" s="309" t="s">
        <v>2359</v>
      </c>
      <c r="CD24" s="309" t="s">
        <v>2359</v>
      </c>
      <c r="ARZ24" s="309" t="s">
        <v>2361</v>
      </c>
      <c r="ASA24" s="309" t="s">
        <v>2361</v>
      </c>
      <c r="ASB24" s="309" t="s">
        <v>2361</v>
      </c>
      <c r="ASC24" s="309" t="s">
        <v>2361</v>
      </c>
      <c r="ASD24" s="309" t="s">
        <v>2361</v>
      </c>
      <c r="ASE24" s="309" t="s">
        <v>2361</v>
      </c>
      <c r="ASF24" s="309" t="s">
        <v>2372</v>
      </c>
      <c r="ASG24" s="309" t="s">
        <v>2372</v>
      </c>
      <c r="ASH24" s="309" t="s">
        <v>2372</v>
      </c>
      <c r="ASI24" s="309" t="s">
        <v>2372</v>
      </c>
      <c r="ASJ24" s="309" t="s">
        <v>2372</v>
      </c>
      <c r="ASK24" s="309" t="s">
        <v>2372</v>
      </c>
      <c r="ASL24" s="309" t="s">
        <v>2362</v>
      </c>
      <c r="ASM24" s="309" t="s">
        <v>2362</v>
      </c>
      <c r="ASN24" s="309" t="s">
        <v>2362</v>
      </c>
      <c r="ASO24" s="309" t="s">
        <v>2362</v>
      </c>
      <c r="ASP24" s="309" t="s">
        <v>2362</v>
      </c>
      <c r="ASQ24" s="309" t="s">
        <v>2362</v>
      </c>
      <c r="ASR24" s="309" t="s">
        <v>2036</v>
      </c>
      <c r="ASS24" s="309" t="s">
        <v>2036</v>
      </c>
      <c r="AST24" s="309" t="s">
        <v>2036</v>
      </c>
      <c r="ASU24" s="309" t="s">
        <v>2036</v>
      </c>
      <c r="ASV24" s="309" t="s">
        <v>2036</v>
      </c>
      <c r="ASW24" s="309" t="s">
        <v>2036</v>
      </c>
    </row>
    <row r="25" spans="1:88 1090:1369" x14ac:dyDescent="0.25">
      <c r="A25" s="365">
        <v>3</v>
      </c>
      <c r="B25" s="365">
        <v>5</v>
      </c>
      <c r="C25" s="365">
        <v>1</v>
      </c>
      <c r="D25" s="365" t="s">
        <v>2374</v>
      </c>
      <c r="E25" s="365" t="s">
        <v>2435</v>
      </c>
      <c r="F25" s="365" t="s">
        <v>2435</v>
      </c>
      <c r="G25" s="365" t="s">
        <v>2384</v>
      </c>
      <c r="H25" s="365" t="s">
        <v>2435</v>
      </c>
      <c r="I25" s="365">
        <v>0</v>
      </c>
      <c r="J25" s="365">
        <v>1</v>
      </c>
      <c r="K25" s="365">
        <v>0</v>
      </c>
      <c r="L25" s="365">
        <v>2</v>
      </c>
      <c r="M25" s="366">
        <v>49</v>
      </c>
      <c r="N25" s="399" t="s">
        <v>733</v>
      </c>
      <c r="O25" s="237" t="s">
        <v>1486</v>
      </c>
      <c r="P25" s="237"/>
      <c r="Q25" s="360" t="s">
        <v>2155</v>
      </c>
      <c r="R25" s="361">
        <v>43653</v>
      </c>
      <c r="S25" s="368" t="s">
        <v>498</v>
      </c>
      <c r="T25" s="363">
        <v>6.3</v>
      </c>
      <c r="U25" s="364" t="s">
        <v>2156</v>
      </c>
      <c r="X25" s="149" t="s">
        <v>2784</v>
      </c>
      <c r="Y25" s="149">
        <v>9</v>
      </c>
      <c r="Z25" s="149">
        <v>25</v>
      </c>
      <c r="AH25" s="309" t="s">
        <v>2037</v>
      </c>
      <c r="AI25" s="309" t="s">
        <v>2037</v>
      </c>
      <c r="AJ25" s="309" t="s">
        <v>2370</v>
      </c>
      <c r="AK25" s="309" t="s">
        <v>2037</v>
      </c>
      <c r="AL25" s="309" t="s">
        <v>2037</v>
      </c>
      <c r="AM25" s="309" t="s">
        <v>2370</v>
      </c>
      <c r="AS25" s="309" t="s">
        <v>2033</v>
      </c>
      <c r="AT25" s="309" t="s">
        <v>2034</v>
      </c>
      <c r="AU25" s="309" t="s">
        <v>2034</v>
      </c>
      <c r="AV25" s="309" t="s">
        <v>2034</v>
      </c>
      <c r="AW25" s="309" t="s">
        <v>2034</v>
      </c>
      <c r="AX25" s="309" t="s">
        <v>2034</v>
      </c>
      <c r="AY25" s="309" t="s">
        <v>2033</v>
      </c>
      <c r="AZ25" s="309" t="s">
        <v>2033</v>
      </c>
      <c r="BA25" s="309" t="s">
        <v>2033</v>
      </c>
      <c r="BB25" s="309" t="s">
        <v>2033</v>
      </c>
      <c r="BC25" s="309" t="s">
        <v>2033</v>
      </c>
      <c r="BD25" s="309" t="s">
        <v>2033</v>
      </c>
      <c r="BE25" s="309" t="s">
        <v>2034</v>
      </c>
      <c r="BF25" s="309" t="s">
        <v>2034</v>
      </c>
      <c r="BG25" s="309" t="s">
        <v>2034</v>
      </c>
      <c r="BH25" s="309" t="s">
        <v>2034</v>
      </c>
      <c r="BI25" s="309" t="s">
        <v>2034</v>
      </c>
      <c r="BJ25" s="309" t="s">
        <v>2034</v>
      </c>
      <c r="BK25" s="309" t="s">
        <v>2034</v>
      </c>
      <c r="BL25" s="309" t="s">
        <v>2034</v>
      </c>
      <c r="BM25" s="309" t="s">
        <v>2034</v>
      </c>
      <c r="BN25" s="309" t="s">
        <v>2034</v>
      </c>
      <c r="BO25" s="309" t="s">
        <v>2034</v>
      </c>
      <c r="BY25" s="309" t="s">
        <v>2372</v>
      </c>
      <c r="BZ25" s="309" t="s">
        <v>2036</v>
      </c>
      <c r="CA25" s="309" t="s">
        <v>2036</v>
      </c>
      <c r="CB25" s="309" t="s">
        <v>2359</v>
      </c>
      <c r="CC25" s="309" t="s">
        <v>2359</v>
      </c>
      <c r="CD25" s="309" t="s">
        <v>2359</v>
      </c>
      <c r="CE25" s="309" t="s">
        <v>2359</v>
      </c>
      <c r="CF25" s="309" t="s">
        <v>2359</v>
      </c>
      <c r="CG25" s="309" t="s">
        <v>2359</v>
      </c>
      <c r="CH25" s="309" t="s">
        <v>2359</v>
      </c>
      <c r="CI25" s="309" t="s">
        <v>2359</v>
      </c>
      <c r="CJ25" s="309" t="s">
        <v>2359</v>
      </c>
      <c r="ASX25" s="309" t="s">
        <v>2361</v>
      </c>
      <c r="ASY25" s="309" t="s">
        <v>2361</v>
      </c>
      <c r="ASZ25" s="309" t="s">
        <v>2361</v>
      </c>
      <c r="ATA25" s="309" t="s">
        <v>2361</v>
      </c>
      <c r="ATB25" s="309" t="s">
        <v>2361</v>
      </c>
      <c r="ATC25" s="309" t="s">
        <v>2361</v>
      </c>
      <c r="ATD25" s="309" t="s">
        <v>2372</v>
      </c>
      <c r="ATE25" s="309" t="s">
        <v>2372</v>
      </c>
      <c r="ATF25" s="309" t="s">
        <v>2372</v>
      </c>
      <c r="ATG25" s="309" t="s">
        <v>2372</v>
      </c>
      <c r="ATH25" s="309" t="s">
        <v>2372</v>
      </c>
      <c r="ATI25" s="309" t="s">
        <v>2372</v>
      </c>
      <c r="ATJ25" s="309" t="s">
        <v>2362</v>
      </c>
      <c r="ATK25" s="309" t="s">
        <v>2362</v>
      </c>
      <c r="ATL25" s="309" t="s">
        <v>2362</v>
      </c>
      <c r="ATM25" s="309" t="s">
        <v>2362</v>
      </c>
      <c r="ATN25" s="309" t="s">
        <v>2362</v>
      </c>
      <c r="ATO25" s="309" t="s">
        <v>2362</v>
      </c>
      <c r="ATP25" s="309" t="s">
        <v>2036</v>
      </c>
      <c r="ATQ25" s="309" t="s">
        <v>2036</v>
      </c>
      <c r="ATR25" s="309" t="s">
        <v>2036</v>
      </c>
      <c r="ATS25" s="309" t="s">
        <v>2036</v>
      </c>
      <c r="ATT25" s="309" t="s">
        <v>2036</v>
      </c>
      <c r="ATU25" s="309" t="s">
        <v>2036</v>
      </c>
    </row>
    <row r="26" spans="1:88 1090:1369" x14ac:dyDescent="0.25">
      <c r="A26" s="197">
        <v>3</v>
      </c>
      <c r="B26" s="197">
        <v>5</v>
      </c>
      <c r="C26" s="197">
        <v>1</v>
      </c>
      <c r="D26" s="197" t="s">
        <v>2386</v>
      </c>
      <c r="E26" s="197" t="s">
        <v>2435</v>
      </c>
      <c r="F26" s="197" t="s">
        <v>2435</v>
      </c>
      <c r="G26" s="197" t="s">
        <v>2435</v>
      </c>
      <c r="H26" s="197" t="s">
        <v>2435</v>
      </c>
      <c r="I26" s="197">
        <v>2</v>
      </c>
      <c r="J26" s="197">
        <v>0</v>
      </c>
      <c r="K26" s="197">
        <v>0</v>
      </c>
      <c r="L26" s="197">
        <v>0</v>
      </c>
      <c r="M26" s="359">
        <v>34</v>
      </c>
      <c r="N26" s="399" t="s">
        <v>784</v>
      </c>
      <c r="O26" s="237" t="s">
        <v>1486</v>
      </c>
      <c r="P26" s="237"/>
      <c r="Q26" s="371" t="s">
        <v>2193</v>
      </c>
      <c r="R26" s="361">
        <v>43833</v>
      </c>
      <c r="S26" s="368" t="s">
        <v>498</v>
      </c>
      <c r="T26" s="363">
        <v>6.6</v>
      </c>
      <c r="U26" s="364" t="s">
        <v>2194</v>
      </c>
      <c r="X26" s="149" t="s">
        <v>2785</v>
      </c>
      <c r="Y26" s="149">
        <v>12</v>
      </c>
      <c r="Z26" s="149">
        <v>25</v>
      </c>
      <c r="AH26" s="309" t="s">
        <v>2370</v>
      </c>
      <c r="AI26" s="309" t="s">
        <v>2370</v>
      </c>
      <c r="AJ26" s="309" t="s">
        <v>2370</v>
      </c>
      <c r="AK26" s="309" t="s">
        <v>2370</v>
      </c>
      <c r="AL26" s="309" t="s">
        <v>2370</v>
      </c>
      <c r="AS26" s="309" t="s">
        <v>2033</v>
      </c>
      <c r="AT26" s="309" t="s">
        <v>2034</v>
      </c>
      <c r="AU26" s="309" t="s">
        <v>2034</v>
      </c>
      <c r="AV26" s="309" t="s">
        <v>2034</v>
      </c>
      <c r="AW26" s="309" t="s">
        <v>2034</v>
      </c>
      <c r="AX26" s="309" t="s">
        <v>2034</v>
      </c>
      <c r="AY26" s="309" t="s">
        <v>2033</v>
      </c>
      <c r="AZ26" s="309" t="s">
        <v>2033</v>
      </c>
      <c r="BA26" s="309" t="s">
        <v>2034</v>
      </c>
      <c r="BB26" s="309" t="s">
        <v>2034</v>
      </c>
      <c r="BC26" s="309" t="s">
        <v>2034</v>
      </c>
      <c r="BD26" s="309" t="s">
        <v>2034</v>
      </c>
      <c r="BE26" s="309" t="s">
        <v>2034</v>
      </c>
      <c r="BF26" s="309" t="s">
        <v>2034</v>
      </c>
      <c r="BG26" s="309" t="s">
        <v>2034</v>
      </c>
      <c r="BY26" s="309" t="s">
        <v>2361</v>
      </c>
      <c r="BZ26" s="309" t="s">
        <v>2361</v>
      </c>
      <c r="CA26" s="309" t="s">
        <v>2359</v>
      </c>
      <c r="CB26" s="309" t="s">
        <v>2359</v>
      </c>
      <c r="CC26" s="309" t="s">
        <v>2359</v>
      </c>
      <c r="CD26" s="309" t="s">
        <v>2359</v>
      </c>
      <c r="ATV26" s="309" t="s">
        <v>2361</v>
      </c>
      <c r="ATW26" s="309" t="s">
        <v>2361</v>
      </c>
      <c r="ATX26" s="309" t="s">
        <v>2361</v>
      </c>
      <c r="ATY26" s="309" t="s">
        <v>2361</v>
      </c>
      <c r="ATZ26" s="309" t="s">
        <v>2361</v>
      </c>
      <c r="AUA26" s="309" t="s">
        <v>2361</v>
      </c>
      <c r="AUB26" s="309" t="s">
        <v>2372</v>
      </c>
      <c r="AUC26" s="309" t="s">
        <v>2372</v>
      </c>
      <c r="AUD26" s="309" t="s">
        <v>2372</v>
      </c>
      <c r="AUE26" s="309" t="s">
        <v>2372</v>
      </c>
      <c r="AUF26" s="309" t="s">
        <v>2372</v>
      </c>
      <c r="AUG26" s="309" t="s">
        <v>2372</v>
      </c>
      <c r="AUH26" s="309" t="s">
        <v>2362</v>
      </c>
      <c r="AUI26" s="309" t="s">
        <v>2362</v>
      </c>
      <c r="AUJ26" s="309" t="s">
        <v>2362</v>
      </c>
      <c r="AUK26" s="309" t="s">
        <v>2362</v>
      </c>
      <c r="AUL26" s="309" t="s">
        <v>2362</v>
      </c>
      <c r="AUM26" s="309" t="s">
        <v>2362</v>
      </c>
      <c r="AUN26" s="309" t="s">
        <v>2036</v>
      </c>
      <c r="AUO26" s="309" t="s">
        <v>2036</v>
      </c>
      <c r="AUP26" s="309" t="s">
        <v>2036</v>
      </c>
      <c r="AUQ26" s="309" t="s">
        <v>2036</v>
      </c>
      <c r="AUR26" s="309" t="s">
        <v>2036</v>
      </c>
      <c r="AUS26" s="309" t="s">
        <v>2036</v>
      </c>
    </row>
    <row r="27" spans="1:88 1090:1369" x14ac:dyDescent="0.25">
      <c r="A27" s="365">
        <v>3</v>
      </c>
      <c r="B27" s="365">
        <v>5</v>
      </c>
      <c r="C27" s="365">
        <v>1</v>
      </c>
      <c r="D27" s="365" t="s">
        <v>2374</v>
      </c>
      <c r="E27" s="365" t="s">
        <v>2435</v>
      </c>
      <c r="F27" s="365" t="s">
        <v>2435</v>
      </c>
      <c r="G27" s="365" t="s">
        <v>2382</v>
      </c>
      <c r="H27" s="365" t="s">
        <v>2435</v>
      </c>
      <c r="I27" s="365">
        <v>0</v>
      </c>
      <c r="J27" s="365">
        <v>1</v>
      </c>
      <c r="K27" s="365">
        <v>0</v>
      </c>
      <c r="L27" s="365">
        <v>2</v>
      </c>
      <c r="M27" s="366">
        <v>73</v>
      </c>
      <c r="N27" s="399" t="s">
        <v>728</v>
      </c>
      <c r="O27" s="237" t="s">
        <v>1482</v>
      </c>
      <c r="P27" s="237"/>
      <c r="Q27" s="360" t="s">
        <v>2151</v>
      </c>
      <c r="R27" s="361">
        <v>44944</v>
      </c>
      <c r="S27" s="368" t="s">
        <v>498</v>
      </c>
      <c r="T27" s="363">
        <v>6.5</v>
      </c>
      <c r="U27" s="364" t="s">
        <v>2152</v>
      </c>
      <c r="X27" s="149" t="s">
        <v>2786</v>
      </c>
      <c r="Y27" s="149">
        <v>18</v>
      </c>
      <c r="Z27" s="149">
        <v>32</v>
      </c>
      <c r="AH27" s="309" t="s">
        <v>2037</v>
      </c>
      <c r="AI27" s="309" t="s">
        <v>2037</v>
      </c>
      <c r="AJ27" s="309" t="s">
        <v>2370</v>
      </c>
      <c r="AK27" s="309" t="s">
        <v>2037</v>
      </c>
      <c r="AL27" s="309" t="s">
        <v>2370</v>
      </c>
      <c r="AS27" s="309" t="s">
        <v>2033</v>
      </c>
      <c r="AT27" s="309" t="s">
        <v>2034</v>
      </c>
      <c r="AU27" s="309" t="s">
        <v>2034</v>
      </c>
      <c r="AV27" s="309" t="s">
        <v>2034</v>
      </c>
      <c r="AW27" s="309" t="s">
        <v>2034</v>
      </c>
      <c r="AX27" s="309" t="s">
        <v>2034</v>
      </c>
      <c r="AY27" s="309" t="s">
        <v>2033</v>
      </c>
      <c r="AZ27" s="309" t="s">
        <v>2033</v>
      </c>
      <c r="BA27" s="309" t="s">
        <v>2034</v>
      </c>
      <c r="BB27" s="309" t="s">
        <v>2034</v>
      </c>
      <c r="BC27" s="309" t="s">
        <v>2034</v>
      </c>
      <c r="BD27" s="309" t="s">
        <v>2034</v>
      </c>
      <c r="BE27" s="309" t="s">
        <v>2034</v>
      </c>
      <c r="BF27" s="309" t="s">
        <v>2034</v>
      </c>
      <c r="BG27" s="309" t="s">
        <v>2034</v>
      </c>
      <c r="BH27" s="309" t="s">
        <v>2034</v>
      </c>
      <c r="BI27" s="309" t="s">
        <v>2034</v>
      </c>
      <c r="BJ27" s="309" t="s">
        <v>2034</v>
      </c>
      <c r="BK27" s="309" t="s">
        <v>2034</v>
      </c>
      <c r="BY27" s="309" t="s">
        <v>2372</v>
      </c>
      <c r="BZ27" s="309" t="s">
        <v>2036</v>
      </c>
      <c r="CA27" s="309" t="s">
        <v>2036</v>
      </c>
      <c r="CB27" s="309" t="s">
        <v>2359</v>
      </c>
      <c r="CC27" s="309" t="s">
        <v>2359</v>
      </c>
      <c r="CD27" s="309" t="s">
        <v>2359</v>
      </c>
      <c r="CE27" s="309" t="s">
        <v>2359</v>
      </c>
      <c r="CF27" s="309" t="s">
        <v>2359</v>
      </c>
      <c r="CG27" s="309" t="s">
        <v>2359</v>
      </c>
      <c r="AUT27" s="309" t="s">
        <v>2361</v>
      </c>
      <c r="AUU27" s="309" t="s">
        <v>2361</v>
      </c>
      <c r="AUV27" s="309" t="s">
        <v>2361</v>
      </c>
      <c r="AUW27" s="309" t="s">
        <v>2361</v>
      </c>
      <c r="AUX27" s="309" t="s">
        <v>2361</v>
      </c>
      <c r="AUY27" s="309" t="s">
        <v>2361</v>
      </c>
      <c r="AUZ27" s="309" t="s">
        <v>2372</v>
      </c>
      <c r="AVA27" s="309" t="s">
        <v>2372</v>
      </c>
      <c r="AVB27" s="309" t="s">
        <v>2372</v>
      </c>
      <c r="AVC27" s="309" t="s">
        <v>2372</v>
      </c>
      <c r="AVD27" s="309" t="s">
        <v>2372</v>
      </c>
      <c r="AVE27" s="309" t="s">
        <v>2372</v>
      </c>
      <c r="AVF27" s="309" t="s">
        <v>2362</v>
      </c>
      <c r="AVG27" s="309" t="s">
        <v>2362</v>
      </c>
      <c r="AVH27" s="309" t="s">
        <v>2362</v>
      </c>
      <c r="AVI27" s="309" t="s">
        <v>2362</v>
      </c>
      <c r="AVJ27" s="309" t="s">
        <v>2362</v>
      </c>
      <c r="AVK27" s="309" t="s">
        <v>2362</v>
      </c>
      <c r="AVL27" s="309" t="s">
        <v>2036</v>
      </c>
      <c r="AVM27" s="309" t="s">
        <v>2036</v>
      </c>
      <c r="AVN27" s="309" t="s">
        <v>2036</v>
      </c>
      <c r="AVO27" s="309" t="s">
        <v>2036</v>
      </c>
      <c r="AVP27" s="309" t="s">
        <v>2036</v>
      </c>
      <c r="AVQ27" s="309" t="s">
        <v>2036</v>
      </c>
    </row>
    <row r="28" spans="1:88 1090:1369" x14ac:dyDescent="0.25">
      <c r="A28" s="365">
        <v>3</v>
      </c>
      <c r="B28" s="365">
        <v>5</v>
      </c>
      <c r="C28" s="365">
        <v>1</v>
      </c>
      <c r="D28" s="365" t="s">
        <v>2374</v>
      </c>
      <c r="E28" s="365" t="s">
        <v>2435</v>
      </c>
      <c r="F28" s="365" t="s">
        <v>2435</v>
      </c>
      <c r="G28" s="365" t="s">
        <v>2385</v>
      </c>
      <c r="H28" s="365" t="s">
        <v>2435</v>
      </c>
      <c r="I28" s="365">
        <v>0</v>
      </c>
      <c r="J28" s="365">
        <v>1</v>
      </c>
      <c r="K28" s="365">
        <v>0</v>
      </c>
      <c r="L28" s="365">
        <v>2</v>
      </c>
      <c r="M28" s="366">
        <v>59</v>
      </c>
      <c r="N28" s="399" t="s">
        <v>735</v>
      </c>
      <c r="O28" s="237" t="s">
        <v>1486</v>
      </c>
      <c r="P28" s="237"/>
      <c r="Q28" s="360" t="s">
        <v>2157</v>
      </c>
      <c r="R28" s="361">
        <v>45198</v>
      </c>
      <c r="S28" s="368" t="s">
        <v>498</v>
      </c>
      <c r="T28" s="363">
        <v>6.5</v>
      </c>
      <c r="U28" s="364" t="s">
        <v>2158</v>
      </c>
      <c r="X28" s="149" t="s">
        <v>2787</v>
      </c>
      <c r="Y28" s="149">
        <v>25</v>
      </c>
      <c r="Z28" s="149">
        <v>36</v>
      </c>
      <c r="AH28" s="309" t="s">
        <v>2037</v>
      </c>
      <c r="AI28" s="309" t="s">
        <v>2037</v>
      </c>
      <c r="AJ28" s="309" t="s">
        <v>2370</v>
      </c>
      <c r="AK28" s="309" t="s">
        <v>2037</v>
      </c>
      <c r="AL28" s="309" t="s">
        <v>2037</v>
      </c>
      <c r="AM28" s="309" t="s">
        <v>2370</v>
      </c>
      <c r="AS28" s="309" t="s">
        <v>2033</v>
      </c>
      <c r="AT28" s="309" t="s">
        <v>2034</v>
      </c>
      <c r="AU28" s="309" t="s">
        <v>2034</v>
      </c>
      <c r="AV28" s="309" t="s">
        <v>2034</v>
      </c>
      <c r="AW28" s="309" t="s">
        <v>2034</v>
      </c>
      <c r="AX28" s="309" t="s">
        <v>2034</v>
      </c>
      <c r="AY28" s="309" t="s">
        <v>2033</v>
      </c>
      <c r="AZ28" s="309" t="s">
        <v>2033</v>
      </c>
      <c r="BA28" s="309" t="s">
        <v>2033</v>
      </c>
      <c r="BB28" s="309" t="s">
        <v>2033</v>
      </c>
      <c r="BC28" s="309" t="s">
        <v>2033</v>
      </c>
      <c r="BD28" s="309" t="s">
        <v>2033</v>
      </c>
      <c r="BE28" s="309" t="s">
        <v>2034</v>
      </c>
      <c r="BF28" s="309" t="s">
        <v>2034</v>
      </c>
      <c r="BG28" s="309" t="s">
        <v>2034</v>
      </c>
      <c r="BH28" s="309" t="s">
        <v>2034</v>
      </c>
      <c r="BI28" s="309" t="s">
        <v>2034</v>
      </c>
      <c r="BJ28" s="309" t="s">
        <v>2034</v>
      </c>
      <c r="BK28" s="309" t="s">
        <v>2034</v>
      </c>
      <c r="BL28" s="309" t="s">
        <v>2034</v>
      </c>
      <c r="BM28" s="309" t="s">
        <v>2034</v>
      </c>
      <c r="BN28" s="309" t="s">
        <v>2034</v>
      </c>
      <c r="BO28" s="309" t="s">
        <v>2034</v>
      </c>
      <c r="BY28" s="309" t="s">
        <v>2372</v>
      </c>
      <c r="BZ28" s="309" t="s">
        <v>2036</v>
      </c>
      <c r="CA28" s="309" t="s">
        <v>2036</v>
      </c>
      <c r="CB28" s="309" t="s">
        <v>2359</v>
      </c>
      <c r="CC28" s="309" t="s">
        <v>2359</v>
      </c>
      <c r="CD28" s="309" t="s">
        <v>2359</v>
      </c>
      <c r="CE28" s="309" t="s">
        <v>2359</v>
      </c>
      <c r="CF28" s="309" t="s">
        <v>2359</v>
      </c>
      <c r="CG28" s="309" t="s">
        <v>2359</v>
      </c>
      <c r="CH28" s="309" t="s">
        <v>2359</v>
      </c>
      <c r="CI28" s="309" t="s">
        <v>2359</v>
      </c>
      <c r="CJ28" s="309" t="s">
        <v>2359</v>
      </c>
      <c r="AVR28" s="309" t="s">
        <v>2361</v>
      </c>
      <c r="AVS28" s="309" t="s">
        <v>2361</v>
      </c>
      <c r="AVT28" s="309" t="s">
        <v>2361</v>
      </c>
      <c r="AVU28" s="309" t="s">
        <v>2361</v>
      </c>
      <c r="AVV28" s="309" t="s">
        <v>2361</v>
      </c>
      <c r="AVW28" s="309" t="s">
        <v>2361</v>
      </c>
      <c r="AVX28" s="309" t="s">
        <v>2372</v>
      </c>
      <c r="AVY28" s="309" t="s">
        <v>2372</v>
      </c>
      <c r="AVZ28" s="309" t="s">
        <v>2372</v>
      </c>
      <c r="AWA28" s="309" t="s">
        <v>2372</v>
      </c>
      <c r="AWB28" s="309" t="s">
        <v>2372</v>
      </c>
      <c r="AWC28" s="309" t="s">
        <v>2372</v>
      </c>
      <c r="AWD28" s="309" t="s">
        <v>2362</v>
      </c>
      <c r="AWE28" s="309" t="s">
        <v>2362</v>
      </c>
      <c r="AWF28" s="309" t="s">
        <v>2362</v>
      </c>
      <c r="AWG28" s="309" t="s">
        <v>2362</v>
      </c>
      <c r="AWH28" s="309" t="s">
        <v>2362</v>
      </c>
      <c r="AWI28" s="309" t="s">
        <v>2362</v>
      </c>
      <c r="AWJ28" s="309" t="s">
        <v>2036</v>
      </c>
      <c r="AWK28" s="309" t="s">
        <v>2036</v>
      </c>
      <c r="AWL28" s="309" t="s">
        <v>2036</v>
      </c>
      <c r="AWM28" s="309" t="s">
        <v>2036</v>
      </c>
      <c r="AWN28" s="309" t="s">
        <v>2036</v>
      </c>
      <c r="AWO28" s="309" t="s">
        <v>2036</v>
      </c>
    </row>
    <row r="29" spans="1:88 1090:1369" x14ac:dyDescent="0.25">
      <c r="A29" s="197">
        <v>3</v>
      </c>
      <c r="B29" s="197">
        <v>5</v>
      </c>
      <c r="C29" s="197">
        <v>1</v>
      </c>
      <c r="D29" s="197" t="s">
        <v>2385</v>
      </c>
      <c r="E29" s="197" t="s">
        <v>2435</v>
      </c>
      <c r="F29" s="197" t="s">
        <v>2435</v>
      </c>
      <c r="G29" s="197" t="s">
        <v>2435</v>
      </c>
      <c r="H29" s="197" t="s">
        <v>2435</v>
      </c>
      <c r="I29" s="197">
        <v>2</v>
      </c>
      <c r="J29" s="197">
        <v>0</v>
      </c>
      <c r="K29" s="197">
        <v>0</v>
      </c>
      <c r="L29" s="197">
        <v>0</v>
      </c>
      <c r="M29" s="359">
        <v>60</v>
      </c>
      <c r="N29" s="399" t="s">
        <v>778</v>
      </c>
      <c r="O29" s="237" t="s">
        <v>1482</v>
      </c>
      <c r="P29" s="237"/>
      <c r="Q29" s="371" t="s">
        <v>2189</v>
      </c>
      <c r="R29" s="361">
        <v>45329</v>
      </c>
      <c r="S29" s="368" t="s">
        <v>498</v>
      </c>
      <c r="T29" s="363">
        <v>6.8</v>
      </c>
      <c r="U29" s="364" t="s">
        <v>2190</v>
      </c>
      <c r="X29" s="149" t="s">
        <v>2788</v>
      </c>
      <c r="Y29" s="149">
        <v>32</v>
      </c>
      <c r="Z29" s="149">
        <v>50</v>
      </c>
      <c r="AH29" s="309" t="s">
        <v>2370</v>
      </c>
      <c r="AI29" s="309" t="s">
        <v>2370</v>
      </c>
      <c r="AJ29" s="309" t="s">
        <v>2370</v>
      </c>
      <c r="AK29" s="309" t="s">
        <v>2370</v>
      </c>
      <c r="AL29" s="309" t="s">
        <v>2370</v>
      </c>
      <c r="AS29" s="309" t="s">
        <v>2033</v>
      </c>
      <c r="AT29" s="309" t="s">
        <v>2034</v>
      </c>
      <c r="AU29" s="309" t="s">
        <v>2034</v>
      </c>
      <c r="AV29" s="309" t="s">
        <v>2034</v>
      </c>
      <c r="AW29" s="309" t="s">
        <v>2034</v>
      </c>
      <c r="AX29" s="309" t="s">
        <v>2034</v>
      </c>
      <c r="AY29" s="309" t="s">
        <v>2033</v>
      </c>
      <c r="AZ29" s="309" t="s">
        <v>2033</v>
      </c>
      <c r="BA29" s="309" t="s">
        <v>2034</v>
      </c>
      <c r="BB29" s="309" t="s">
        <v>2034</v>
      </c>
      <c r="BC29" s="309" t="s">
        <v>2034</v>
      </c>
      <c r="BD29" s="309" t="s">
        <v>2034</v>
      </c>
      <c r="BE29" s="309" t="s">
        <v>2034</v>
      </c>
      <c r="BF29" s="309" t="s">
        <v>2034</v>
      </c>
      <c r="BG29" s="309" t="s">
        <v>2034</v>
      </c>
      <c r="BY29" s="309" t="s">
        <v>2361</v>
      </c>
      <c r="BZ29" s="309" t="s">
        <v>2361</v>
      </c>
      <c r="CA29" s="309" t="s">
        <v>2359</v>
      </c>
      <c r="CB29" s="309" t="s">
        <v>2359</v>
      </c>
      <c r="CC29" s="309" t="s">
        <v>2359</v>
      </c>
      <c r="CD29" s="309" t="s">
        <v>2359</v>
      </c>
      <c r="AWP29" s="309" t="s">
        <v>2361</v>
      </c>
      <c r="AWQ29" s="309" t="s">
        <v>2361</v>
      </c>
      <c r="AWR29" s="309" t="s">
        <v>2361</v>
      </c>
      <c r="AWS29" s="309" t="s">
        <v>2361</v>
      </c>
      <c r="AWT29" s="309" t="s">
        <v>2361</v>
      </c>
      <c r="AWU29" s="309" t="s">
        <v>2361</v>
      </c>
      <c r="AWV29" s="309" t="s">
        <v>2372</v>
      </c>
      <c r="AWW29" s="309" t="s">
        <v>2372</v>
      </c>
      <c r="AWX29" s="309" t="s">
        <v>2372</v>
      </c>
      <c r="AWY29" s="309" t="s">
        <v>2372</v>
      </c>
      <c r="AWZ29" s="309" t="s">
        <v>2372</v>
      </c>
      <c r="AXA29" s="309" t="s">
        <v>2372</v>
      </c>
      <c r="AXB29" s="309" t="s">
        <v>2362</v>
      </c>
      <c r="AXC29" s="309" t="s">
        <v>2362</v>
      </c>
      <c r="AXD29" s="309" t="s">
        <v>2362</v>
      </c>
      <c r="AXE29" s="309" t="s">
        <v>2362</v>
      </c>
      <c r="AXF29" s="309" t="s">
        <v>2362</v>
      </c>
      <c r="AXG29" s="309" t="s">
        <v>2362</v>
      </c>
      <c r="AXH29" s="309" t="s">
        <v>2036</v>
      </c>
      <c r="AXI29" s="309" t="s">
        <v>2036</v>
      </c>
      <c r="AXJ29" s="309" t="s">
        <v>2036</v>
      </c>
      <c r="AXK29" s="309" t="s">
        <v>2036</v>
      </c>
      <c r="AXL29" s="309" t="s">
        <v>2036</v>
      </c>
      <c r="AXM29" s="309" t="s">
        <v>2036</v>
      </c>
    </row>
    <row r="30" spans="1:88 1090:1369" x14ac:dyDescent="0.25">
      <c r="A30" s="197">
        <v>3</v>
      </c>
      <c r="B30" s="197">
        <v>5</v>
      </c>
      <c r="C30" s="197">
        <v>1</v>
      </c>
      <c r="D30" s="197" t="s">
        <v>2381</v>
      </c>
      <c r="E30" s="197" t="s">
        <v>2435</v>
      </c>
      <c r="F30" s="197" t="s">
        <v>2435</v>
      </c>
      <c r="G30" s="197" t="s">
        <v>2435</v>
      </c>
      <c r="H30" s="197" t="s">
        <v>2435</v>
      </c>
      <c r="I30" s="197">
        <v>2</v>
      </c>
      <c r="J30" s="197">
        <v>0</v>
      </c>
      <c r="K30" s="197">
        <v>0</v>
      </c>
      <c r="L30" s="197">
        <v>0</v>
      </c>
      <c r="M30" s="359">
        <v>46</v>
      </c>
      <c r="N30" s="399" t="s">
        <v>787</v>
      </c>
      <c r="O30" s="237" t="s">
        <v>1486</v>
      </c>
      <c r="P30" s="237"/>
      <c r="Q30" s="371" t="s">
        <v>2195</v>
      </c>
      <c r="R30" s="361">
        <v>45553</v>
      </c>
      <c r="S30" s="368" t="s">
        <v>498</v>
      </c>
      <c r="T30" s="363">
        <v>6.6</v>
      </c>
      <c r="U30" s="364" t="s">
        <v>2196</v>
      </c>
      <c r="X30" s="149" t="s">
        <v>2789</v>
      </c>
      <c r="Y30" s="149">
        <v>40</v>
      </c>
      <c r="Z30" s="149">
        <v>60</v>
      </c>
      <c r="AH30" s="309" t="s">
        <v>2370</v>
      </c>
      <c r="AI30" s="309" t="s">
        <v>2370</v>
      </c>
      <c r="AJ30" s="309" t="s">
        <v>2370</v>
      </c>
      <c r="AK30" s="309" t="s">
        <v>2370</v>
      </c>
      <c r="AL30" s="309" t="s">
        <v>2370</v>
      </c>
      <c r="AM30" s="309" t="s">
        <v>2370</v>
      </c>
      <c r="AS30" s="309" t="s">
        <v>2033</v>
      </c>
      <c r="AT30" s="309" t="s">
        <v>2034</v>
      </c>
      <c r="AU30" s="309" t="s">
        <v>2034</v>
      </c>
      <c r="AV30" s="309" t="s">
        <v>2034</v>
      </c>
      <c r="AW30" s="309" t="s">
        <v>2034</v>
      </c>
      <c r="AX30" s="309" t="s">
        <v>2034</v>
      </c>
      <c r="AY30" s="309" t="s">
        <v>2033</v>
      </c>
      <c r="AZ30" s="309" t="s">
        <v>2033</v>
      </c>
      <c r="BA30" s="309" t="s">
        <v>2033</v>
      </c>
      <c r="BB30" s="309" t="s">
        <v>2033</v>
      </c>
      <c r="BC30" s="309" t="s">
        <v>2033</v>
      </c>
      <c r="BD30" s="309" t="s">
        <v>2033</v>
      </c>
      <c r="BE30" s="309" t="s">
        <v>2034</v>
      </c>
      <c r="BF30" s="309" t="s">
        <v>2034</v>
      </c>
      <c r="BG30" s="309" t="s">
        <v>2034</v>
      </c>
      <c r="BH30" s="309" t="s">
        <v>2034</v>
      </c>
      <c r="BI30" s="309" t="s">
        <v>2034</v>
      </c>
      <c r="BJ30" s="309" t="s">
        <v>2034</v>
      </c>
      <c r="BK30" s="309" t="s">
        <v>2034</v>
      </c>
      <c r="BL30" s="309" t="s">
        <v>2034</v>
      </c>
      <c r="BM30" s="309" t="s">
        <v>2034</v>
      </c>
      <c r="BN30" s="309" t="s">
        <v>2034</v>
      </c>
      <c r="BO30" s="309" t="s">
        <v>2034</v>
      </c>
      <c r="BP30" s="309" t="s">
        <v>2034</v>
      </c>
      <c r="BQ30" s="309" t="s">
        <v>2034</v>
      </c>
      <c r="BR30" s="309" t="s">
        <v>2034</v>
      </c>
      <c r="BS30" s="309" t="s">
        <v>2034</v>
      </c>
      <c r="BY30" s="309" t="s">
        <v>2361</v>
      </c>
      <c r="BZ30" s="309" t="s">
        <v>2361</v>
      </c>
      <c r="CA30" s="309" t="s">
        <v>2359</v>
      </c>
      <c r="CB30" s="309" t="s">
        <v>2359</v>
      </c>
      <c r="CC30" s="309" t="s">
        <v>2359</v>
      </c>
      <c r="CD30" s="309" t="s">
        <v>2359</v>
      </c>
      <c r="CE30" s="309" t="s">
        <v>2359</v>
      </c>
      <c r="CF30" s="309" t="s">
        <v>2359</v>
      </c>
      <c r="CG30" s="309" t="s">
        <v>2359</v>
      </c>
      <c r="CH30" s="309" t="s">
        <v>2359</v>
      </c>
      <c r="AXN30" s="309" t="s">
        <v>2361</v>
      </c>
      <c r="AXO30" s="309" t="s">
        <v>2361</v>
      </c>
      <c r="AXP30" s="309" t="s">
        <v>2361</v>
      </c>
      <c r="AXQ30" s="309" t="s">
        <v>2361</v>
      </c>
      <c r="AXR30" s="309" t="s">
        <v>2361</v>
      </c>
      <c r="AXS30" s="309" t="s">
        <v>2361</v>
      </c>
      <c r="AXT30" s="309" t="s">
        <v>2372</v>
      </c>
      <c r="AXU30" s="309" t="s">
        <v>2372</v>
      </c>
      <c r="AXV30" s="309" t="s">
        <v>2372</v>
      </c>
      <c r="AXW30" s="309" t="s">
        <v>2372</v>
      </c>
      <c r="AXX30" s="309" t="s">
        <v>2372</v>
      </c>
      <c r="AXY30" s="309" t="s">
        <v>2372</v>
      </c>
      <c r="AXZ30" s="309" t="s">
        <v>2362</v>
      </c>
      <c r="AYA30" s="309" t="s">
        <v>2362</v>
      </c>
      <c r="AYB30" s="309" t="s">
        <v>2362</v>
      </c>
      <c r="AYC30" s="309" t="s">
        <v>2362</v>
      </c>
      <c r="AYD30" s="309" t="s">
        <v>2362</v>
      </c>
      <c r="AYE30" s="309" t="s">
        <v>2362</v>
      </c>
      <c r="AYF30" s="309" t="s">
        <v>2036</v>
      </c>
      <c r="AYG30" s="309" t="s">
        <v>2036</v>
      </c>
      <c r="AYH30" s="309" t="s">
        <v>2036</v>
      </c>
      <c r="AYI30" s="309" t="s">
        <v>2036</v>
      </c>
      <c r="AYJ30" s="309" t="s">
        <v>2036</v>
      </c>
      <c r="AYK30" s="309" t="s">
        <v>2036</v>
      </c>
    </row>
    <row r="31" spans="1:88 1090:1369" x14ac:dyDescent="0.25">
      <c r="A31" s="365">
        <v>1</v>
      </c>
      <c r="B31" s="365">
        <v>5</v>
      </c>
      <c r="C31" s="365">
        <v>1</v>
      </c>
      <c r="D31" s="365" t="s">
        <v>2382</v>
      </c>
      <c r="E31" s="197" t="s">
        <v>2374</v>
      </c>
      <c r="F31" s="365" t="s">
        <v>2435</v>
      </c>
      <c r="G31" s="365" t="s">
        <v>2435</v>
      </c>
      <c r="H31" s="365" t="s">
        <v>2435</v>
      </c>
      <c r="I31" s="365">
        <v>0</v>
      </c>
      <c r="J31" s="365">
        <v>1</v>
      </c>
      <c r="K31" s="365">
        <v>0</v>
      </c>
      <c r="L31" s="365">
        <v>0</v>
      </c>
      <c r="M31" s="366">
        <v>73</v>
      </c>
      <c r="N31" s="399" t="s">
        <v>679</v>
      </c>
      <c r="O31" s="237" t="s">
        <v>1486</v>
      </c>
      <c r="P31" s="237"/>
      <c r="Q31" s="360" t="s">
        <v>2143</v>
      </c>
      <c r="R31" s="361">
        <v>45722</v>
      </c>
      <c r="S31" s="362" t="s">
        <v>498</v>
      </c>
      <c r="T31" s="363">
        <v>5.8</v>
      </c>
      <c r="U31" s="364" t="s">
        <v>2144</v>
      </c>
      <c r="X31" s="149" t="s">
        <v>2790</v>
      </c>
      <c r="Y31" s="149">
        <v>50</v>
      </c>
      <c r="Z31" s="149">
        <v>70</v>
      </c>
      <c r="AH31" s="309" t="s">
        <v>2370</v>
      </c>
      <c r="AI31" s="309" t="s">
        <v>2370</v>
      </c>
      <c r="AJ31" s="309" t="s">
        <v>2373</v>
      </c>
      <c r="AS31" s="309" t="s">
        <v>2033</v>
      </c>
      <c r="AT31" s="309" t="s">
        <v>2034</v>
      </c>
      <c r="AU31" s="309" t="s">
        <v>2034</v>
      </c>
      <c r="AV31" s="309" t="s">
        <v>2034</v>
      </c>
      <c r="AW31" s="309" t="s">
        <v>2034</v>
      </c>
      <c r="AX31" s="309" t="s">
        <v>2034</v>
      </c>
      <c r="BY31" s="309" t="s">
        <v>2372</v>
      </c>
      <c r="BZ31" s="309" t="s">
        <v>2359</v>
      </c>
      <c r="AYL31" s="309" t="s">
        <v>2361</v>
      </c>
      <c r="AYM31" s="309" t="s">
        <v>2361</v>
      </c>
      <c r="AYN31" s="309" t="s">
        <v>2361</v>
      </c>
      <c r="AYO31" s="309" t="s">
        <v>2361</v>
      </c>
      <c r="AYP31" s="309" t="s">
        <v>2372</v>
      </c>
      <c r="AYQ31" s="309" t="s">
        <v>2372</v>
      </c>
      <c r="AYR31" s="309" t="s">
        <v>2372</v>
      </c>
      <c r="AYS31" s="309" t="s">
        <v>2372</v>
      </c>
      <c r="AYT31" s="309" t="s">
        <v>2362</v>
      </c>
      <c r="AYU31" s="309" t="s">
        <v>2362</v>
      </c>
      <c r="AYV31" s="309" t="s">
        <v>2362</v>
      </c>
      <c r="AYW31" s="309" t="s">
        <v>2362</v>
      </c>
      <c r="AYX31" s="309" t="s">
        <v>2036</v>
      </c>
      <c r="AYY31" s="309" t="s">
        <v>2036</v>
      </c>
      <c r="AYZ31" s="309" t="s">
        <v>2036</v>
      </c>
      <c r="AZA31" s="309" t="s">
        <v>2036</v>
      </c>
    </row>
    <row r="32" spans="1:88 1090:1369" x14ac:dyDescent="0.25">
      <c r="A32" s="365">
        <v>3</v>
      </c>
      <c r="B32" s="365">
        <v>5</v>
      </c>
      <c r="C32" s="365">
        <v>1</v>
      </c>
      <c r="D32" s="365" t="s">
        <v>2374</v>
      </c>
      <c r="E32" s="365" t="s">
        <v>2435</v>
      </c>
      <c r="F32" s="365" t="s">
        <v>2435</v>
      </c>
      <c r="G32" s="365" t="s">
        <v>2382</v>
      </c>
      <c r="H32" s="365" t="s">
        <v>2435</v>
      </c>
      <c r="I32" s="365">
        <v>0</v>
      </c>
      <c r="J32" s="365">
        <v>1</v>
      </c>
      <c r="K32" s="365">
        <v>0</v>
      </c>
      <c r="L32" s="365">
        <v>2</v>
      </c>
      <c r="M32" s="366">
        <v>73</v>
      </c>
      <c r="N32" s="399" t="s">
        <v>737</v>
      </c>
      <c r="O32" s="237" t="s">
        <v>1486</v>
      </c>
      <c r="P32" s="237"/>
      <c r="Q32" s="360" t="s">
        <v>2159</v>
      </c>
      <c r="R32" s="361">
        <v>48037</v>
      </c>
      <c r="S32" s="368" t="s">
        <v>498</v>
      </c>
      <c r="T32" s="363">
        <v>6.5</v>
      </c>
      <c r="U32" s="364" t="s">
        <v>2160</v>
      </c>
      <c r="X32" s="149" t="s">
        <v>2791</v>
      </c>
      <c r="Y32" s="149">
        <v>65</v>
      </c>
      <c r="Z32" s="149">
        <v>80</v>
      </c>
      <c r="AH32" s="309" t="s">
        <v>2037</v>
      </c>
      <c r="AI32" s="309" t="s">
        <v>2037</v>
      </c>
      <c r="AJ32" s="309" t="s">
        <v>2370</v>
      </c>
      <c r="AK32" s="309" t="s">
        <v>2037</v>
      </c>
      <c r="AL32" s="309" t="s">
        <v>2037</v>
      </c>
      <c r="AM32" s="309" t="s">
        <v>2370</v>
      </c>
      <c r="AS32" s="309" t="s">
        <v>2033</v>
      </c>
      <c r="AT32" s="309" t="s">
        <v>2034</v>
      </c>
      <c r="AU32" s="309" t="s">
        <v>2034</v>
      </c>
      <c r="AV32" s="309" t="s">
        <v>2034</v>
      </c>
      <c r="AW32" s="309" t="s">
        <v>2034</v>
      </c>
      <c r="AX32" s="309" t="s">
        <v>2034</v>
      </c>
      <c r="AY32" s="309" t="s">
        <v>2033</v>
      </c>
      <c r="AZ32" s="309" t="s">
        <v>2033</v>
      </c>
      <c r="BA32" s="309" t="s">
        <v>2033</v>
      </c>
      <c r="BB32" s="309" t="s">
        <v>2033</v>
      </c>
      <c r="BC32" s="309" t="s">
        <v>2033</v>
      </c>
      <c r="BD32" s="309" t="s">
        <v>2033</v>
      </c>
      <c r="BE32" s="309" t="s">
        <v>2034</v>
      </c>
      <c r="BF32" s="309" t="s">
        <v>2034</v>
      </c>
      <c r="BG32" s="309" t="s">
        <v>2034</v>
      </c>
      <c r="BH32" s="309" t="s">
        <v>2034</v>
      </c>
      <c r="BI32" s="309" t="s">
        <v>2034</v>
      </c>
      <c r="BJ32" s="309" t="s">
        <v>2034</v>
      </c>
      <c r="BK32" s="309" t="s">
        <v>2034</v>
      </c>
      <c r="BL32" s="309" t="s">
        <v>2034</v>
      </c>
      <c r="BM32" s="309" t="s">
        <v>2034</v>
      </c>
      <c r="BN32" s="309" t="s">
        <v>2034</v>
      </c>
      <c r="BO32" s="309" t="s">
        <v>2034</v>
      </c>
      <c r="BY32" s="309" t="s">
        <v>2372</v>
      </c>
      <c r="BZ32" s="309" t="s">
        <v>2036</v>
      </c>
      <c r="CA32" s="309" t="s">
        <v>2036</v>
      </c>
      <c r="CB32" s="309" t="s">
        <v>2359</v>
      </c>
      <c r="CC32" s="309" t="s">
        <v>2359</v>
      </c>
      <c r="CD32" s="309" t="s">
        <v>2359</v>
      </c>
      <c r="CE32" s="309" t="s">
        <v>2359</v>
      </c>
      <c r="CF32" s="309" t="s">
        <v>2359</v>
      </c>
      <c r="CG32" s="309" t="s">
        <v>2359</v>
      </c>
      <c r="CH32" s="309" t="s">
        <v>2359</v>
      </c>
      <c r="CI32" s="309" t="s">
        <v>2359</v>
      </c>
      <c r="CJ32" s="309" t="s">
        <v>2359</v>
      </c>
      <c r="AZB32" s="309" t="s">
        <v>2361</v>
      </c>
      <c r="AZC32" s="309" t="s">
        <v>2361</v>
      </c>
      <c r="AZD32" s="309" t="s">
        <v>2361</v>
      </c>
      <c r="AZE32" s="309" t="s">
        <v>2361</v>
      </c>
      <c r="AZF32" s="309" t="s">
        <v>2372</v>
      </c>
      <c r="AZG32" s="309" t="s">
        <v>2372</v>
      </c>
      <c r="AZH32" s="309" t="s">
        <v>2372</v>
      </c>
      <c r="AZI32" s="309" t="s">
        <v>2372</v>
      </c>
      <c r="AZJ32" s="309" t="s">
        <v>2362</v>
      </c>
      <c r="AZK32" s="309" t="s">
        <v>2362</v>
      </c>
      <c r="AZL32" s="309" t="s">
        <v>2362</v>
      </c>
      <c r="AZM32" s="309" t="s">
        <v>2362</v>
      </c>
      <c r="AZN32" s="309" t="s">
        <v>2036</v>
      </c>
      <c r="AZO32" s="309" t="s">
        <v>2036</v>
      </c>
      <c r="AZP32" s="309" t="s">
        <v>2036</v>
      </c>
      <c r="AZQ32" s="309" t="s">
        <v>2036</v>
      </c>
    </row>
    <row r="33" spans="1:88 1370:1685" x14ac:dyDescent="0.25">
      <c r="A33" s="197">
        <v>3</v>
      </c>
      <c r="B33" s="197">
        <v>5</v>
      </c>
      <c r="C33" s="197">
        <v>1</v>
      </c>
      <c r="D33" s="197" t="s">
        <v>2385</v>
      </c>
      <c r="E33" s="197" t="s">
        <v>2435</v>
      </c>
      <c r="F33" s="197" t="s">
        <v>2435</v>
      </c>
      <c r="G33" s="197" t="s">
        <v>2435</v>
      </c>
      <c r="H33" s="197" t="s">
        <v>2435</v>
      </c>
      <c r="I33" s="197">
        <v>2</v>
      </c>
      <c r="J33" s="197">
        <v>0</v>
      </c>
      <c r="K33" s="197">
        <v>0</v>
      </c>
      <c r="L33" s="197">
        <v>0</v>
      </c>
      <c r="M33" s="359">
        <v>60</v>
      </c>
      <c r="N33" s="399" t="s">
        <v>789</v>
      </c>
      <c r="O33" s="237" t="s">
        <v>1486</v>
      </c>
      <c r="P33" s="237"/>
      <c r="Q33" s="371" t="s">
        <v>2197</v>
      </c>
      <c r="R33" s="361">
        <v>48372</v>
      </c>
      <c r="S33" s="368" t="s">
        <v>498</v>
      </c>
      <c r="T33" s="363">
        <v>6.8</v>
      </c>
      <c r="U33" s="364" t="s">
        <v>2198</v>
      </c>
      <c r="X33" s="149" t="s">
        <v>2792</v>
      </c>
      <c r="Y33" s="149">
        <v>80</v>
      </c>
      <c r="Z33" s="149">
        <v>110</v>
      </c>
      <c r="AH33" s="309" t="s">
        <v>2370</v>
      </c>
      <c r="AI33" s="309" t="s">
        <v>2370</v>
      </c>
      <c r="AJ33" s="309" t="s">
        <v>2370</v>
      </c>
      <c r="AK33" s="309" t="s">
        <v>2370</v>
      </c>
      <c r="AL33" s="309" t="s">
        <v>2370</v>
      </c>
      <c r="AM33" s="309" t="s">
        <v>2370</v>
      </c>
      <c r="AS33" s="309" t="s">
        <v>2033</v>
      </c>
      <c r="AT33" s="309" t="s">
        <v>2034</v>
      </c>
      <c r="AU33" s="309" t="s">
        <v>2034</v>
      </c>
      <c r="AV33" s="309" t="s">
        <v>2034</v>
      </c>
      <c r="AW33" s="309" t="s">
        <v>2034</v>
      </c>
      <c r="AX33" s="309" t="s">
        <v>2034</v>
      </c>
      <c r="AY33" s="309" t="s">
        <v>2033</v>
      </c>
      <c r="AZ33" s="309" t="s">
        <v>2033</v>
      </c>
      <c r="BA33" s="309" t="s">
        <v>2033</v>
      </c>
      <c r="BB33" s="309" t="s">
        <v>2033</v>
      </c>
      <c r="BC33" s="309" t="s">
        <v>2033</v>
      </c>
      <c r="BD33" s="309" t="s">
        <v>2033</v>
      </c>
      <c r="BE33" s="309" t="s">
        <v>2034</v>
      </c>
      <c r="BF33" s="309" t="s">
        <v>2034</v>
      </c>
      <c r="BG33" s="309" t="s">
        <v>2034</v>
      </c>
      <c r="BH33" s="309" t="s">
        <v>2034</v>
      </c>
      <c r="BI33" s="309" t="s">
        <v>2034</v>
      </c>
      <c r="BJ33" s="309" t="s">
        <v>2034</v>
      </c>
      <c r="BK33" s="309" t="s">
        <v>2034</v>
      </c>
      <c r="BL33" s="309" t="s">
        <v>2034</v>
      </c>
      <c r="BM33" s="309" t="s">
        <v>2034</v>
      </c>
      <c r="BN33" s="309" t="s">
        <v>2034</v>
      </c>
      <c r="BO33" s="309" t="s">
        <v>2034</v>
      </c>
      <c r="BP33" s="309" t="s">
        <v>2034</v>
      </c>
      <c r="BQ33" s="309" t="s">
        <v>2034</v>
      </c>
      <c r="BR33" s="309" t="s">
        <v>2034</v>
      </c>
      <c r="BS33" s="309" t="s">
        <v>2034</v>
      </c>
      <c r="BY33" s="309" t="s">
        <v>2361</v>
      </c>
      <c r="BZ33" s="309" t="s">
        <v>2361</v>
      </c>
      <c r="CA33" s="309" t="s">
        <v>2359</v>
      </c>
      <c r="CB33" s="309" t="s">
        <v>2359</v>
      </c>
      <c r="CC33" s="309" t="s">
        <v>2359</v>
      </c>
      <c r="CD33" s="309" t="s">
        <v>2359</v>
      </c>
      <c r="CE33" s="309" t="s">
        <v>2359</v>
      </c>
      <c r="CF33" s="309" t="s">
        <v>2359</v>
      </c>
      <c r="CG33" s="309" t="s">
        <v>2359</v>
      </c>
      <c r="CH33" s="309" t="s">
        <v>2359</v>
      </c>
      <c r="AZR33" s="309" t="s">
        <v>2361</v>
      </c>
      <c r="AZS33" s="309" t="s">
        <v>2361</v>
      </c>
      <c r="AZT33" s="309" t="s">
        <v>2361</v>
      </c>
      <c r="AZU33" s="309" t="s">
        <v>2361</v>
      </c>
      <c r="AZV33" s="309" t="s">
        <v>2372</v>
      </c>
      <c r="AZW33" s="309" t="s">
        <v>2372</v>
      </c>
      <c r="AZX33" s="309" t="s">
        <v>2372</v>
      </c>
      <c r="AZY33" s="309" t="s">
        <v>2372</v>
      </c>
      <c r="AZZ33" s="309" t="s">
        <v>2362</v>
      </c>
      <c r="BAA33" s="309" t="s">
        <v>2362</v>
      </c>
      <c r="BAB33" s="309" t="s">
        <v>2362</v>
      </c>
      <c r="BAC33" s="309" t="s">
        <v>2362</v>
      </c>
      <c r="BAD33" s="309" t="s">
        <v>2036</v>
      </c>
      <c r="BAE33" s="309" t="s">
        <v>2036</v>
      </c>
      <c r="BAF33" s="309" t="s">
        <v>2036</v>
      </c>
      <c r="BAG33" s="309" t="s">
        <v>2036</v>
      </c>
    </row>
    <row r="34" spans="1:88 1370:1685" x14ac:dyDescent="0.25">
      <c r="A34" s="197">
        <v>3</v>
      </c>
      <c r="B34" s="197">
        <v>5</v>
      </c>
      <c r="C34" s="197">
        <v>5</v>
      </c>
      <c r="D34" s="365" t="s">
        <v>2374</v>
      </c>
      <c r="E34" s="197" t="s">
        <v>2435</v>
      </c>
      <c r="F34" s="197" t="s">
        <v>2435</v>
      </c>
      <c r="G34" s="197" t="s">
        <v>2383</v>
      </c>
      <c r="H34" s="197" t="s">
        <v>2435</v>
      </c>
      <c r="I34" s="197">
        <v>0</v>
      </c>
      <c r="J34" s="197">
        <v>2</v>
      </c>
      <c r="K34" s="197">
        <v>0</v>
      </c>
      <c r="L34" s="197">
        <v>3</v>
      </c>
      <c r="M34" s="366">
        <v>41</v>
      </c>
      <c r="N34" s="399" t="s">
        <v>739</v>
      </c>
      <c r="O34" s="237" t="s">
        <v>1489</v>
      </c>
      <c r="P34" s="237"/>
      <c r="Q34" s="360" t="s">
        <v>2161</v>
      </c>
      <c r="R34" s="361">
        <v>48777</v>
      </c>
      <c r="S34" s="368" t="s">
        <v>498</v>
      </c>
      <c r="T34" s="363">
        <v>6.3</v>
      </c>
      <c r="U34" s="364" t="s">
        <v>2162</v>
      </c>
      <c r="X34" s="149" t="s">
        <v>2793</v>
      </c>
      <c r="Y34" s="149">
        <v>95</v>
      </c>
      <c r="Z34" s="149">
        <v>120</v>
      </c>
      <c r="AH34" s="309" t="s">
        <v>2037</v>
      </c>
      <c r="AI34" s="309" t="s">
        <v>2037</v>
      </c>
      <c r="AJ34" s="309" t="s">
        <v>2370</v>
      </c>
      <c r="AK34" s="309" t="s">
        <v>2037</v>
      </c>
      <c r="AL34" s="309" t="s">
        <v>2037</v>
      </c>
      <c r="AM34" s="309" t="s">
        <v>2370</v>
      </c>
      <c r="AS34" s="309" t="s">
        <v>2033</v>
      </c>
      <c r="AT34" s="309" t="s">
        <v>2033</v>
      </c>
      <c r="AU34" s="309" t="s">
        <v>2033</v>
      </c>
      <c r="AV34" s="309" t="s">
        <v>2033</v>
      </c>
      <c r="AW34" s="309" t="s">
        <v>2033</v>
      </c>
      <c r="AX34" s="309" t="s">
        <v>2034</v>
      </c>
      <c r="AY34" s="309" t="s">
        <v>2034</v>
      </c>
      <c r="AZ34" s="309" t="s">
        <v>2034</v>
      </c>
      <c r="BA34" s="309" t="s">
        <v>2034</v>
      </c>
      <c r="BB34" s="309" t="s">
        <v>2034</v>
      </c>
      <c r="BC34" s="309" t="s">
        <v>2033</v>
      </c>
      <c r="BD34" s="309" t="s">
        <v>2033</v>
      </c>
      <c r="BE34" s="309" t="s">
        <v>2034</v>
      </c>
      <c r="BF34" s="309" t="s">
        <v>2034</v>
      </c>
      <c r="BG34" s="309" t="s">
        <v>2034</v>
      </c>
      <c r="BH34" s="309" t="s">
        <v>2034</v>
      </c>
      <c r="BI34" s="309" t="s">
        <v>2034</v>
      </c>
      <c r="BJ34" s="309" t="s">
        <v>2034</v>
      </c>
      <c r="BK34" s="309" t="s">
        <v>2034</v>
      </c>
      <c r="BL34" s="309" t="s">
        <v>2034</v>
      </c>
      <c r="BM34" s="309" t="s">
        <v>2034</v>
      </c>
      <c r="BN34" s="309" t="s">
        <v>2034</v>
      </c>
      <c r="BO34" s="309" t="s">
        <v>2034</v>
      </c>
      <c r="BY34" s="309" t="s">
        <v>2372</v>
      </c>
      <c r="BZ34" s="309" t="s">
        <v>2372</v>
      </c>
      <c r="CA34" s="309" t="s">
        <v>2036</v>
      </c>
      <c r="CB34" s="309" t="s">
        <v>2036</v>
      </c>
      <c r="CC34" s="309" t="s">
        <v>2036</v>
      </c>
      <c r="CD34" s="309" t="s">
        <v>2359</v>
      </c>
      <c r="CE34" s="309" t="s">
        <v>2359</v>
      </c>
      <c r="CF34" s="309" t="s">
        <v>2359</v>
      </c>
      <c r="CG34" s="309" t="s">
        <v>2359</v>
      </c>
      <c r="CH34" s="309" t="s">
        <v>2359</v>
      </c>
      <c r="CI34" s="309" t="s">
        <v>2359</v>
      </c>
      <c r="CJ34" s="309" t="s">
        <v>2359</v>
      </c>
      <c r="BAH34" s="309" t="s">
        <v>2361</v>
      </c>
      <c r="BAI34" s="309" t="s">
        <v>2361</v>
      </c>
      <c r="BAJ34" s="309" t="s">
        <v>2361</v>
      </c>
      <c r="BAK34" s="309" t="s">
        <v>2361</v>
      </c>
      <c r="BAL34" s="309" t="s">
        <v>2372</v>
      </c>
      <c r="BAM34" s="309" t="s">
        <v>2372</v>
      </c>
      <c r="BAN34" s="309" t="s">
        <v>2372</v>
      </c>
      <c r="BAO34" s="309" t="s">
        <v>2372</v>
      </c>
      <c r="BAP34" s="309" t="s">
        <v>2362</v>
      </c>
      <c r="BAQ34" s="309" t="s">
        <v>2362</v>
      </c>
      <c r="BAR34" s="309" t="s">
        <v>2362</v>
      </c>
      <c r="BAS34" s="309" t="s">
        <v>2362</v>
      </c>
      <c r="BAT34" s="309" t="s">
        <v>2036</v>
      </c>
      <c r="BAU34" s="309" t="s">
        <v>2036</v>
      </c>
      <c r="BAV34" s="309" t="s">
        <v>2036</v>
      </c>
      <c r="BAW34" s="309" t="s">
        <v>2036</v>
      </c>
    </row>
    <row r="35" spans="1:88 1370:1685" x14ac:dyDescent="0.25">
      <c r="A35" s="197">
        <v>3</v>
      </c>
      <c r="B35" s="197">
        <v>5</v>
      </c>
      <c r="C35" s="197">
        <v>1</v>
      </c>
      <c r="D35" s="197" t="s">
        <v>2382</v>
      </c>
      <c r="E35" s="197" t="s">
        <v>2435</v>
      </c>
      <c r="F35" s="197" t="s">
        <v>2435</v>
      </c>
      <c r="G35" s="197" t="s">
        <v>2435</v>
      </c>
      <c r="H35" s="197" t="s">
        <v>2435</v>
      </c>
      <c r="I35" s="197">
        <v>2</v>
      </c>
      <c r="J35" s="197">
        <v>0</v>
      </c>
      <c r="K35" s="197">
        <v>0</v>
      </c>
      <c r="L35" s="197">
        <v>0</v>
      </c>
      <c r="M35" s="359">
        <v>74</v>
      </c>
      <c r="N35" s="399" t="s">
        <v>781</v>
      </c>
      <c r="O35" s="237" t="s">
        <v>1482</v>
      </c>
      <c r="P35" s="237"/>
      <c r="Q35" s="371" t="s">
        <v>2191</v>
      </c>
      <c r="R35" s="361">
        <v>48978</v>
      </c>
      <c r="S35" s="368" t="s">
        <v>498</v>
      </c>
      <c r="T35" s="363">
        <v>6.8</v>
      </c>
      <c r="U35" s="364" t="s">
        <v>2192</v>
      </c>
      <c r="X35" s="149" t="s">
        <v>2794</v>
      </c>
      <c r="Y35" s="149">
        <v>120</v>
      </c>
      <c r="Z35" s="149">
        <v>150</v>
      </c>
      <c r="AH35" s="309" t="s">
        <v>2370</v>
      </c>
      <c r="AI35" s="309" t="s">
        <v>2370</v>
      </c>
      <c r="AJ35" s="309" t="s">
        <v>2370</v>
      </c>
      <c r="AK35" s="309" t="s">
        <v>2370</v>
      </c>
      <c r="AL35" s="309" t="s">
        <v>2370</v>
      </c>
      <c r="AS35" s="309" t="s">
        <v>2033</v>
      </c>
      <c r="AT35" s="309" t="s">
        <v>2034</v>
      </c>
      <c r="AU35" s="309" t="s">
        <v>2034</v>
      </c>
      <c r="AV35" s="309" t="s">
        <v>2034</v>
      </c>
      <c r="AW35" s="309" t="s">
        <v>2034</v>
      </c>
      <c r="AX35" s="309" t="s">
        <v>2034</v>
      </c>
      <c r="AY35" s="309" t="s">
        <v>2033</v>
      </c>
      <c r="AZ35" s="309" t="s">
        <v>2033</v>
      </c>
      <c r="BA35" s="309" t="s">
        <v>2034</v>
      </c>
      <c r="BB35" s="309" t="s">
        <v>2034</v>
      </c>
      <c r="BC35" s="309" t="s">
        <v>2034</v>
      </c>
      <c r="BD35" s="309" t="s">
        <v>2034</v>
      </c>
      <c r="BE35" s="309" t="s">
        <v>2034</v>
      </c>
      <c r="BF35" s="309" t="s">
        <v>2034</v>
      </c>
      <c r="BG35" s="309" t="s">
        <v>2034</v>
      </c>
      <c r="BY35" s="309" t="s">
        <v>2361</v>
      </c>
      <c r="BZ35" s="309" t="s">
        <v>2361</v>
      </c>
      <c r="CA35" s="309" t="s">
        <v>2359</v>
      </c>
      <c r="CB35" s="309" t="s">
        <v>2359</v>
      </c>
      <c r="CC35" s="309" t="s">
        <v>2359</v>
      </c>
      <c r="CD35" s="309" t="s">
        <v>2359</v>
      </c>
      <c r="BAX35" s="309" t="s">
        <v>2361</v>
      </c>
      <c r="BAY35" s="309" t="s">
        <v>2361</v>
      </c>
      <c r="BAZ35" s="309" t="s">
        <v>2361</v>
      </c>
      <c r="BBA35" s="309" t="s">
        <v>2361</v>
      </c>
      <c r="BBB35" s="309" t="s">
        <v>2372</v>
      </c>
      <c r="BBC35" s="309" t="s">
        <v>2372</v>
      </c>
      <c r="BBD35" s="309" t="s">
        <v>2372</v>
      </c>
      <c r="BBE35" s="309" t="s">
        <v>2372</v>
      </c>
      <c r="BBF35" s="309" t="s">
        <v>2362</v>
      </c>
      <c r="BBG35" s="309" t="s">
        <v>2362</v>
      </c>
      <c r="BBH35" s="309" t="s">
        <v>2362</v>
      </c>
      <c r="BBI35" s="309" t="s">
        <v>2362</v>
      </c>
      <c r="BBJ35" s="309" t="s">
        <v>2036</v>
      </c>
      <c r="BBK35" s="309" t="s">
        <v>2036</v>
      </c>
      <c r="BBL35" s="309" t="s">
        <v>2036</v>
      </c>
      <c r="BBM35" s="309" t="s">
        <v>2036</v>
      </c>
    </row>
    <row r="36" spans="1:88 1370:1685" x14ac:dyDescent="0.25">
      <c r="A36" s="197">
        <v>3</v>
      </c>
      <c r="B36" s="197">
        <v>5</v>
      </c>
      <c r="C36" s="197">
        <v>5</v>
      </c>
      <c r="D36" s="365" t="s">
        <v>2374</v>
      </c>
      <c r="E36" s="365" t="s">
        <v>2435</v>
      </c>
      <c r="F36" s="365" t="s">
        <v>2435</v>
      </c>
      <c r="G36" s="365" t="s">
        <v>2384</v>
      </c>
      <c r="H36" s="365" t="s">
        <v>2435</v>
      </c>
      <c r="I36" s="365">
        <v>0</v>
      </c>
      <c r="J36" s="197">
        <v>2</v>
      </c>
      <c r="K36" s="365">
        <v>0</v>
      </c>
      <c r="L36" s="197">
        <v>3</v>
      </c>
      <c r="M36" s="366">
        <v>49</v>
      </c>
      <c r="N36" s="399" t="s">
        <v>742</v>
      </c>
      <c r="O36" s="237" t="s">
        <v>1489</v>
      </c>
      <c r="P36" s="237"/>
      <c r="Q36" s="360" t="s">
        <v>2163</v>
      </c>
      <c r="R36" s="361">
        <v>50564</v>
      </c>
      <c r="S36" s="368" t="s">
        <v>498</v>
      </c>
      <c r="T36" s="363">
        <v>6.3</v>
      </c>
      <c r="U36" s="364" t="s">
        <v>2164</v>
      </c>
      <c r="X36" s="149" t="s">
        <v>2795</v>
      </c>
      <c r="Y36" s="149">
        <v>160</v>
      </c>
      <c r="Z36" s="149">
        <v>200</v>
      </c>
      <c r="AH36" s="309" t="s">
        <v>2037</v>
      </c>
      <c r="AI36" s="309" t="s">
        <v>2037</v>
      </c>
      <c r="AJ36" s="309" t="s">
        <v>2370</v>
      </c>
      <c r="AK36" s="309" t="s">
        <v>2037</v>
      </c>
      <c r="AL36" s="309" t="s">
        <v>2037</v>
      </c>
      <c r="AM36" s="309" t="s">
        <v>2370</v>
      </c>
      <c r="AS36" s="309" t="s">
        <v>2033</v>
      </c>
      <c r="AT36" s="309" t="s">
        <v>2033</v>
      </c>
      <c r="AU36" s="309" t="s">
        <v>2033</v>
      </c>
      <c r="AV36" s="309" t="s">
        <v>2033</v>
      </c>
      <c r="AW36" s="309" t="s">
        <v>2033</v>
      </c>
      <c r="AX36" s="309" t="s">
        <v>2034</v>
      </c>
      <c r="AY36" s="309" t="s">
        <v>2034</v>
      </c>
      <c r="AZ36" s="309" t="s">
        <v>2034</v>
      </c>
      <c r="BA36" s="309" t="s">
        <v>2034</v>
      </c>
      <c r="BB36" s="309" t="s">
        <v>2034</v>
      </c>
      <c r="BC36" s="309" t="s">
        <v>2033</v>
      </c>
      <c r="BD36" s="309" t="s">
        <v>2033</v>
      </c>
      <c r="BE36" s="309" t="s">
        <v>2034</v>
      </c>
      <c r="BF36" s="309" t="s">
        <v>2034</v>
      </c>
      <c r="BG36" s="309" t="s">
        <v>2034</v>
      </c>
      <c r="BH36" s="309" t="s">
        <v>2034</v>
      </c>
      <c r="BI36" s="309" t="s">
        <v>2034</v>
      </c>
      <c r="BJ36" s="309" t="s">
        <v>2034</v>
      </c>
      <c r="BK36" s="309" t="s">
        <v>2034</v>
      </c>
      <c r="BL36" s="309" t="s">
        <v>2034</v>
      </c>
      <c r="BM36" s="309" t="s">
        <v>2034</v>
      </c>
      <c r="BN36" s="309" t="s">
        <v>2034</v>
      </c>
      <c r="BO36" s="309" t="s">
        <v>2034</v>
      </c>
      <c r="BY36" s="309" t="s">
        <v>2372</v>
      </c>
      <c r="BZ36" s="309" t="s">
        <v>2372</v>
      </c>
      <c r="CA36" s="309" t="s">
        <v>2036</v>
      </c>
      <c r="CB36" s="309" t="s">
        <v>2036</v>
      </c>
      <c r="CC36" s="309" t="s">
        <v>2036</v>
      </c>
      <c r="CD36" s="309" t="s">
        <v>2359</v>
      </c>
      <c r="CE36" s="309" t="s">
        <v>2359</v>
      </c>
      <c r="CF36" s="309" t="s">
        <v>2359</v>
      </c>
      <c r="CG36" s="309" t="s">
        <v>2359</v>
      </c>
      <c r="CH36" s="309" t="s">
        <v>2359</v>
      </c>
      <c r="CI36" s="309" t="s">
        <v>2359</v>
      </c>
      <c r="CJ36" s="309" t="s">
        <v>2359</v>
      </c>
      <c r="BBN36" s="309" t="s">
        <v>2361</v>
      </c>
      <c r="BBO36" s="309" t="s">
        <v>2361</v>
      </c>
      <c r="BBP36" s="309" t="s">
        <v>2361</v>
      </c>
      <c r="BBQ36" s="309" t="s">
        <v>2361</v>
      </c>
      <c r="BBR36" s="309" t="s">
        <v>2372</v>
      </c>
      <c r="BBS36" s="309" t="s">
        <v>2372</v>
      </c>
      <c r="BBT36" s="309" t="s">
        <v>2372</v>
      </c>
      <c r="BBU36" s="309" t="s">
        <v>2372</v>
      </c>
      <c r="BBV36" s="309" t="s">
        <v>2362</v>
      </c>
      <c r="BBW36" s="309" t="s">
        <v>2362</v>
      </c>
      <c r="BBX36" s="309" t="s">
        <v>2362</v>
      </c>
      <c r="BBY36" s="309" t="s">
        <v>2362</v>
      </c>
      <c r="BBZ36" s="309" t="s">
        <v>2036</v>
      </c>
      <c r="BCA36" s="309" t="s">
        <v>2036</v>
      </c>
      <c r="BCB36" s="309" t="s">
        <v>2036</v>
      </c>
      <c r="BCC36" s="309" t="s">
        <v>2036</v>
      </c>
    </row>
    <row r="37" spans="1:88 1370:1685" x14ac:dyDescent="0.25">
      <c r="A37" s="197">
        <v>3</v>
      </c>
      <c r="B37" s="197">
        <v>5</v>
      </c>
      <c r="C37" s="197">
        <v>1</v>
      </c>
      <c r="D37" s="197" t="s">
        <v>2382</v>
      </c>
      <c r="E37" s="197" t="s">
        <v>2435</v>
      </c>
      <c r="F37" s="197" t="s">
        <v>2435</v>
      </c>
      <c r="G37" s="197" t="s">
        <v>2435</v>
      </c>
      <c r="H37" s="197" t="s">
        <v>2435</v>
      </c>
      <c r="I37" s="197">
        <v>2</v>
      </c>
      <c r="J37" s="197">
        <v>0</v>
      </c>
      <c r="K37" s="197">
        <v>0</v>
      </c>
      <c r="L37" s="197">
        <v>0</v>
      </c>
      <c r="M37" s="359">
        <v>74</v>
      </c>
      <c r="N37" s="399" t="s">
        <v>791</v>
      </c>
      <c r="O37" s="237" t="s">
        <v>1486</v>
      </c>
      <c r="P37" s="237"/>
      <c r="Q37" s="371" t="s">
        <v>2199</v>
      </c>
      <c r="R37" s="361">
        <v>52072</v>
      </c>
      <c r="S37" s="368" t="s">
        <v>498</v>
      </c>
      <c r="T37" s="363">
        <v>6.8</v>
      </c>
      <c r="U37" s="364" t="s">
        <v>2200</v>
      </c>
      <c r="X37" s="149" t="s">
        <v>2796</v>
      </c>
      <c r="Y37" s="149">
        <v>200</v>
      </c>
      <c r="Z37" s="149">
        <v>250</v>
      </c>
      <c r="AH37" s="309" t="s">
        <v>2370</v>
      </c>
      <c r="AI37" s="309" t="s">
        <v>2370</v>
      </c>
      <c r="AJ37" s="309" t="s">
        <v>2370</v>
      </c>
      <c r="AK37" s="309" t="s">
        <v>2370</v>
      </c>
      <c r="AL37" s="309" t="s">
        <v>2370</v>
      </c>
      <c r="AM37" s="309" t="s">
        <v>2370</v>
      </c>
      <c r="AS37" s="309" t="s">
        <v>2033</v>
      </c>
      <c r="AT37" s="309" t="s">
        <v>2034</v>
      </c>
      <c r="AU37" s="309" t="s">
        <v>2034</v>
      </c>
      <c r="AV37" s="309" t="s">
        <v>2034</v>
      </c>
      <c r="AW37" s="309" t="s">
        <v>2034</v>
      </c>
      <c r="AX37" s="309" t="s">
        <v>2034</v>
      </c>
      <c r="AY37" s="309" t="s">
        <v>2033</v>
      </c>
      <c r="AZ37" s="309" t="s">
        <v>2033</v>
      </c>
      <c r="BA37" s="309" t="s">
        <v>2033</v>
      </c>
      <c r="BB37" s="309" t="s">
        <v>2033</v>
      </c>
      <c r="BC37" s="309" t="s">
        <v>2033</v>
      </c>
      <c r="BD37" s="309" t="s">
        <v>2033</v>
      </c>
      <c r="BE37" s="309" t="s">
        <v>2034</v>
      </c>
      <c r="BF37" s="309" t="s">
        <v>2034</v>
      </c>
      <c r="BG37" s="309" t="s">
        <v>2034</v>
      </c>
      <c r="BH37" s="309" t="s">
        <v>2034</v>
      </c>
      <c r="BI37" s="309" t="s">
        <v>2034</v>
      </c>
      <c r="BJ37" s="309" t="s">
        <v>2034</v>
      </c>
      <c r="BK37" s="309" t="s">
        <v>2034</v>
      </c>
      <c r="BL37" s="309" t="s">
        <v>2034</v>
      </c>
      <c r="BM37" s="309" t="s">
        <v>2034</v>
      </c>
      <c r="BN37" s="309" t="s">
        <v>2034</v>
      </c>
      <c r="BO37" s="309" t="s">
        <v>2034</v>
      </c>
      <c r="BP37" s="309" t="s">
        <v>2034</v>
      </c>
      <c r="BQ37" s="309" t="s">
        <v>2034</v>
      </c>
      <c r="BR37" s="309" t="s">
        <v>2034</v>
      </c>
      <c r="BS37" s="309" t="s">
        <v>2034</v>
      </c>
      <c r="BY37" s="309" t="s">
        <v>2361</v>
      </c>
      <c r="BZ37" s="309" t="s">
        <v>2361</v>
      </c>
      <c r="CA37" s="309" t="s">
        <v>2359</v>
      </c>
      <c r="CB37" s="309" t="s">
        <v>2359</v>
      </c>
      <c r="CC37" s="309" t="s">
        <v>2359</v>
      </c>
      <c r="CD37" s="309" t="s">
        <v>2359</v>
      </c>
      <c r="CE37" s="309" t="s">
        <v>2359</v>
      </c>
      <c r="CF37" s="309" t="s">
        <v>2359</v>
      </c>
      <c r="CG37" s="309" t="s">
        <v>2359</v>
      </c>
      <c r="CH37" s="309" t="s">
        <v>2359</v>
      </c>
      <c r="BCD37" s="309" t="s">
        <v>2361</v>
      </c>
      <c r="BCE37" s="309" t="s">
        <v>2361</v>
      </c>
      <c r="BCF37" s="309" t="s">
        <v>2361</v>
      </c>
      <c r="BCG37" s="309" t="s">
        <v>2361</v>
      </c>
      <c r="BCH37" s="309" t="s">
        <v>2372</v>
      </c>
      <c r="BCI37" s="309" t="s">
        <v>2372</v>
      </c>
      <c r="BCJ37" s="309" t="s">
        <v>2372</v>
      </c>
      <c r="BCK37" s="309" t="s">
        <v>2372</v>
      </c>
      <c r="BCL37" s="309" t="s">
        <v>2362</v>
      </c>
      <c r="BCM37" s="309" t="s">
        <v>2362</v>
      </c>
      <c r="BCN37" s="309" t="s">
        <v>2362</v>
      </c>
      <c r="BCO37" s="309" t="s">
        <v>2362</v>
      </c>
      <c r="BCP37" s="309" t="s">
        <v>2036</v>
      </c>
      <c r="BCQ37" s="309" t="s">
        <v>2036</v>
      </c>
      <c r="BCR37" s="309" t="s">
        <v>2036</v>
      </c>
      <c r="BCS37" s="309" t="s">
        <v>2036</v>
      </c>
    </row>
    <row r="38" spans="1:88 1370:1685" x14ac:dyDescent="0.25">
      <c r="A38" s="197">
        <v>3</v>
      </c>
      <c r="B38" s="197">
        <v>5</v>
      </c>
      <c r="C38" s="197">
        <v>5</v>
      </c>
      <c r="D38" s="365" t="s">
        <v>2374</v>
      </c>
      <c r="E38" s="197" t="s">
        <v>2435</v>
      </c>
      <c r="F38" s="197" t="s">
        <v>2435</v>
      </c>
      <c r="G38" s="365" t="s">
        <v>2385</v>
      </c>
      <c r="H38" s="197" t="s">
        <v>2435</v>
      </c>
      <c r="I38" s="197">
        <v>0</v>
      </c>
      <c r="J38" s="197">
        <v>2</v>
      </c>
      <c r="K38" s="197">
        <v>0</v>
      </c>
      <c r="L38" s="197">
        <v>3</v>
      </c>
      <c r="M38" s="366">
        <v>59</v>
      </c>
      <c r="N38" s="399" t="s">
        <v>745</v>
      </c>
      <c r="O38" s="237" t="s">
        <v>1489</v>
      </c>
      <c r="P38" s="237"/>
      <c r="Q38" s="360" t="s">
        <v>2165</v>
      </c>
      <c r="R38" s="361">
        <v>52220</v>
      </c>
      <c r="S38" s="368" t="s">
        <v>498</v>
      </c>
      <c r="T38" s="363">
        <v>6.5</v>
      </c>
      <c r="U38" s="364" t="s">
        <v>2166</v>
      </c>
      <c r="X38" s="149" t="s">
        <v>2797</v>
      </c>
      <c r="Y38" s="149">
        <v>250</v>
      </c>
      <c r="Z38" s="149">
        <v>300</v>
      </c>
      <c r="AH38" s="309" t="s">
        <v>2037</v>
      </c>
      <c r="AI38" s="309" t="s">
        <v>2037</v>
      </c>
      <c r="AJ38" s="309" t="s">
        <v>2370</v>
      </c>
      <c r="AK38" s="309" t="s">
        <v>2037</v>
      </c>
      <c r="AL38" s="309" t="s">
        <v>2037</v>
      </c>
      <c r="AM38" s="309" t="s">
        <v>2370</v>
      </c>
      <c r="AS38" s="309" t="s">
        <v>2033</v>
      </c>
      <c r="AT38" s="309" t="s">
        <v>2033</v>
      </c>
      <c r="AU38" s="309" t="s">
        <v>2033</v>
      </c>
      <c r="AV38" s="309" t="s">
        <v>2033</v>
      </c>
      <c r="AW38" s="309" t="s">
        <v>2033</v>
      </c>
      <c r="AX38" s="309" t="s">
        <v>2034</v>
      </c>
      <c r="AY38" s="309" t="s">
        <v>2034</v>
      </c>
      <c r="AZ38" s="309" t="s">
        <v>2034</v>
      </c>
      <c r="BA38" s="309" t="s">
        <v>2034</v>
      </c>
      <c r="BB38" s="309" t="s">
        <v>2034</v>
      </c>
      <c r="BC38" s="309" t="s">
        <v>2033</v>
      </c>
      <c r="BD38" s="309" t="s">
        <v>2033</v>
      </c>
      <c r="BE38" s="309" t="s">
        <v>2034</v>
      </c>
      <c r="BF38" s="309" t="s">
        <v>2034</v>
      </c>
      <c r="BG38" s="309" t="s">
        <v>2034</v>
      </c>
      <c r="BH38" s="309" t="s">
        <v>2034</v>
      </c>
      <c r="BI38" s="309" t="s">
        <v>2034</v>
      </c>
      <c r="BJ38" s="309" t="s">
        <v>2034</v>
      </c>
      <c r="BK38" s="309" t="s">
        <v>2034</v>
      </c>
      <c r="BL38" s="309" t="s">
        <v>2034</v>
      </c>
      <c r="BM38" s="309" t="s">
        <v>2034</v>
      </c>
      <c r="BN38" s="309" t="s">
        <v>2034</v>
      </c>
      <c r="BO38" s="309" t="s">
        <v>2034</v>
      </c>
      <c r="BY38" s="309" t="s">
        <v>2372</v>
      </c>
      <c r="BZ38" s="309" t="s">
        <v>2372</v>
      </c>
      <c r="CA38" s="309" t="s">
        <v>2036</v>
      </c>
      <c r="CB38" s="309" t="s">
        <v>2036</v>
      </c>
      <c r="CC38" s="309" t="s">
        <v>2036</v>
      </c>
      <c r="CD38" s="309" t="s">
        <v>2359</v>
      </c>
      <c r="CE38" s="309" t="s">
        <v>2359</v>
      </c>
      <c r="CF38" s="309" t="s">
        <v>2359</v>
      </c>
      <c r="CG38" s="309" t="s">
        <v>2359</v>
      </c>
      <c r="CH38" s="309" t="s">
        <v>2359</v>
      </c>
      <c r="CI38" s="309" t="s">
        <v>2359</v>
      </c>
      <c r="CJ38" s="309" t="s">
        <v>2359</v>
      </c>
      <c r="BCT38" s="309" t="s">
        <v>2361</v>
      </c>
      <c r="BCU38" s="309" t="s">
        <v>2361</v>
      </c>
      <c r="BCV38" s="309" t="s">
        <v>2361</v>
      </c>
      <c r="BCW38" s="309" t="s">
        <v>2361</v>
      </c>
      <c r="BCX38" s="309" t="s">
        <v>2361</v>
      </c>
      <c r="BCY38" s="309" t="s">
        <v>2372</v>
      </c>
      <c r="BCZ38" s="309" t="s">
        <v>2372</v>
      </c>
      <c r="BDA38" s="309" t="s">
        <v>2372</v>
      </c>
      <c r="BDB38" s="309" t="s">
        <v>2372</v>
      </c>
      <c r="BDC38" s="309" t="s">
        <v>2372</v>
      </c>
      <c r="BDD38" s="309" t="s">
        <v>2362</v>
      </c>
      <c r="BDE38" s="309" t="s">
        <v>2362</v>
      </c>
      <c r="BDF38" s="309" t="s">
        <v>2362</v>
      </c>
      <c r="BDG38" s="309" t="s">
        <v>2362</v>
      </c>
      <c r="BDH38" s="309" t="s">
        <v>2362</v>
      </c>
      <c r="BDI38" s="309" t="s">
        <v>2036</v>
      </c>
      <c r="BDJ38" s="309" t="s">
        <v>2036</v>
      </c>
      <c r="BDK38" s="309" t="s">
        <v>2036</v>
      </c>
      <c r="BDL38" s="309" t="s">
        <v>2036</v>
      </c>
      <c r="BDM38" s="309" t="s">
        <v>2036</v>
      </c>
    </row>
    <row r="39" spans="1:88 1370:1685" x14ac:dyDescent="0.25">
      <c r="A39" s="197">
        <v>3</v>
      </c>
      <c r="B39" s="197">
        <v>5</v>
      </c>
      <c r="C39" s="197">
        <v>5</v>
      </c>
      <c r="D39" s="365" t="s">
        <v>2374</v>
      </c>
      <c r="E39" s="197" t="s">
        <v>2435</v>
      </c>
      <c r="F39" s="197" t="s">
        <v>2435</v>
      </c>
      <c r="G39" s="197" t="s">
        <v>2383</v>
      </c>
      <c r="H39" s="197" t="s">
        <v>2435</v>
      </c>
      <c r="I39" s="197">
        <v>0</v>
      </c>
      <c r="J39" s="197">
        <v>2</v>
      </c>
      <c r="K39" s="197">
        <v>0</v>
      </c>
      <c r="L39" s="197">
        <v>3</v>
      </c>
      <c r="M39" s="366">
        <v>41</v>
      </c>
      <c r="N39" s="399" t="s">
        <v>751</v>
      </c>
      <c r="O39" s="237" t="s">
        <v>1492</v>
      </c>
      <c r="P39" s="237"/>
      <c r="Q39" s="360" t="s">
        <v>2169</v>
      </c>
      <c r="R39" s="361">
        <v>52298</v>
      </c>
      <c r="S39" s="368" t="s">
        <v>498</v>
      </c>
      <c r="T39" s="363">
        <v>6.3</v>
      </c>
      <c r="U39" s="364" t="s">
        <v>2170</v>
      </c>
      <c r="X39" s="149" t="s">
        <v>2798</v>
      </c>
      <c r="Y39" s="149">
        <v>300</v>
      </c>
      <c r="Z39" s="149">
        <v>320</v>
      </c>
      <c r="AH39" s="309" t="s">
        <v>2037</v>
      </c>
      <c r="AI39" s="309" t="s">
        <v>2037</v>
      </c>
      <c r="AJ39" s="309" t="s">
        <v>2370</v>
      </c>
      <c r="AK39" s="309" t="s">
        <v>2370</v>
      </c>
      <c r="AS39" s="309" t="s">
        <v>2033</v>
      </c>
      <c r="AT39" s="309" t="s">
        <v>2033</v>
      </c>
      <c r="AU39" s="309" t="s">
        <v>2033</v>
      </c>
      <c r="AV39" s="309" t="s">
        <v>2033</v>
      </c>
      <c r="AW39" s="309" t="s">
        <v>2033</v>
      </c>
      <c r="AX39" s="309" t="s">
        <v>2034</v>
      </c>
      <c r="AY39" s="309" t="s">
        <v>2034</v>
      </c>
      <c r="AZ39" s="309" t="s">
        <v>2034</v>
      </c>
      <c r="BA39" s="309" t="s">
        <v>2034</v>
      </c>
      <c r="BB39" s="309" t="s">
        <v>2034</v>
      </c>
      <c r="BC39" s="309" t="s">
        <v>2034</v>
      </c>
      <c r="BY39" s="309" t="s">
        <v>2372</v>
      </c>
      <c r="BZ39" s="309" t="s">
        <v>2372</v>
      </c>
      <c r="CA39" s="309" t="s">
        <v>2036</v>
      </c>
      <c r="CB39" s="309" t="s">
        <v>2036</v>
      </c>
      <c r="CC39" s="309" t="s">
        <v>2036</v>
      </c>
      <c r="CD39" s="309" t="s">
        <v>2359</v>
      </c>
      <c r="CE39" s="309" t="s">
        <v>2359</v>
      </c>
      <c r="CF39" s="309" t="s">
        <v>2359</v>
      </c>
      <c r="BDN39" s="309" t="s">
        <v>2361</v>
      </c>
      <c r="BDO39" s="309" t="s">
        <v>2361</v>
      </c>
      <c r="BDP39" s="309" t="s">
        <v>2361</v>
      </c>
      <c r="BDQ39" s="309" t="s">
        <v>2361</v>
      </c>
      <c r="BDR39" s="309" t="s">
        <v>2361</v>
      </c>
      <c r="BDS39" s="309" t="s">
        <v>2372</v>
      </c>
      <c r="BDT39" s="309" t="s">
        <v>2372</v>
      </c>
      <c r="BDU39" s="309" t="s">
        <v>2372</v>
      </c>
      <c r="BDV39" s="309" t="s">
        <v>2372</v>
      </c>
      <c r="BDW39" s="309" t="s">
        <v>2372</v>
      </c>
      <c r="BDX39" s="309" t="s">
        <v>2362</v>
      </c>
      <c r="BDY39" s="309" t="s">
        <v>2362</v>
      </c>
      <c r="BDZ39" s="309" t="s">
        <v>2362</v>
      </c>
      <c r="BEA39" s="309" t="s">
        <v>2362</v>
      </c>
      <c r="BEB39" s="309" t="s">
        <v>2362</v>
      </c>
      <c r="BEC39" s="309" t="s">
        <v>2036</v>
      </c>
      <c r="BED39" s="309" t="s">
        <v>2036</v>
      </c>
      <c r="BEE39" s="309" t="s">
        <v>2036</v>
      </c>
      <c r="BEF39" s="309" t="s">
        <v>2036</v>
      </c>
      <c r="BEG39" s="309" t="s">
        <v>2036</v>
      </c>
    </row>
    <row r="40" spans="1:88 1370:1685" x14ac:dyDescent="0.25">
      <c r="A40" s="197">
        <v>3</v>
      </c>
      <c r="B40" s="197">
        <v>5</v>
      </c>
      <c r="C40" s="197">
        <v>5</v>
      </c>
      <c r="D40" s="365" t="s">
        <v>2374</v>
      </c>
      <c r="E40" s="365" t="s">
        <v>2435</v>
      </c>
      <c r="F40" s="365" t="s">
        <v>2435</v>
      </c>
      <c r="G40" s="365" t="s">
        <v>2384</v>
      </c>
      <c r="H40" s="365" t="s">
        <v>2435</v>
      </c>
      <c r="I40" s="365">
        <v>0</v>
      </c>
      <c r="J40" s="197">
        <v>2</v>
      </c>
      <c r="K40" s="365">
        <v>0</v>
      </c>
      <c r="L40" s="197">
        <v>3</v>
      </c>
      <c r="M40" s="366">
        <v>49</v>
      </c>
      <c r="N40" s="399" t="s">
        <v>753</v>
      </c>
      <c r="O40" s="237" t="s">
        <v>1492</v>
      </c>
      <c r="P40" s="237"/>
      <c r="Q40" s="360" t="s">
        <v>2171</v>
      </c>
      <c r="R40" s="361">
        <v>54143</v>
      </c>
      <c r="S40" s="368" t="s">
        <v>498</v>
      </c>
      <c r="T40" s="363">
        <v>6.3</v>
      </c>
      <c r="U40" s="364" t="s">
        <v>2172</v>
      </c>
      <c r="X40" s="149" t="s">
        <v>2799</v>
      </c>
      <c r="Y40" s="149">
        <v>400</v>
      </c>
      <c r="Z40" s="149">
        <v>500</v>
      </c>
      <c r="AH40" s="309" t="s">
        <v>2037</v>
      </c>
      <c r="AI40" s="309" t="s">
        <v>2037</v>
      </c>
      <c r="AJ40" s="309" t="s">
        <v>2370</v>
      </c>
      <c r="AK40" s="309" t="s">
        <v>2370</v>
      </c>
      <c r="AS40" s="309" t="s">
        <v>2033</v>
      </c>
      <c r="AT40" s="309" t="s">
        <v>2033</v>
      </c>
      <c r="AU40" s="309" t="s">
        <v>2033</v>
      </c>
      <c r="AV40" s="309" t="s">
        <v>2033</v>
      </c>
      <c r="AW40" s="309" t="s">
        <v>2033</v>
      </c>
      <c r="AX40" s="309" t="s">
        <v>2034</v>
      </c>
      <c r="AY40" s="309" t="s">
        <v>2034</v>
      </c>
      <c r="AZ40" s="309" t="s">
        <v>2034</v>
      </c>
      <c r="BA40" s="309" t="s">
        <v>2034</v>
      </c>
      <c r="BB40" s="309" t="s">
        <v>2034</v>
      </c>
      <c r="BC40" s="309" t="s">
        <v>2034</v>
      </c>
      <c r="BY40" s="309" t="s">
        <v>2372</v>
      </c>
      <c r="BZ40" s="309" t="s">
        <v>2372</v>
      </c>
      <c r="CA40" s="309" t="s">
        <v>2036</v>
      </c>
      <c r="CB40" s="309" t="s">
        <v>2036</v>
      </c>
      <c r="CC40" s="309" t="s">
        <v>2036</v>
      </c>
      <c r="CD40" s="309" t="s">
        <v>2359</v>
      </c>
      <c r="CE40" s="309" t="s">
        <v>2359</v>
      </c>
      <c r="CF40" s="309" t="s">
        <v>2359</v>
      </c>
      <c r="BEH40" s="309" t="s">
        <v>2361</v>
      </c>
      <c r="BEI40" s="309" t="s">
        <v>2361</v>
      </c>
      <c r="BEJ40" s="309" t="s">
        <v>2361</v>
      </c>
      <c r="BEK40" s="309" t="s">
        <v>2361</v>
      </c>
      <c r="BEL40" s="309" t="s">
        <v>2361</v>
      </c>
      <c r="BEM40" s="309" t="s">
        <v>2372</v>
      </c>
      <c r="BEN40" s="309" t="s">
        <v>2372</v>
      </c>
      <c r="BEO40" s="309" t="s">
        <v>2372</v>
      </c>
      <c r="BEP40" s="309" t="s">
        <v>2372</v>
      </c>
      <c r="BEQ40" s="309" t="s">
        <v>2372</v>
      </c>
      <c r="BER40" s="309" t="s">
        <v>2362</v>
      </c>
      <c r="BES40" s="309" t="s">
        <v>2362</v>
      </c>
      <c r="BET40" s="309" t="s">
        <v>2362</v>
      </c>
      <c r="BEU40" s="309" t="s">
        <v>2362</v>
      </c>
      <c r="BEV40" s="309" t="s">
        <v>2362</v>
      </c>
      <c r="BEW40" s="309" t="s">
        <v>2036</v>
      </c>
      <c r="BEX40" s="309" t="s">
        <v>2036</v>
      </c>
      <c r="BEY40" s="309" t="s">
        <v>2036</v>
      </c>
      <c r="BEZ40" s="309" t="s">
        <v>2036</v>
      </c>
      <c r="BFA40" s="309" t="s">
        <v>2036</v>
      </c>
    </row>
    <row r="41" spans="1:88 1370:1685" x14ac:dyDescent="0.25">
      <c r="A41" s="197">
        <v>3</v>
      </c>
      <c r="B41" s="197">
        <v>5</v>
      </c>
      <c r="C41" s="197">
        <v>5</v>
      </c>
      <c r="D41" s="365" t="s">
        <v>2374</v>
      </c>
      <c r="E41" s="365" t="s">
        <v>2435</v>
      </c>
      <c r="F41" s="365" t="s">
        <v>2435</v>
      </c>
      <c r="G41" s="365" t="s">
        <v>2382</v>
      </c>
      <c r="H41" s="365" t="s">
        <v>2435</v>
      </c>
      <c r="I41" s="365">
        <v>0</v>
      </c>
      <c r="J41" s="197">
        <v>2</v>
      </c>
      <c r="K41" s="365">
        <v>0</v>
      </c>
      <c r="L41" s="197">
        <v>3</v>
      </c>
      <c r="M41" s="366">
        <v>73</v>
      </c>
      <c r="N41" s="399" t="s">
        <v>748</v>
      </c>
      <c r="O41" s="237" t="s">
        <v>1489</v>
      </c>
      <c r="P41" s="237"/>
      <c r="Q41" s="360" t="s">
        <v>2167</v>
      </c>
      <c r="R41" s="361">
        <v>55197</v>
      </c>
      <c r="S41" s="368" t="s">
        <v>498</v>
      </c>
      <c r="T41" s="363">
        <v>6.5</v>
      </c>
      <c r="U41" s="364" t="s">
        <v>2168</v>
      </c>
      <c r="X41" s="149" t="s">
        <v>2800</v>
      </c>
      <c r="Y41" s="149">
        <v>500</v>
      </c>
      <c r="Z41" s="149">
        <v>700</v>
      </c>
      <c r="AH41" s="309" t="s">
        <v>2037</v>
      </c>
      <c r="AI41" s="309" t="s">
        <v>2037</v>
      </c>
      <c r="AJ41" s="309" t="s">
        <v>2370</v>
      </c>
      <c r="AK41" s="309" t="s">
        <v>2370</v>
      </c>
      <c r="AS41" s="309" t="s">
        <v>2033</v>
      </c>
      <c r="AT41" s="309" t="s">
        <v>2033</v>
      </c>
      <c r="AU41" s="309" t="s">
        <v>2033</v>
      </c>
      <c r="AV41" s="309" t="s">
        <v>2033</v>
      </c>
      <c r="AW41" s="309" t="s">
        <v>2033</v>
      </c>
      <c r="AX41" s="309" t="s">
        <v>2034</v>
      </c>
      <c r="AY41" s="309" t="s">
        <v>2034</v>
      </c>
      <c r="AZ41" s="309" t="s">
        <v>2034</v>
      </c>
      <c r="BA41" s="309" t="s">
        <v>2034</v>
      </c>
      <c r="BB41" s="309" t="s">
        <v>2034</v>
      </c>
      <c r="BC41" s="309" t="s">
        <v>2034</v>
      </c>
      <c r="BY41" s="309" t="s">
        <v>2372</v>
      </c>
      <c r="BZ41" s="309" t="s">
        <v>2372</v>
      </c>
      <c r="CA41" s="309" t="s">
        <v>2036</v>
      </c>
      <c r="CB41" s="309" t="s">
        <v>2036</v>
      </c>
      <c r="CC41" s="309" t="s">
        <v>2036</v>
      </c>
      <c r="CD41" s="309" t="s">
        <v>2359</v>
      </c>
      <c r="CE41" s="309" t="s">
        <v>2359</v>
      </c>
      <c r="CF41" s="309" t="s">
        <v>2359</v>
      </c>
      <c r="BFB41" s="309" t="s">
        <v>2361</v>
      </c>
      <c r="BFC41" s="309" t="s">
        <v>2361</v>
      </c>
      <c r="BFD41" s="309" t="s">
        <v>2361</v>
      </c>
      <c r="BFE41" s="309" t="s">
        <v>2361</v>
      </c>
      <c r="BFF41" s="309" t="s">
        <v>2361</v>
      </c>
      <c r="BFG41" s="309" t="s">
        <v>2372</v>
      </c>
      <c r="BFH41" s="309" t="s">
        <v>2372</v>
      </c>
      <c r="BFI41" s="309" t="s">
        <v>2372</v>
      </c>
      <c r="BFJ41" s="309" t="s">
        <v>2372</v>
      </c>
      <c r="BFK41" s="309" t="s">
        <v>2372</v>
      </c>
      <c r="BFL41" s="309" t="s">
        <v>2362</v>
      </c>
      <c r="BFM41" s="309" t="s">
        <v>2362</v>
      </c>
      <c r="BFN41" s="309" t="s">
        <v>2362</v>
      </c>
      <c r="BFO41" s="309" t="s">
        <v>2362</v>
      </c>
      <c r="BFP41" s="309" t="s">
        <v>2362</v>
      </c>
      <c r="BFQ41" s="309" t="s">
        <v>2036</v>
      </c>
      <c r="BFR41" s="309" t="s">
        <v>2036</v>
      </c>
      <c r="BFS41" s="309" t="s">
        <v>2036</v>
      </c>
      <c r="BFT41" s="309" t="s">
        <v>2036</v>
      </c>
      <c r="BFU41" s="309" t="s">
        <v>2036</v>
      </c>
    </row>
    <row r="42" spans="1:88 1370:1685" x14ac:dyDescent="0.25">
      <c r="A42" s="197">
        <v>3</v>
      </c>
      <c r="B42" s="197">
        <v>5</v>
      </c>
      <c r="C42" s="197">
        <v>5</v>
      </c>
      <c r="D42" s="365" t="s">
        <v>2374</v>
      </c>
      <c r="E42" s="197" t="s">
        <v>2435</v>
      </c>
      <c r="F42" s="197" t="s">
        <v>2435</v>
      </c>
      <c r="G42" s="365" t="s">
        <v>2385</v>
      </c>
      <c r="H42" s="197" t="s">
        <v>2435</v>
      </c>
      <c r="I42" s="197">
        <v>0</v>
      </c>
      <c r="J42" s="197">
        <v>2</v>
      </c>
      <c r="K42" s="197">
        <v>0</v>
      </c>
      <c r="L42" s="197">
        <v>3</v>
      </c>
      <c r="M42" s="366">
        <v>59</v>
      </c>
      <c r="N42" s="399" t="s">
        <v>755</v>
      </c>
      <c r="O42" s="237" t="s">
        <v>1492</v>
      </c>
      <c r="P42" s="237"/>
      <c r="Q42" s="360" t="s">
        <v>2173</v>
      </c>
      <c r="R42" s="361">
        <v>55859</v>
      </c>
      <c r="S42" s="368" t="s">
        <v>498</v>
      </c>
      <c r="T42" s="363">
        <v>6.5</v>
      </c>
      <c r="U42" s="364" t="s">
        <v>2174</v>
      </c>
      <c r="X42" s="149" t="s">
        <v>2801</v>
      </c>
      <c r="Y42" s="149">
        <v>630</v>
      </c>
      <c r="Z42" s="149">
        <v>1000</v>
      </c>
      <c r="AH42" s="309" t="s">
        <v>2037</v>
      </c>
      <c r="AI42" s="309" t="s">
        <v>2037</v>
      </c>
      <c r="AJ42" s="309" t="s">
        <v>2370</v>
      </c>
      <c r="AK42" s="309" t="s">
        <v>2370</v>
      </c>
      <c r="AS42" s="309" t="s">
        <v>2033</v>
      </c>
      <c r="AT42" s="309" t="s">
        <v>2033</v>
      </c>
      <c r="AU42" s="309" t="s">
        <v>2033</v>
      </c>
      <c r="AV42" s="309" t="s">
        <v>2033</v>
      </c>
      <c r="AW42" s="309" t="s">
        <v>2033</v>
      </c>
      <c r="AX42" s="309" t="s">
        <v>2034</v>
      </c>
      <c r="AY42" s="309" t="s">
        <v>2034</v>
      </c>
      <c r="AZ42" s="309" t="s">
        <v>2034</v>
      </c>
      <c r="BA42" s="309" t="s">
        <v>2034</v>
      </c>
      <c r="BB42" s="309" t="s">
        <v>2034</v>
      </c>
      <c r="BC42" s="309" t="s">
        <v>2034</v>
      </c>
      <c r="BY42" s="309" t="s">
        <v>2372</v>
      </c>
      <c r="BZ42" s="309" t="s">
        <v>2372</v>
      </c>
      <c r="CA42" s="309" t="s">
        <v>2036</v>
      </c>
      <c r="CB42" s="309" t="s">
        <v>2036</v>
      </c>
      <c r="CC42" s="309" t="s">
        <v>2036</v>
      </c>
      <c r="CD42" s="309" t="s">
        <v>2359</v>
      </c>
      <c r="CE42" s="309" t="s">
        <v>2359</v>
      </c>
      <c r="CF42" s="309" t="s">
        <v>2359</v>
      </c>
      <c r="BFV42" s="309" t="s">
        <v>2361</v>
      </c>
      <c r="BFW42" s="309" t="s">
        <v>2361</v>
      </c>
      <c r="BFX42" s="309" t="s">
        <v>2361</v>
      </c>
      <c r="BFY42" s="309" t="s">
        <v>2361</v>
      </c>
      <c r="BFZ42" s="309" t="s">
        <v>2361</v>
      </c>
      <c r="BGA42" s="309" t="s">
        <v>2372</v>
      </c>
      <c r="BGB42" s="309" t="s">
        <v>2372</v>
      </c>
      <c r="BGC42" s="309" t="s">
        <v>2372</v>
      </c>
      <c r="BGD42" s="309" t="s">
        <v>2372</v>
      </c>
      <c r="BGE42" s="309" t="s">
        <v>2372</v>
      </c>
      <c r="BGF42" s="309" t="s">
        <v>2362</v>
      </c>
      <c r="BGG42" s="309" t="s">
        <v>2362</v>
      </c>
      <c r="BGH42" s="309" t="s">
        <v>2362</v>
      </c>
      <c r="BGI42" s="309" t="s">
        <v>2362</v>
      </c>
      <c r="BGJ42" s="309" t="s">
        <v>2362</v>
      </c>
      <c r="BGK42" s="309" t="s">
        <v>2036</v>
      </c>
      <c r="BGL42" s="309" t="s">
        <v>2036</v>
      </c>
      <c r="BGM42" s="309" t="s">
        <v>2036</v>
      </c>
      <c r="BGN42" s="309" t="s">
        <v>2036</v>
      </c>
      <c r="BGO42" s="309" t="s">
        <v>2036</v>
      </c>
    </row>
    <row r="43" spans="1:88 1370:1685" x14ac:dyDescent="0.25">
      <c r="A43" s="197">
        <v>3</v>
      </c>
      <c r="B43" s="197">
        <v>5</v>
      </c>
      <c r="C43" s="197">
        <v>5</v>
      </c>
      <c r="D43" s="365" t="s">
        <v>2374</v>
      </c>
      <c r="E43" s="197" t="s">
        <v>2435</v>
      </c>
      <c r="F43" s="197" t="s">
        <v>2435</v>
      </c>
      <c r="G43" s="197" t="s">
        <v>2383</v>
      </c>
      <c r="H43" s="197" t="s">
        <v>2435</v>
      </c>
      <c r="I43" s="197">
        <v>0</v>
      </c>
      <c r="J43" s="197">
        <v>2</v>
      </c>
      <c r="K43" s="197">
        <v>0</v>
      </c>
      <c r="L43" s="197">
        <v>3</v>
      </c>
      <c r="M43" s="366">
        <v>41</v>
      </c>
      <c r="N43" s="399" t="s">
        <v>759</v>
      </c>
      <c r="O43" s="237" t="s">
        <v>1494</v>
      </c>
      <c r="P43" s="237"/>
      <c r="Q43" s="360" t="s">
        <v>2177</v>
      </c>
      <c r="R43" s="361">
        <v>57218</v>
      </c>
      <c r="S43" s="369" t="s">
        <v>761</v>
      </c>
      <c r="T43" s="370">
        <v>16.399999999999999</v>
      </c>
      <c r="U43" s="364" t="s">
        <v>2178</v>
      </c>
      <c r="AH43" s="309" t="s">
        <v>2037</v>
      </c>
      <c r="AI43" s="309" t="s">
        <v>2037</v>
      </c>
      <c r="AJ43" s="309" t="s">
        <v>2370</v>
      </c>
      <c r="AK43" s="309" t="s">
        <v>2370</v>
      </c>
      <c r="AS43" s="309" t="s">
        <v>2033</v>
      </c>
      <c r="AT43" s="309" t="s">
        <v>2033</v>
      </c>
      <c r="AU43" s="309" t="s">
        <v>2033</v>
      </c>
      <c r="AV43" s="309" t="s">
        <v>2033</v>
      </c>
      <c r="AW43" s="309" t="s">
        <v>2033</v>
      </c>
      <c r="AX43" s="309" t="s">
        <v>2034</v>
      </c>
      <c r="AY43" s="309" t="s">
        <v>2034</v>
      </c>
      <c r="AZ43" s="309" t="s">
        <v>2034</v>
      </c>
      <c r="BA43" s="309" t="s">
        <v>2034</v>
      </c>
      <c r="BB43" s="309" t="s">
        <v>2034</v>
      </c>
      <c r="BC43" s="309" t="s">
        <v>2034</v>
      </c>
      <c r="BY43" s="309" t="s">
        <v>2372</v>
      </c>
      <c r="BZ43" s="309" t="s">
        <v>2372</v>
      </c>
      <c r="CA43" s="309" t="s">
        <v>2036</v>
      </c>
      <c r="CB43" s="309" t="s">
        <v>2036</v>
      </c>
      <c r="CC43" s="309" t="s">
        <v>2036</v>
      </c>
      <c r="CD43" s="309" t="s">
        <v>2359</v>
      </c>
      <c r="CE43" s="309" t="s">
        <v>2359</v>
      </c>
      <c r="CF43" s="309" t="s">
        <v>2359</v>
      </c>
      <c r="BGP43" s="309" t="s">
        <v>2361</v>
      </c>
      <c r="BGQ43" s="309" t="s">
        <v>2361</v>
      </c>
      <c r="BGR43" s="309" t="s">
        <v>2361</v>
      </c>
      <c r="BGS43" s="309" t="s">
        <v>2361</v>
      </c>
      <c r="BGT43" s="309" t="s">
        <v>2361</v>
      </c>
      <c r="BGU43" s="309" t="s">
        <v>2372</v>
      </c>
      <c r="BGV43" s="309" t="s">
        <v>2372</v>
      </c>
      <c r="BGW43" s="309" t="s">
        <v>2372</v>
      </c>
      <c r="BGX43" s="309" t="s">
        <v>2372</v>
      </c>
      <c r="BGY43" s="309" t="s">
        <v>2372</v>
      </c>
      <c r="BGZ43" s="309" t="s">
        <v>2362</v>
      </c>
      <c r="BHA43" s="309" t="s">
        <v>2362</v>
      </c>
      <c r="BHB43" s="309" t="s">
        <v>2362</v>
      </c>
      <c r="BHC43" s="309" t="s">
        <v>2362</v>
      </c>
      <c r="BHD43" s="309" t="s">
        <v>2362</v>
      </c>
      <c r="BHE43" s="309" t="s">
        <v>2036</v>
      </c>
      <c r="BHF43" s="309" t="s">
        <v>2036</v>
      </c>
      <c r="BHG43" s="309" t="s">
        <v>2036</v>
      </c>
      <c r="BHH43" s="309" t="s">
        <v>2036</v>
      </c>
      <c r="BHI43" s="309" t="s">
        <v>2036</v>
      </c>
    </row>
    <row r="44" spans="1:88 1370:1685" x14ac:dyDescent="0.25">
      <c r="A44" s="197">
        <v>3</v>
      </c>
      <c r="B44" s="197">
        <v>5</v>
      </c>
      <c r="C44" s="197">
        <v>5</v>
      </c>
      <c r="D44" s="197" t="s">
        <v>2387</v>
      </c>
      <c r="E44" s="197" t="s">
        <v>2435</v>
      </c>
      <c r="F44" s="197" t="s">
        <v>2435</v>
      </c>
      <c r="G44" s="197" t="s">
        <v>2435</v>
      </c>
      <c r="H44" s="197" t="s">
        <v>2435</v>
      </c>
      <c r="I44" s="197">
        <v>4</v>
      </c>
      <c r="J44" s="197">
        <v>0</v>
      </c>
      <c r="K44" s="197">
        <v>0</v>
      </c>
      <c r="L44" s="197">
        <v>0</v>
      </c>
      <c r="M44" s="359">
        <v>56</v>
      </c>
      <c r="N44" s="399" t="s">
        <v>793</v>
      </c>
      <c r="O44" s="237" t="s">
        <v>1489</v>
      </c>
      <c r="P44" s="237"/>
      <c r="Q44" s="371" t="s">
        <v>2201</v>
      </c>
      <c r="R44" s="361">
        <v>58647</v>
      </c>
      <c r="S44" s="368" t="s">
        <v>795</v>
      </c>
      <c r="T44" s="363">
        <v>8.4</v>
      </c>
      <c r="U44" s="364" t="s">
        <v>2202</v>
      </c>
      <c r="AH44" s="309" t="s">
        <v>2370</v>
      </c>
      <c r="AI44" s="309" t="s">
        <v>2370</v>
      </c>
      <c r="AJ44" s="309" t="s">
        <v>2370</v>
      </c>
      <c r="AK44" s="309" t="s">
        <v>2370</v>
      </c>
      <c r="AL44" s="309" t="s">
        <v>2370</v>
      </c>
      <c r="AM44" s="309" t="s">
        <v>2370</v>
      </c>
      <c r="AS44" s="309" t="s">
        <v>2033</v>
      </c>
      <c r="AT44" s="309" t="s">
        <v>2033</v>
      </c>
      <c r="AU44" s="309" t="s">
        <v>2033</v>
      </c>
      <c r="AV44" s="309" t="s">
        <v>2033</v>
      </c>
      <c r="AW44" s="309" t="s">
        <v>2033</v>
      </c>
      <c r="AX44" s="309" t="s">
        <v>2034</v>
      </c>
      <c r="AY44" s="309" t="s">
        <v>2034</v>
      </c>
      <c r="AZ44" s="309" t="s">
        <v>2034</v>
      </c>
      <c r="BA44" s="309" t="s">
        <v>2034</v>
      </c>
      <c r="BB44" s="309" t="s">
        <v>2034</v>
      </c>
      <c r="BC44" s="309" t="s">
        <v>2033</v>
      </c>
      <c r="BD44" s="309" t="s">
        <v>2033</v>
      </c>
      <c r="BE44" s="309" t="s">
        <v>2034</v>
      </c>
      <c r="BF44" s="309" t="s">
        <v>2034</v>
      </c>
      <c r="BG44" s="309" t="s">
        <v>2034</v>
      </c>
      <c r="BH44" s="309" t="s">
        <v>2034</v>
      </c>
      <c r="BI44" s="309" t="s">
        <v>2034</v>
      </c>
      <c r="BJ44" s="309" t="s">
        <v>2034</v>
      </c>
      <c r="BK44" s="309" t="s">
        <v>2034</v>
      </c>
      <c r="BL44" s="309" t="s">
        <v>2034</v>
      </c>
      <c r="BM44" s="309" t="s">
        <v>2034</v>
      </c>
      <c r="BN44" s="309" t="s">
        <v>2034</v>
      </c>
      <c r="BO44" s="309" t="s">
        <v>2034</v>
      </c>
      <c r="BP44" s="309" t="s">
        <v>2034</v>
      </c>
      <c r="BQ44" s="309" t="s">
        <v>2034</v>
      </c>
      <c r="BR44" s="309" t="s">
        <v>2034</v>
      </c>
      <c r="BS44" s="309" t="s">
        <v>2034</v>
      </c>
      <c r="BY44" s="309" t="s">
        <v>2361</v>
      </c>
      <c r="BZ44" s="309" t="s">
        <v>2361</v>
      </c>
      <c r="CA44" s="309" t="s">
        <v>2361</v>
      </c>
      <c r="CB44" s="309" t="s">
        <v>2361</v>
      </c>
      <c r="CC44" s="309" t="s">
        <v>2359</v>
      </c>
      <c r="CD44" s="309" t="s">
        <v>2359</v>
      </c>
      <c r="CE44" s="309" t="s">
        <v>2359</v>
      </c>
      <c r="CF44" s="309" t="s">
        <v>2359</v>
      </c>
      <c r="CG44" s="309" t="s">
        <v>2359</v>
      </c>
      <c r="CH44" s="309" t="s">
        <v>2359</v>
      </c>
      <c r="BHJ44" s="309" t="s">
        <v>2361</v>
      </c>
      <c r="BHK44" s="309" t="s">
        <v>2361</v>
      </c>
      <c r="BHL44" s="309" t="s">
        <v>2361</v>
      </c>
      <c r="BHM44" s="309" t="s">
        <v>2361</v>
      </c>
      <c r="BHN44" s="309" t="s">
        <v>2361</v>
      </c>
      <c r="BHO44" s="309" t="s">
        <v>2372</v>
      </c>
      <c r="BHP44" s="309" t="s">
        <v>2372</v>
      </c>
      <c r="BHQ44" s="309" t="s">
        <v>2372</v>
      </c>
      <c r="BHR44" s="309" t="s">
        <v>2372</v>
      </c>
      <c r="BHS44" s="309" t="s">
        <v>2372</v>
      </c>
      <c r="BHT44" s="309" t="s">
        <v>2362</v>
      </c>
      <c r="BHU44" s="309" t="s">
        <v>2362</v>
      </c>
      <c r="BHV44" s="309" t="s">
        <v>2362</v>
      </c>
      <c r="BHW44" s="309" t="s">
        <v>2362</v>
      </c>
      <c r="BHX44" s="309" t="s">
        <v>2362</v>
      </c>
      <c r="BHY44" s="309" t="s">
        <v>2036</v>
      </c>
      <c r="BHZ44" s="309" t="s">
        <v>2036</v>
      </c>
      <c r="BIA44" s="309" t="s">
        <v>2036</v>
      </c>
      <c r="BIB44" s="309" t="s">
        <v>2036</v>
      </c>
      <c r="BIC44" s="309" t="s">
        <v>2036</v>
      </c>
    </row>
    <row r="45" spans="1:88 1370:1685" x14ac:dyDescent="0.25">
      <c r="A45" s="197">
        <v>3</v>
      </c>
      <c r="B45" s="197">
        <v>5</v>
      </c>
      <c r="C45" s="197">
        <v>5</v>
      </c>
      <c r="D45" s="365" t="s">
        <v>2374</v>
      </c>
      <c r="E45" s="365" t="s">
        <v>2435</v>
      </c>
      <c r="F45" s="365" t="s">
        <v>2435</v>
      </c>
      <c r="G45" s="365" t="s">
        <v>2382</v>
      </c>
      <c r="H45" s="365" t="s">
        <v>2435</v>
      </c>
      <c r="I45" s="365">
        <v>0</v>
      </c>
      <c r="J45" s="197">
        <v>2</v>
      </c>
      <c r="K45" s="365">
        <v>0</v>
      </c>
      <c r="L45" s="197">
        <v>3</v>
      </c>
      <c r="M45" s="366">
        <v>73</v>
      </c>
      <c r="N45" s="399" t="s">
        <v>757</v>
      </c>
      <c r="O45" s="237" t="s">
        <v>1492</v>
      </c>
      <c r="P45" s="237"/>
      <c r="Q45" s="360" t="s">
        <v>2175</v>
      </c>
      <c r="R45" s="361">
        <v>58895</v>
      </c>
      <c r="S45" s="368" t="s">
        <v>498</v>
      </c>
      <c r="T45" s="363">
        <v>6.5</v>
      </c>
      <c r="U45" s="364" t="s">
        <v>2176</v>
      </c>
      <c r="AH45" s="309" t="s">
        <v>2037</v>
      </c>
      <c r="AI45" s="309" t="s">
        <v>2037</v>
      </c>
      <c r="AJ45" s="309" t="s">
        <v>2370</v>
      </c>
      <c r="AK45" s="309" t="s">
        <v>2370</v>
      </c>
      <c r="AS45" s="309" t="s">
        <v>2033</v>
      </c>
      <c r="AT45" s="309" t="s">
        <v>2033</v>
      </c>
      <c r="AU45" s="309" t="s">
        <v>2033</v>
      </c>
      <c r="AV45" s="309" t="s">
        <v>2033</v>
      </c>
      <c r="AW45" s="309" t="s">
        <v>2033</v>
      </c>
      <c r="AX45" s="309" t="s">
        <v>2034</v>
      </c>
      <c r="AY45" s="309" t="s">
        <v>2034</v>
      </c>
      <c r="AZ45" s="309" t="s">
        <v>2034</v>
      </c>
      <c r="BA45" s="309" t="s">
        <v>2034</v>
      </c>
      <c r="BB45" s="309" t="s">
        <v>2034</v>
      </c>
      <c r="BC45" s="309" t="s">
        <v>2034</v>
      </c>
      <c r="BY45" s="309" t="s">
        <v>2372</v>
      </c>
      <c r="BZ45" s="309" t="s">
        <v>2372</v>
      </c>
      <c r="CA45" s="309" t="s">
        <v>2036</v>
      </c>
      <c r="CB45" s="309" t="s">
        <v>2036</v>
      </c>
      <c r="CC45" s="309" t="s">
        <v>2036</v>
      </c>
      <c r="CD45" s="309" t="s">
        <v>2359</v>
      </c>
      <c r="CE45" s="309" t="s">
        <v>2359</v>
      </c>
      <c r="CF45" s="309" t="s">
        <v>2359</v>
      </c>
      <c r="BID45" s="309" t="s">
        <v>2361</v>
      </c>
      <c r="BIE45" s="309" t="s">
        <v>2361</v>
      </c>
      <c r="BIF45" s="309" t="s">
        <v>2361</v>
      </c>
      <c r="BIG45" s="309" t="s">
        <v>2361</v>
      </c>
      <c r="BIH45" s="309" t="s">
        <v>2361</v>
      </c>
      <c r="BII45" s="309" t="s">
        <v>2361</v>
      </c>
      <c r="BIJ45" s="309" t="s">
        <v>2372</v>
      </c>
      <c r="BIK45" s="309" t="s">
        <v>2372</v>
      </c>
      <c r="BIL45" s="309" t="s">
        <v>2372</v>
      </c>
      <c r="BIM45" s="309" t="s">
        <v>2372</v>
      </c>
      <c r="BIN45" s="309" t="s">
        <v>2372</v>
      </c>
      <c r="BIO45" s="309" t="s">
        <v>2372</v>
      </c>
      <c r="BIP45" s="309" t="s">
        <v>2362</v>
      </c>
      <c r="BIQ45" s="309" t="s">
        <v>2362</v>
      </c>
      <c r="BIR45" s="309" t="s">
        <v>2362</v>
      </c>
      <c r="BIS45" s="309" t="s">
        <v>2362</v>
      </c>
      <c r="BIT45" s="309" t="s">
        <v>2362</v>
      </c>
      <c r="BIU45" s="309" t="s">
        <v>2362</v>
      </c>
      <c r="BIV45" s="309" t="s">
        <v>2036</v>
      </c>
      <c r="BIW45" s="309" t="s">
        <v>2036</v>
      </c>
      <c r="BIX45" s="309" t="s">
        <v>2036</v>
      </c>
      <c r="BIY45" s="309" t="s">
        <v>2036</v>
      </c>
      <c r="BIZ45" s="309" t="s">
        <v>2036</v>
      </c>
      <c r="BJA45" s="309" t="s">
        <v>2036</v>
      </c>
    </row>
    <row r="46" spans="1:88 1370:1685" x14ac:dyDescent="0.25">
      <c r="A46" s="197">
        <v>3</v>
      </c>
      <c r="B46" s="197">
        <v>5</v>
      </c>
      <c r="C46" s="197">
        <v>5</v>
      </c>
      <c r="D46" s="365" t="s">
        <v>2374</v>
      </c>
      <c r="E46" s="365" t="s">
        <v>2435</v>
      </c>
      <c r="F46" s="365" t="s">
        <v>2435</v>
      </c>
      <c r="G46" s="365" t="s">
        <v>2384</v>
      </c>
      <c r="H46" s="365" t="s">
        <v>2435</v>
      </c>
      <c r="I46" s="365">
        <v>0</v>
      </c>
      <c r="J46" s="197">
        <v>2</v>
      </c>
      <c r="K46" s="365">
        <v>0</v>
      </c>
      <c r="L46" s="197">
        <v>3</v>
      </c>
      <c r="M46" s="366">
        <v>49</v>
      </c>
      <c r="N46" s="399" t="s">
        <v>763</v>
      </c>
      <c r="O46" s="237" t="s">
        <v>1494</v>
      </c>
      <c r="P46" s="237"/>
      <c r="Q46" s="360" t="s">
        <v>2179</v>
      </c>
      <c r="R46" s="361">
        <v>59148</v>
      </c>
      <c r="S46" s="369" t="s">
        <v>761</v>
      </c>
      <c r="T46" s="370">
        <v>16.399999999999999</v>
      </c>
      <c r="U46" s="364" t="s">
        <v>2180</v>
      </c>
      <c r="AH46" s="309" t="s">
        <v>2037</v>
      </c>
      <c r="AI46" s="309" t="s">
        <v>2037</v>
      </c>
      <c r="AJ46" s="309" t="s">
        <v>2370</v>
      </c>
      <c r="AK46" s="309" t="s">
        <v>2370</v>
      </c>
      <c r="AS46" s="309" t="s">
        <v>2033</v>
      </c>
      <c r="AT46" s="309" t="s">
        <v>2033</v>
      </c>
      <c r="AU46" s="309" t="s">
        <v>2033</v>
      </c>
      <c r="AV46" s="309" t="s">
        <v>2033</v>
      </c>
      <c r="AW46" s="309" t="s">
        <v>2033</v>
      </c>
      <c r="AX46" s="309" t="s">
        <v>2034</v>
      </c>
      <c r="AY46" s="309" t="s">
        <v>2034</v>
      </c>
      <c r="AZ46" s="309" t="s">
        <v>2034</v>
      </c>
      <c r="BA46" s="309" t="s">
        <v>2034</v>
      </c>
      <c r="BB46" s="309" t="s">
        <v>2034</v>
      </c>
      <c r="BC46" s="309" t="s">
        <v>2034</v>
      </c>
      <c r="BY46" s="309" t="s">
        <v>2372</v>
      </c>
      <c r="BZ46" s="309" t="s">
        <v>2372</v>
      </c>
      <c r="CA46" s="309" t="s">
        <v>2036</v>
      </c>
      <c r="CB46" s="309" t="s">
        <v>2036</v>
      </c>
      <c r="CC46" s="309" t="s">
        <v>2036</v>
      </c>
      <c r="CD46" s="309" t="s">
        <v>2359</v>
      </c>
      <c r="CE46" s="309" t="s">
        <v>2359</v>
      </c>
      <c r="CF46" s="309" t="s">
        <v>2359</v>
      </c>
      <c r="BJB46" s="309" t="s">
        <v>2361</v>
      </c>
      <c r="BJC46" s="309" t="s">
        <v>2361</v>
      </c>
      <c r="BJD46" s="309" t="s">
        <v>2361</v>
      </c>
      <c r="BJE46" s="309" t="s">
        <v>2361</v>
      </c>
      <c r="BJF46" s="309" t="s">
        <v>2361</v>
      </c>
      <c r="BJG46" s="309" t="s">
        <v>2361</v>
      </c>
      <c r="BJH46" s="309" t="s">
        <v>2372</v>
      </c>
      <c r="BJI46" s="309" t="s">
        <v>2372</v>
      </c>
      <c r="BJJ46" s="309" t="s">
        <v>2372</v>
      </c>
      <c r="BJK46" s="309" t="s">
        <v>2372</v>
      </c>
      <c r="BJL46" s="309" t="s">
        <v>2372</v>
      </c>
      <c r="BJM46" s="309" t="s">
        <v>2372</v>
      </c>
      <c r="BJN46" s="309" t="s">
        <v>2362</v>
      </c>
      <c r="BJO46" s="309" t="s">
        <v>2362</v>
      </c>
      <c r="BJP46" s="309" t="s">
        <v>2362</v>
      </c>
      <c r="BJQ46" s="309" t="s">
        <v>2362</v>
      </c>
      <c r="BJR46" s="309" t="s">
        <v>2362</v>
      </c>
      <c r="BJS46" s="309" t="s">
        <v>2362</v>
      </c>
      <c r="BJT46" s="309" t="s">
        <v>2036</v>
      </c>
      <c r="BJU46" s="309" t="s">
        <v>2036</v>
      </c>
      <c r="BJV46" s="309" t="s">
        <v>2036</v>
      </c>
      <c r="BJW46" s="309" t="s">
        <v>2036</v>
      </c>
      <c r="BJX46" s="309" t="s">
        <v>2036</v>
      </c>
      <c r="BJY46" s="309" t="s">
        <v>2036</v>
      </c>
    </row>
    <row r="47" spans="1:88 1370:1685" x14ac:dyDescent="0.25">
      <c r="A47" s="197">
        <v>3</v>
      </c>
      <c r="B47" s="197">
        <v>5</v>
      </c>
      <c r="C47" s="197">
        <v>5</v>
      </c>
      <c r="D47" s="197" t="s">
        <v>2388</v>
      </c>
      <c r="E47" s="197" t="s">
        <v>2435</v>
      </c>
      <c r="F47" s="197" t="s">
        <v>2435</v>
      </c>
      <c r="G47" s="197" t="s">
        <v>2435</v>
      </c>
      <c r="H47" s="197" t="s">
        <v>2435</v>
      </c>
      <c r="I47" s="197">
        <v>4</v>
      </c>
      <c r="J47" s="197">
        <v>0</v>
      </c>
      <c r="K47" s="197">
        <v>0</v>
      </c>
      <c r="L47" s="197">
        <v>0</v>
      </c>
      <c r="M47" s="359">
        <v>74</v>
      </c>
      <c r="N47" s="399" t="s">
        <v>797</v>
      </c>
      <c r="O47" s="237" t="s">
        <v>1489</v>
      </c>
      <c r="P47" s="237"/>
      <c r="Q47" s="371" t="s">
        <v>2203</v>
      </c>
      <c r="R47" s="361">
        <v>60622</v>
      </c>
      <c r="S47" s="368" t="s">
        <v>795</v>
      </c>
      <c r="T47" s="363">
        <v>8.4</v>
      </c>
      <c r="U47" s="364" t="s">
        <v>2204</v>
      </c>
      <c r="AH47" s="309" t="s">
        <v>2370</v>
      </c>
      <c r="AI47" s="309" t="s">
        <v>2370</v>
      </c>
      <c r="AJ47" s="309" t="s">
        <v>2370</v>
      </c>
      <c r="AK47" s="309" t="s">
        <v>2370</v>
      </c>
      <c r="AL47" s="309" t="s">
        <v>2370</v>
      </c>
      <c r="AM47" s="309" t="s">
        <v>2370</v>
      </c>
      <c r="AS47" s="309" t="s">
        <v>2033</v>
      </c>
      <c r="AT47" s="309" t="s">
        <v>2033</v>
      </c>
      <c r="AU47" s="309" t="s">
        <v>2033</v>
      </c>
      <c r="AV47" s="309" t="s">
        <v>2033</v>
      </c>
      <c r="AW47" s="309" t="s">
        <v>2033</v>
      </c>
      <c r="AX47" s="309" t="s">
        <v>2034</v>
      </c>
      <c r="AY47" s="309" t="s">
        <v>2034</v>
      </c>
      <c r="AZ47" s="309" t="s">
        <v>2034</v>
      </c>
      <c r="BA47" s="309" t="s">
        <v>2034</v>
      </c>
      <c r="BB47" s="309" t="s">
        <v>2034</v>
      </c>
      <c r="BC47" s="309" t="s">
        <v>2033</v>
      </c>
      <c r="BD47" s="309" t="s">
        <v>2033</v>
      </c>
      <c r="BE47" s="309" t="s">
        <v>2034</v>
      </c>
      <c r="BF47" s="309" t="s">
        <v>2034</v>
      </c>
      <c r="BG47" s="309" t="s">
        <v>2034</v>
      </c>
      <c r="BH47" s="309" t="s">
        <v>2034</v>
      </c>
      <c r="BI47" s="309" t="s">
        <v>2034</v>
      </c>
      <c r="BJ47" s="309" t="s">
        <v>2034</v>
      </c>
      <c r="BK47" s="309" t="s">
        <v>2034</v>
      </c>
      <c r="BL47" s="309" t="s">
        <v>2034</v>
      </c>
      <c r="BM47" s="309" t="s">
        <v>2034</v>
      </c>
      <c r="BN47" s="309" t="s">
        <v>2034</v>
      </c>
      <c r="BO47" s="309" t="s">
        <v>2034</v>
      </c>
      <c r="BP47" s="309" t="s">
        <v>2034</v>
      </c>
      <c r="BQ47" s="309" t="s">
        <v>2034</v>
      </c>
      <c r="BR47" s="309" t="s">
        <v>2034</v>
      </c>
      <c r="BS47" s="309" t="s">
        <v>2034</v>
      </c>
      <c r="BY47" s="309" t="s">
        <v>2361</v>
      </c>
      <c r="BZ47" s="309" t="s">
        <v>2361</v>
      </c>
      <c r="CA47" s="309" t="s">
        <v>2361</v>
      </c>
      <c r="CB47" s="309" t="s">
        <v>2361</v>
      </c>
      <c r="CC47" s="309" t="s">
        <v>2359</v>
      </c>
      <c r="CD47" s="309" t="s">
        <v>2359</v>
      </c>
      <c r="CE47" s="309" t="s">
        <v>2359</v>
      </c>
      <c r="CF47" s="309" t="s">
        <v>2359</v>
      </c>
      <c r="CG47" s="309" t="s">
        <v>2359</v>
      </c>
      <c r="CH47" s="309" t="s">
        <v>2359</v>
      </c>
      <c r="BJZ47" s="309" t="s">
        <v>2361</v>
      </c>
      <c r="BKA47" s="309" t="s">
        <v>2361</v>
      </c>
      <c r="BKB47" s="309" t="s">
        <v>2361</v>
      </c>
      <c r="BKC47" s="309" t="s">
        <v>2361</v>
      </c>
      <c r="BKD47" s="309" t="s">
        <v>2361</v>
      </c>
      <c r="BKE47" s="309" t="s">
        <v>2361</v>
      </c>
      <c r="BKF47" s="309" t="s">
        <v>2372</v>
      </c>
      <c r="BKG47" s="309" t="s">
        <v>2372</v>
      </c>
      <c r="BKH47" s="309" t="s">
        <v>2372</v>
      </c>
      <c r="BKI47" s="309" t="s">
        <v>2372</v>
      </c>
      <c r="BKJ47" s="309" t="s">
        <v>2372</v>
      </c>
      <c r="BKK47" s="309" t="s">
        <v>2372</v>
      </c>
      <c r="BKL47" s="309" t="s">
        <v>2362</v>
      </c>
      <c r="BKM47" s="309" t="s">
        <v>2362</v>
      </c>
      <c r="BKN47" s="309" t="s">
        <v>2362</v>
      </c>
      <c r="BKO47" s="309" t="s">
        <v>2362</v>
      </c>
      <c r="BKP47" s="309" t="s">
        <v>2362</v>
      </c>
      <c r="BKQ47" s="309" t="s">
        <v>2362</v>
      </c>
      <c r="BKR47" s="309" t="s">
        <v>2036</v>
      </c>
      <c r="BKS47" s="309" t="s">
        <v>2036</v>
      </c>
      <c r="BKT47" s="309" t="s">
        <v>2036</v>
      </c>
      <c r="BKU47" s="309" t="s">
        <v>2036</v>
      </c>
      <c r="BKV47" s="309" t="s">
        <v>2036</v>
      </c>
      <c r="BKW47" s="309" t="s">
        <v>2036</v>
      </c>
    </row>
    <row r="48" spans="1:88 1370:1685" x14ac:dyDescent="0.25">
      <c r="A48" s="197">
        <v>3</v>
      </c>
      <c r="B48" s="197">
        <v>5</v>
      </c>
      <c r="C48" s="197">
        <v>5</v>
      </c>
      <c r="D48" s="365" t="s">
        <v>2374</v>
      </c>
      <c r="E48" s="197" t="s">
        <v>2435</v>
      </c>
      <c r="F48" s="197" t="s">
        <v>2435</v>
      </c>
      <c r="G48" s="365" t="s">
        <v>2385</v>
      </c>
      <c r="H48" s="197" t="s">
        <v>2435</v>
      </c>
      <c r="I48" s="197">
        <v>0</v>
      </c>
      <c r="J48" s="197">
        <v>2</v>
      </c>
      <c r="K48" s="197">
        <v>0</v>
      </c>
      <c r="L48" s="197">
        <v>3</v>
      </c>
      <c r="M48" s="366">
        <v>59</v>
      </c>
      <c r="N48" s="399" t="s">
        <v>766</v>
      </c>
      <c r="O48" s="237" t="s">
        <v>1494</v>
      </c>
      <c r="P48" s="237"/>
      <c r="Q48" s="360" t="s">
        <v>2181</v>
      </c>
      <c r="R48" s="361">
        <v>60951</v>
      </c>
      <c r="S48" s="369" t="s">
        <v>761</v>
      </c>
      <c r="T48" s="370">
        <v>16.399999999999999</v>
      </c>
      <c r="U48" s="364" t="s">
        <v>2182</v>
      </c>
      <c r="AH48" s="309" t="s">
        <v>2037</v>
      </c>
      <c r="AI48" s="309" t="s">
        <v>2037</v>
      </c>
      <c r="AJ48" s="309" t="s">
        <v>2370</v>
      </c>
      <c r="AK48" s="309" t="s">
        <v>2370</v>
      </c>
      <c r="AL48" s="309" t="s">
        <v>2370</v>
      </c>
      <c r="AS48" s="309" t="s">
        <v>2033</v>
      </c>
      <c r="AT48" s="309" t="s">
        <v>2033</v>
      </c>
      <c r="AU48" s="309" t="s">
        <v>2033</v>
      </c>
      <c r="AV48" s="309" t="s">
        <v>2033</v>
      </c>
      <c r="AW48" s="309" t="s">
        <v>2033</v>
      </c>
      <c r="AX48" s="309" t="s">
        <v>2034</v>
      </c>
      <c r="AY48" s="309" t="s">
        <v>2034</v>
      </c>
      <c r="AZ48" s="309" t="s">
        <v>2034</v>
      </c>
      <c r="BA48" s="309" t="s">
        <v>2034</v>
      </c>
      <c r="BB48" s="309" t="s">
        <v>2034</v>
      </c>
      <c r="BC48" s="309" t="s">
        <v>2034</v>
      </c>
      <c r="BD48" s="309" t="s">
        <v>2034</v>
      </c>
      <c r="BE48" s="309" t="s">
        <v>2034</v>
      </c>
      <c r="BF48" s="309" t="s">
        <v>2034</v>
      </c>
      <c r="BG48" s="309" t="s">
        <v>2034</v>
      </c>
      <c r="BY48" s="309" t="s">
        <v>2372</v>
      </c>
      <c r="BZ48" s="309" t="s">
        <v>2372</v>
      </c>
      <c r="CA48" s="309" t="s">
        <v>2036</v>
      </c>
      <c r="CB48" s="309" t="s">
        <v>2036</v>
      </c>
      <c r="CC48" s="309" t="s">
        <v>2036</v>
      </c>
      <c r="CD48" s="309" t="s">
        <v>2359</v>
      </c>
      <c r="CE48" s="309" t="s">
        <v>2359</v>
      </c>
      <c r="CF48" s="309" t="s">
        <v>2359</v>
      </c>
      <c r="BKX48" s="309" t="s">
        <v>2361</v>
      </c>
      <c r="BKY48" s="309" t="s">
        <v>2361</v>
      </c>
      <c r="BKZ48" s="309" t="s">
        <v>2361</v>
      </c>
      <c r="BLA48" s="309" t="s">
        <v>2361</v>
      </c>
      <c r="BLB48" s="309" t="s">
        <v>2361</v>
      </c>
      <c r="BLC48" s="309" t="s">
        <v>2361</v>
      </c>
      <c r="BLD48" s="309" t="s">
        <v>2372</v>
      </c>
      <c r="BLE48" s="309" t="s">
        <v>2372</v>
      </c>
      <c r="BLF48" s="309" t="s">
        <v>2372</v>
      </c>
      <c r="BLG48" s="309" t="s">
        <v>2372</v>
      </c>
      <c r="BLH48" s="309" t="s">
        <v>2372</v>
      </c>
      <c r="BLI48" s="309" t="s">
        <v>2372</v>
      </c>
      <c r="BLJ48" s="309" t="s">
        <v>2362</v>
      </c>
      <c r="BLK48" s="309" t="s">
        <v>2362</v>
      </c>
      <c r="BLL48" s="309" t="s">
        <v>2362</v>
      </c>
      <c r="BLM48" s="309" t="s">
        <v>2362</v>
      </c>
      <c r="BLN48" s="309" t="s">
        <v>2362</v>
      </c>
      <c r="BLO48" s="309" t="s">
        <v>2362</v>
      </c>
      <c r="BLP48" s="309" t="s">
        <v>2036</v>
      </c>
      <c r="BLQ48" s="309" t="s">
        <v>2036</v>
      </c>
      <c r="BLR48" s="309" t="s">
        <v>2036</v>
      </c>
      <c r="BLS48" s="309" t="s">
        <v>2036</v>
      </c>
      <c r="BLT48" s="309" t="s">
        <v>2036</v>
      </c>
      <c r="BLU48" s="309" t="s">
        <v>2036</v>
      </c>
    </row>
    <row r="49" spans="1:92 1590:1757" x14ac:dyDescent="0.25">
      <c r="A49" s="365">
        <v>3</v>
      </c>
      <c r="B49" s="365">
        <v>5</v>
      </c>
      <c r="C49" s="365">
        <v>5</v>
      </c>
      <c r="D49" s="365" t="s">
        <v>2387</v>
      </c>
      <c r="E49" s="365" t="s">
        <v>2435</v>
      </c>
      <c r="F49" s="365" t="s">
        <v>2435</v>
      </c>
      <c r="G49" s="365" t="s">
        <v>2435</v>
      </c>
      <c r="H49" s="365" t="s">
        <v>2435</v>
      </c>
      <c r="I49" s="365">
        <v>4</v>
      </c>
      <c r="J49" s="365">
        <v>0</v>
      </c>
      <c r="K49" s="365">
        <v>0</v>
      </c>
      <c r="L49" s="365">
        <v>0</v>
      </c>
      <c r="M49" s="366">
        <v>56</v>
      </c>
      <c r="N49" s="397" t="s">
        <v>806</v>
      </c>
      <c r="O49" s="374" t="s">
        <v>1492</v>
      </c>
      <c r="P49" s="374"/>
      <c r="Q49" s="385" t="s">
        <v>2209</v>
      </c>
      <c r="R49" s="386">
        <v>62166</v>
      </c>
      <c r="S49" s="387" t="s">
        <v>795</v>
      </c>
      <c r="T49" s="388">
        <v>8.4</v>
      </c>
      <c r="U49" s="389" t="s">
        <v>2210</v>
      </c>
      <c r="V49" s="390"/>
      <c r="W49" s="390"/>
      <c r="X49" s="390"/>
      <c r="Y49" s="390"/>
      <c r="Z49" s="390"/>
      <c r="AA49" s="390"/>
      <c r="AB49" s="390"/>
      <c r="AC49" s="390"/>
      <c r="AD49" s="390"/>
      <c r="AE49" s="390"/>
      <c r="AF49" s="390"/>
      <c r="AG49" s="390"/>
      <c r="AH49" s="390" t="s">
        <v>2370</v>
      </c>
      <c r="AI49" s="390" t="s">
        <v>2370</v>
      </c>
      <c r="AJ49" s="390" t="s">
        <v>2370</v>
      </c>
      <c r="AK49" s="390" t="s">
        <v>2370</v>
      </c>
      <c r="AL49" s="390" t="s">
        <v>2370</v>
      </c>
      <c r="AM49" s="390" t="s">
        <v>2370</v>
      </c>
      <c r="AN49" s="390"/>
      <c r="AO49" s="390"/>
      <c r="AP49" s="390"/>
      <c r="AQ49" s="390"/>
      <c r="AR49" s="390"/>
      <c r="AS49" s="390" t="s">
        <v>2033</v>
      </c>
      <c r="AT49" s="390" t="s">
        <v>2033</v>
      </c>
      <c r="AU49" s="390" t="s">
        <v>2033</v>
      </c>
      <c r="AV49" s="390" t="s">
        <v>2033</v>
      </c>
      <c r="AW49" s="390" t="s">
        <v>2033</v>
      </c>
      <c r="AX49" s="390" t="s">
        <v>2034</v>
      </c>
      <c r="AY49" s="390" t="s">
        <v>2034</v>
      </c>
      <c r="AZ49" s="390" t="s">
        <v>2034</v>
      </c>
      <c r="BA49" s="390" t="s">
        <v>2034</v>
      </c>
      <c r="BB49" s="390" t="s">
        <v>2034</v>
      </c>
      <c r="BC49" s="390" t="s">
        <v>2033</v>
      </c>
      <c r="BD49" s="390" t="s">
        <v>2033</v>
      </c>
      <c r="BE49" s="390" t="s">
        <v>2034</v>
      </c>
      <c r="BF49" s="390" t="s">
        <v>2034</v>
      </c>
      <c r="BG49" s="390" t="s">
        <v>2034</v>
      </c>
      <c r="BH49" s="390" t="s">
        <v>2034</v>
      </c>
      <c r="BI49" s="390" t="s">
        <v>2034</v>
      </c>
      <c r="BJ49" s="390" t="s">
        <v>2034</v>
      </c>
      <c r="BK49" s="390" t="s">
        <v>2034</v>
      </c>
      <c r="BL49" s="390" t="s">
        <v>2034</v>
      </c>
      <c r="BM49" s="390" t="s">
        <v>2034</v>
      </c>
      <c r="BN49" s="390" t="s">
        <v>2034</v>
      </c>
      <c r="BO49" s="390" t="s">
        <v>2034</v>
      </c>
      <c r="BP49" s="390" t="s">
        <v>2034</v>
      </c>
      <c r="BQ49" s="390" t="s">
        <v>2034</v>
      </c>
      <c r="BR49" s="390" t="s">
        <v>2034</v>
      </c>
      <c r="BS49" s="390" t="s">
        <v>2034</v>
      </c>
      <c r="BT49" s="390"/>
      <c r="BU49" s="390"/>
      <c r="BV49" s="390"/>
      <c r="BW49" s="390"/>
      <c r="BX49" s="390"/>
      <c r="BY49" s="390" t="s">
        <v>2361</v>
      </c>
      <c r="BZ49" s="390" t="s">
        <v>2361</v>
      </c>
      <c r="CA49" s="390" t="s">
        <v>2361</v>
      </c>
      <c r="CB49" s="390" t="s">
        <v>2361</v>
      </c>
      <c r="CC49" s="390" t="s">
        <v>2359</v>
      </c>
      <c r="CD49" s="390" t="s">
        <v>2359</v>
      </c>
      <c r="CE49" s="390" t="s">
        <v>2359</v>
      </c>
      <c r="CF49" s="390" t="s">
        <v>2359</v>
      </c>
      <c r="CG49" s="390" t="s">
        <v>2359</v>
      </c>
      <c r="CH49" s="390" t="s">
        <v>2359</v>
      </c>
      <c r="CI49" s="390"/>
      <c r="CJ49" s="390"/>
      <c r="CK49" s="390"/>
      <c r="CL49" s="390"/>
      <c r="CM49" s="390"/>
      <c r="CN49" s="390"/>
      <c r="BLV49" s="309" t="s">
        <v>2361</v>
      </c>
      <c r="BLW49" s="309" t="s">
        <v>2361</v>
      </c>
      <c r="BLX49" s="309" t="s">
        <v>2361</v>
      </c>
      <c r="BLY49" s="309" t="s">
        <v>2361</v>
      </c>
      <c r="BLZ49" s="309" t="s">
        <v>2361</v>
      </c>
      <c r="BMA49" s="309" t="s">
        <v>2361</v>
      </c>
      <c r="BMB49" s="309" t="s">
        <v>2372</v>
      </c>
      <c r="BMC49" s="309" t="s">
        <v>2372</v>
      </c>
      <c r="BMD49" s="309" t="s">
        <v>2372</v>
      </c>
      <c r="BME49" s="309" t="s">
        <v>2372</v>
      </c>
      <c r="BMF49" s="309" t="s">
        <v>2372</v>
      </c>
      <c r="BMG49" s="309" t="s">
        <v>2372</v>
      </c>
      <c r="BMH49" s="309" t="s">
        <v>2362</v>
      </c>
      <c r="BMI49" s="309" t="s">
        <v>2362</v>
      </c>
      <c r="BMJ49" s="309" t="s">
        <v>2362</v>
      </c>
      <c r="BMK49" s="309" t="s">
        <v>2362</v>
      </c>
      <c r="BML49" s="309" t="s">
        <v>2362</v>
      </c>
      <c r="BMM49" s="309" t="s">
        <v>2362</v>
      </c>
      <c r="BMN49" s="309" t="s">
        <v>2036</v>
      </c>
      <c r="BMO49" s="309" t="s">
        <v>2036</v>
      </c>
      <c r="BMP49" s="309" t="s">
        <v>2036</v>
      </c>
      <c r="BMQ49" s="309" t="s">
        <v>2036</v>
      </c>
      <c r="BMR49" s="309" t="s">
        <v>2036</v>
      </c>
      <c r="BMS49" s="309" t="s">
        <v>2036</v>
      </c>
    </row>
    <row r="50" spans="1:92 1590:1757" x14ac:dyDescent="0.25">
      <c r="A50" s="365">
        <v>3</v>
      </c>
      <c r="B50" s="365">
        <v>5</v>
      </c>
      <c r="C50" s="365">
        <v>5</v>
      </c>
      <c r="D50" s="365" t="s">
        <v>2388</v>
      </c>
      <c r="E50" s="365" t="s">
        <v>2435</v>
      </c>
      <c r="F50" s="365" t="s">
        <v>2435</v>
      </c>
      <c r="G50" s="365" t="s">
        <v>2435</v>
      </c>
      <c r="H50" s="365" t="s">
        <v>2435</v>
      </c>
      <c r="I50" s="365">
        <v>4</v>
      </c>
      <c r="J50" s="365">
        <v>0</v>
      </c>
      <c r="K50" s="365">
        <v>0</v>
      </c>
      <c r="L50" s="365">
        <v>0</v>
      </c>
      <c r="M50" s="366">
        <v>74</v>
      </c>
      <c r="N50" s="397" t="s">
        <v>808</v>
      </c>
      <c r="O50" s="374" t="s">
        <v>1492</v>
      </c>
      <c r="P50" s="374"/>
      <c r="Q50" s="385" t="s">
        <v>2211</v>
      </c>
      <c r="R50" s="386">
        <v>64201</v>
      </c>
      <c r="S50" s="387" t="s">
        <v>795</v>
      </c>
      <c r="T50" s="388">
        <v>8.4</v>
      </c>
      <c r="U50" s="389" t="s">
        <v>2212</v>
      </c>
      <c r="V50" s="390"/>
      <c r="W50" s="390"/>
      <c r="X50" s="390"/>
      <c r="Y50" s="390"/>
      <c r="Z50" s="390"/>
      <c r="AA50" s="390"/>
      <c r="AB50" s="390"/>
      <c r="AC50" s="390"/>
      <c r="AD50" s="390"/>
      <c r="AE50" s="390"/>
      <c r="AF50" s="390"/>
      <c r="AG50" s="390"/>
      <c r="AH50" s="390" t="s">
        <v>2370</v>
      </c>
      <c r="AI50" s="390" t="s">
        <v>2370</v>
      </c>
      <c r="AJ50" s="390" t="s">
        <v>2370</v>
      </c>
      <c r="AK50" s="390" t="s">
        <v>2370</v>
      </c>
      <c r="AL50" s="390" t="s">
        <v>2370</v>
      </c>
      <c r="AM50" s="390" t="s">
        <v>2370</v>
      </c>
      <c r="AN50" s="390"/>
      <c r="AO50" s="390"/>
      <c r="AP50" s="390"/>
      <c r="AQ50" s="390"/>
      <c r="AR50" s="390"/>
      <c r="AS50" s="390" t="s">
        <v>2033</v>
      </c>
      <c r="AT50" s="390" t="s">
        <v>2033</v>
      </c>
      <c r="AU50" s="390" t="s">
        <v>2033</v>
      </c>
      <c r="AV50" s="390" t="s">
        <v>2033</v>
      </c>
      <c r="AW50" s="390" t="s">
        <v>2033</v>
      </c>
      <c r="AX50" s="390" t="s">
        <v>2034</v>
      </c>
      <c r="AY50" s="390" t="s">
        <v>2034</v>
      </c>
      <c r="AZ50" s="390" t="s">
        <v>2034</v>
      </c>
      <c r="BA50" s="390" t="s">
        <v>2034</v>
      </c>
      <c r="BB50" s="390" t="s">
        <v>2034</v>
      </c>
      <c r="BC50" s="390" t="s">
        <v>2033</v>
      </c>
      <c r="BD50" s="390" t="s">
        <v>2033</v>
      </c>
      <c r="BE50" s="390" t="s">
        <v>2034</v>
      </c>
      <c r="BF50" s="390" t="s">
        <v>2034</v>
      </c>
      <c r="BG50" s="390" t="s">
        <v>2034</v>
      </c>
      <c r="BH50" s="390" t="s">
        <v>2034</v>
      </c>
      <c r="BI50" s="390" t="s">
        <v>2034</v>
      </c>
      <c r="BJ50" s="390" t="s">
        <v>2034</v>
      </c>
      <c r="BK50" s="390" t="s">
        <v>2034</v>
      </c>
      <c r="BL50" s="390" t="s">
        <v>2034</v>
      </c>
      <c r="BM50" s="390" t="s">
        <v>2034</v>
      </c>
      <c r="BN50" s="390" t="s">
        <v>2034</v>
      </c>
      <c r="BO50" s="390" t="s">
        <v>2034</v>
      </c>
      <c r="BP50" s="390" t="s">
        <v>2034</v>
      </c>
      <c r="BQ50" s="390" t="s">
        <v>2034</v>
      </c>
      <c r="BR50" s="390" t="s">
        <v>2034</v>
      </c>
      <c r="BS50" s="390" t="s">
        <v>2034</v>
      </c>
      <c r="BT50" s="390"/>
      <c r="BU50" s="390"/>
      <c r="BV50" s="390"/>
      <c r="BW50" s="390"/>
      <c r="BX50" s="390"/>
      <c r="BY50" s="390" t="s">
        <v>2361</v>
      </c>
      <c r="BZ50" s="390" t="s">
        <v>2361</v>
      </c>
      <c r="CA50" s="390" t="s">
        <v>2361</v>
      </c>
      <c r="CB50" s="390" t="s">
        <v>2361</v>
      </c>
      <c r="CC50" s="390" t="s">
        <v>2359</v>
      </c>
      <c r="CD50" s="390" t="s">
        <v>2359</v>
      </c>
      <c r="CE50" s="390" t="s">
        <v>2359</v>
      </c>
      <c r="CF50" s="390" t="s">
        <v>2359</v>
      </c>
      <c r="CG50" s="390" t="s">
        <v>2359</v>
      </c>
      <c r="CH50" s="390" t="s">
        <v>2359</v>
      </c>
      <c r="CI50" s="390"/>
      <c r="CJ50" s="390"/>
      <c r="CK50" s="390"/>
      <c r="CL50" s="390"/>
      <c r="CM50" s="390"/>
      <c r="CN50" s="390"/>
      <c r="BMT50" s="309" t="s">
        <v>2361</v>
      </c>
      <c r="BMU50" s="309" t="s">
        <v>2361</v>
      </c>
      <c r="BMV50" s="309" t="s">
        <v>2361</v>
      </c>
      <c r="BMW50" s="309" t="s">
        <v>2361</v>
      </c>
      <c r="BMX50" s="309" t="s">
        <v>2361</v>
      </c>
      <c r="BMY50" s="309" t="s">
        <v>2361</v>
      </c>
      <c r="BMZ50" s="309" t="s">
        <v>2372</v>
      </c>
      <c r="BNA50" s="309" t="s">
        <v>2372</v>
      </c>
      <c r="BNB50" s="309" t="s">
        <v>2372</v>
      </c>
      <c r="BNC50" s="309" t="s">
        <v>2372</v>
      </c>
      <c r="BND50" s="309" t="s">
        <v>2372</v>
      </c>
      <c r="BNE50" s="309" t="s">
        <v>2372</v>
      </c>
      <c r="BNF50" s="309" t="s">
        <v>2362</v>
      </c>
      <c r="BNG50" s="309" t="s">
        <v>2362</v>
      </c>
      <c r="BNH50" s="309" t="s">
        <v>2362</v>
      </c>
      <c r="BNI50" s="309" t="s">
        <v>2362</v>
      </c>
      <c r="BNJ50" s="309" t="s">
        <v>2362</v>
      </c>
      <c r="BNK50" s="309" t="s">
        <v>2362</v>
      </c>
      <c r="BNL50" s="309" t="s">
        <v>2036</v>
      </c>
      <c r="BNM50" s="309" t="s">
        <v>2036</v>
      </c>
      <c r="BNN50" s="309" t="s">
        <v>2036</v>
      </c>
      <c r="BNO50" s="309" t="s">
        <v>2036</v>
      </c>
      <c r="BNP50" s="309" t="s">
        <v>2036</v>
      </c>
      <c r="BNQ50" s="309" t="s">
        <v>2036</v>
      </c>
    </row>
    <row r="51" spans="1:92 1590:1757" x14ac:dyDescent="0.25">
      <c r="A51" s="197">
        <v>3</v>
      </c>
      <c r="B51" s="197">
        <v>5</v>
      </c>
      <c r="C51" s="197">
        <v>5</v>
      </c>
      <c r="D51" s="365" t="s">
        <v>2374</v>
      </c>
      <c r="E51" s="365" t="s">
        <v>2435</v>
      </c>
      <c r="F51" s="365" t="s">
        <v>2435</v>
      </c>
      <c r="G51" s="365" t="s">
        <v>2382</v>
      </c>
      <c r="H51" s="365" t="s">
        <v>2435</v>
      </c>
      <c r="I51" s="365">
        <v>0</v>
      </c>
      <c r="J51" s="197">
        <v>2</v>
      </c>
      <c r="K51" s="365">
        <v>0</v>
      </c>
      <c r="L51" s="197">
        <v>3</v>
      </c>
      <c r="M51" s="366">
        <v>73</v>
      </c>
      <c r="N51" s="399" t="s">
        <v>769</v>
      </c>
      <c r="O51" s="237" t="s">
        <v>1494</v>
      </c>
      <c r="P51" s="237"/>
      <c r="Q51" s="360" t="s">
        <v>2183</v>
      </c>
      <c r="R51" s="361">
        <v>64704</v>
      </c>
      <c r="S51" s="369" t="s">
        <v>761</v>
      </c>
      <c r="T51" s="370">
        <v>16.399999999999999</v>
      </c>
      <c r="U51" s="364" t="s">
        <v>2184</v>
      </c>
      <c r="AH51" s="309" t="s">
        <v>2037</v>
      </c>
      <c r="AI51" s="309" t="s">
        <v>2037</v>
      </c>
      <c r="AJ51" s="309" t="s">
        <v>2370</v>
      </c>
      <c r="AK51" s="309" t="s">
        <v>2370</v>
      </c>
      <c r="AL51" s="309" t="s">
        <v>2370</v>
      </c>
      <c r="AS51" s="309" t="s">
        <v>2033</v>
      </c>
      <c r="AT51" s="309" t="s">
        <v>2033</v>
      </c>
      <c r="AU51" s="309" t="s">
        <v>2033</v>
      </c>
      <c r="AV51" s="309" t="s">
        <v>2033</v>
      </c>
      <c r="AW51" s="309" t="s">
        <v>2033</v>
      </c>
      <c r="AX51" s="309" t="s">
        <v>2034</v>
      </c>
      <c r="AY51" s="309" t="s">
        <v>2034</v>
      </c>
      <c r="AZ51" s="309" t="s">
        <v>2034</v>
      </c>
      <c r="BA51" s="309" t="s">
        <v>2034</v>
      </c>
      <c r="BB51" s="309" t="s">
        <v>2034</v>
      </c>
      <c r="BC51" s="309" t="s">
        <v>2034</v>
      </c>
      <c r="BD51" s="309" t="s">
        <v>2034</v>
      </c>
      <c r="BE51" s="309" t="s">
        <v>2034</v>
      </c>
      <c r="BF51" s="309" t="s">
        <v>2034</v>
      </c>
      <c r="BG51" s="309" t="s">
        <v>2034</v>
      </c>
      <c r="BY51" s="309" t="s">
        <v>2372</v>
      </c>
      <c r="BZ51" s="309" t="s">
        <v>2372</v>
      </c>
      <c r="CA51" s="309" t="s">
        <v>2036</v>
      </c>
      <c r="CB51" s="309" t="s">
        <v>2036</v>
      </c>
      <c r="CC51" s="309" t="s">
        <v>2036</v>
      </c>
      <c r="CD51" s="309" t="s">
        <v>2359</v>
      </c>
      <c r="CE51" s="309" t="s">
        <v>2359</v>
      </c>
      <c r="CF51" s="309" t="s">
        <v>2359</v>
      </c>
      <c r="BNR51" s="309" t="s">
        <v>2361</v>
      </c>
      <c r="BNS51" s="309" t="s">
        <v>2361</v>
      </c>
      <c r="BNT51" s="309" t="s">
        <v>2361</v>
      </c>
      <c r="BNU51" s="309" t="s">
        <v>2361</v>
      </c>
      <c r="BNV51" s="309" t="s">
        <v>2361</v>
      </c>
      <c r="BNW51" s="309" t="s">
        <v>2361</v>
      </c>
      <c r="BNX51" s="309" t="s">
        <v>2372</v>
      </c>
      <c r="BNY51" s="309" t="s">
        <v>2372</v>
      </c>
      <c r="BNZ51" s="309" t="s">
        <v>2372</v>
      </c>
      <c r="BOA51" s="309" t="s">
        <v>2372</v>
      </c>
      <c r="BOB51" s="309" t="s">
        <v>2372</v>
      </c>
      <c r="BOC51" s="309" t="s">
        <v>2372</v>
      </c>
      <c r="BOD51" s="309" t="s">
        <v>2362</v>
      </c>
      <c r="BOE51" s="309" t="s">
        <v>2362</v>
      </c>
      <c r="BOF51" s="309" t="s">
        <v>2362</v>
      </c>
      <c r="BOG51" s="309" t="s">
        <v>2362</v>
      </c>
      <c r="BOH51" s="309" t="s">
        <v>2362</v>
      </c>
      <c r="BOI51" s="309" t="s">
        <v>2362</v>
      </c>
      <c r="BOJ51" s="309" t="s">
        <v>2036</v>
      </c>
      <c r="BOK51" s="309" t="s">
        <v>2036</v>
      </c>
      <c r="BOL51" s="309" t="s">
        <v>2036</v>
      </c>
      <c r="BOM51" s="309" t="s">
        <v>2036</v>
      </c>
      <c r="BON51" s="309" t="s">
        <v>2036</v>
      </c>
      <c r="BOO51" s="309" t="s">
        <v>2036</v>
      </c>
    </row>
    <row r="52" spans="1:92 1590:1757" s="390" customFormat="1" x14ac:dyDescent="0.25">
      <c r="A52" s="197">
        <v>3</v>
      </c>
      <c r="B52" s="197">
        <v>5</v>
      </c>
      <c r="C52" s="197">
        <v>5</v>
      </c>
      <c r="D52" s="197" t="s">
        <v>2389</v>
      </c>
      <c r="E52" s="197" t="s">
        <v>2435</v>
      </c>
      <c r="F52" s="197" t="s">
        <v>2435</v>
      </c>
      <c r="G52" s="197" t="s">
        <v>2435</v>
      </c>
      <c r="H52" s="197" t="s">
        <v>2435</v>
      </c>
      <c r="I52" s="197">
        <v>4</v>
      </c>
      <c r="J52" s="197">
        <v>0</v>
      </c>
      <c r="K52" s="197">
        <v>0</v>
      </c>
      <c r="L52" s="197">
        <v>0</v>
      </c>
      <c r="M52" s="359">
        <v>95</v>
      </c>
      <c r="N52" s="399" t="s">
        <v>800</v>
      </c>
      <c r="O52" s="237" t="s">
        <v>1489</v>
      </c>
      <c r="P52" s="237"/>
      <c r="Q52" s="371" t="s">
        <v>2205</v>
      </c>
      <c r="R52" s="361">
        <v>65035</v>
      </c>
      <c r="S52" s="368" t="s">
        <v>795</v>
      </c>
      <c r="T52" s="363">
        <v>8.6999999999999993</v>
      </c>
      <c r="U52" s="364" t="s">
        <v>2206</v>
      </c>
      <c r="V52" s="309"/>
      <c r="W52" s="309"/>
      <c r="X52" s="309"/>
      <c r="Y52" s="309"/>
      <c r="Z52" s="309"/>
      <c r="AA52" s="309"/>
      <c r="AB52" s="309"/>
      <c r="AC52" s="309"/>
      <c r="AD52" s="309"/>
      <c r="AE52" s="309"/>
      <c r="AF52" s="309"/>
      <c r="AG52" s="309"/>
      <c r="AH52" s="309" t="s">
        <v>2370</v>
      </c>
      <c r="AI52" s="309" t="s">
        <v>2370</v>
      </c>
      <c r="AJ52" s="309" t="s">
        <v>2370</v>
      </c>
      <c r="AK52" s="309" t="s">
        <v>2370</v>
      </c>
      <c r="AL52" s="309" t="s">
        <v>2370</v>
      </c>
      <c r="AM52" s="309" t="s">
        <v>2370</v>
      </c>
      <c r="AN52" s="309"/>
      <c r="AO52" s="309"/>
      <c r="AP52" s="309"/>
      <c r="AQ52" s="309"/>
      <c r="AR52" s="309"/>
      <c r="AS52" s="309" t="s">
        <v>2033</v>
      </c>
      <c r="AT52" s="309" t="s">
        <v>2033</v>
      </c>
      <c r="AU52" s="309" t="s">
        <v>2033</v>
      </c>
      <c r="AV52" s="309" t="s">
        <v>2033</v>
      </c>
      <c r="AW52" s="309" t="s">
        <v>2033</v>
      </c>
      <c r="AX52" s="309" t="s">
        <v>2034</v>
      </c>
      <c r="AY52" s="309" t="s">
        <v>2034</v>
      </c>
      <c r="AZ52" s="309" t="s">
        <v>2034</v>
      </c>
      <c r="BA52" s="309" t="s">
        <v>2034</v>
      </c>
      <c r="BB52" s="309" t="s">
        <v>2034</v>
      </c>
      <c r="BC52" s="309" t="s">
        <v>2033</v>
      </c>
      <c r="BD52" s="309" t="s">
        <v>2033</v>
      </c>
      <c r="BE52" s="309" t="s">
        <v>2034</v>
      </c>
      <c r="BF52" s="309" t="s">
        <v>2034</v>
      </c>
      <c r="BG52" s="309" t="s">
        <v>2034</v>
      </c>
      <c r="BH52" s="309" t="s">
        <v>2034</v>
      </c>
      <c r="BI52" s="309" t="s">
        <v>2034</v>
      </c>
      <c r="BJ52" s="309" t="s">
        <v>2034</v>
      </c>
      <c r="BK52" s="309" t="s">
        <v>2034</v>
      </c>
      <c r="BL52" s="309" t="s">
        <v>2034</v>
      </c>
      <c r="BM52" s="309" t="s">
        <v>2034</v>
      </c>
      <c r="BN52" s="309" t="s">
        <v>2034</v>
      </c>
      <c r="BO52" s="309" t="s">
        <v>2034</v>
      </c>
      <c r="BP52" s="309" t="s">
        <v>2034</v>
      </c>
      <c r="BQ52" s="309" t="s">
        <v>2034</v>
      </c>
      <c r="BR52" s="309" t="s">
        <v>2034</v>
      </c>
      <c r="BS52" s="309" t="s">
        <v>2034</v>
      </c>
      <c r="BT52" s="309"/>
      <c r="BU52" s="309"/>
      <c r="BV52" s="309"/>
      <c r="BW52" s="309"/>
      <c r="BX52" s="309"/>
      <c r="BY52" s="309" t="s">
        <v>2361</v>
      </c>
      <c r="BZ52" s="309" t="s">
        <v>2361</v>
      </c>
      <c r="CA52" s="309" t="s">
        <v>2361</v>
      </c>
      <c r="CB52" s="309" t="s">
        <v>2361</v>
      </c>
      <c r="CC52" s="309" t="s">
        <v>2359</v>
      </c>
      <c r="CD52" s="309" t="s">
        <v>2359</v>
      </c>
      <c r="CE52" s="309" t="s">
        <v>2359</v>
      </c>
      <c r="CF52" s="309" t="s">
        <v>2359</v>
      </c>
      <c r="CG52" s="309" t="s">
        <v>2359</v>
      </c>
      <c r="CH52" s="309" t="s">
        <v>2359</v>
      </c>
      <c r="CI52" s="309"/>
      <c r="CJ52" s="309"/>
      <c r="CK52" s="309"/>
      <c r="CL52" s="309"/>
      <c r="CM52" s="309"/>
      <c r="CN52" s="309"/>
      <c r="BID52" s="390" t="s">
        <v>2361</v>
      </c>
      <c r="BIE52" s="390" t="s">
        <v>2361</v>
      </c>
      <c r="BIF52" s="390" t="s">
        <v>2361</v>
      </c>
      <c r="BIG52" s="390" t="s">
        <v>2361</v>
      </c>
      <c r="BIH52" s="390" t="s">
        <v>2361</v>
      </c>
      <c r="BII52" s="390" t="s">
        <v>2361</v>
      </c>
      <c r="BIJ52" s="390" t="s">
        <v>2372</v>
      </c>
      <c r="BIK52" s="390" t="s">
        <v>2372</v>
      </c>
      <c r="BIL52" s="390" t="s">
        <v>2372</v>
      </c>
      <c r="BIM52" s="390" t="s">
        <v>2372</v>
      </c>
      <c r="BIN52" s="390" t="s">
        <v>2372</v>
      </c>
      <c r="BIO52" s="390" t="s">
        <v>2372</v>
      </c>
      <c r="BIP52" s="390" t="s">
        <v>2362</v>
      </c>
      <c r="BIQ52" s="390" t="s">
        <v>2362</v>
      </c>
      <c r="BIR52" s="390" t="s">
        <v>2362</v>
      </c>
      <c r="BIS52" s="390" t="s">
        <v>2362</v>
      </c>
      <c r="BIT52" s="390" t="s">
        <v>2362</v>
      </c>
      <c r="BIU52" s="390" t="s">
        <v>2362</v>
      </c>
      <c r="BIV52" s="390" t="s">
        <v>2036</v>
      </c>
      <c r="BIW52" s="390" t="s">
        <v>2036</v>
      </c>
      <c r="BIX52" s="390" t="s">
        <v>2036</v>
      </c>
      <c r="BIY52" s="390" t="s">
        <v>2036</v>
      </c>
      <c r="BIZ52" s="390" t="s">
        <v>2036</v>
      </c>
      <c r="BJA52" s="390" t="s">
        <v>2036</v>
      </c>
    </row>
    <row r="53" spans="1:92 1590:1757" s="390" customFormat="1" x14ac:dyDescent="0.25">
      <c r="A53" s="197">
        <v>3</v>
      </c>
      <c r="B53" s="197">
        <v>5</v>
      </c>
      <c r="C53" s="197">
        <v>5</v>
      </c>
      <c r="D53" s="197" t="s">
        <v>2390</v>
      </c>
      <c r="E53" s="197" t="s">
        <v>2435</v>
      </c>
      <c r="F53" s="197" t="s">
        <v>2435</v>
      </c>
      <c r="G53" s="197" t="s">
        <v>2435</v>
      </c>
      <c r="H53" s="197" t="s">
        <v>2435</v>
      </c>
      <c r="I53" s="197">
        <v>4</v>
      </c>
      <c r="J53" s="197">
        <v>0</v>
      </c>
      <c r="K53" s="197">
        <v>0</v>
      </c>
      <c r="L53" s="197">
        <v>0</v>
      </c>
      <c r="M53" s="359">
        <v>116</v>
      </c>
      <c r="N53" s="399" t="s">
        <v>803</v>
      </c>
      <c r="O53" s="237" t="s">
        <v>1489</v>
      </c>
      <c r="P53" s="237"/>
      <c r="Q53" s="371" t="s">
        <v>2207</v>
      </c>
      <c r="R53" s="361">
        <v>68495</v>
      </c>
      <c r="S53" s="368" t="s">
        <v>795</v>
      </c>
      <c r="T53" s="363">
        <v>8.6999999999999993</v>
      </c>
      <c r="U53" s="364" t="s">
        <v>2208</v>
      </c>
      <c r="V53" s="309"/>
      <c r="W53" s="309"/>
      <c r="X53" s="309"/>
      <c r="Y53" s="309"/>
      <c r="Z53" s="309"/>
      <c r="AA53" s="309"/>
      <c r="AB53" s="309"/>
      <c r="AC53" s="309"/>
      <c r="AD53" s="309"/>
      <c r="AE53" s="309"/>
      <c r="AF53" s="309"/>
      <c r="AG53" s="309"/>
      <c r="AH53" s="309" t="s">
        <v>2370</v>
      </c>
      <c r="AI53" s="309" t="s">
        <v>2370</v>
      </c>
      <c r="AJ53" s="309" t="s">
        <v>2370</v>
      </c>
      <c r="AK53" s="309" t="s">
        <v>2370</v>
      </c>
      <c r="AL53" s="309" t="s">
        <v>2370</v>
      </c>
      <c r="AM53" s="309" t="s">
        <v>2370</v>
      </c>
      <c r="AN53" s="309"/>
      <c r="AO53" s="309"/>
      <c r="AP53" s="309"/>
      <c r="AQ53" s="309"/>
      <c r="AR53" s="309"/>
      <c r="AS53" s="309" t="s">
        <v>2033</v>
      </c>
      <c r="AT53" s="309" t="s">
        <v>2033</v>
      </c>
      <c r="AU53" s="309" t="s">
        <v>2033</v>
      </c>
      <c r="AV53" s="309" t="s">
        <v>2033</v>
      </c>
      <c r="AW53" s="309" t="s">
        <v>2033</v>
      </c>
      <c r="AX53" s="309" t="s">
        <v>2034</v>
      </c>
      <c r="AY53" s="309" t="s">
        <v>2034</v>
      </c>
      <c r="AZ53" s="309" t="s">
        <v>2034</v>
      </c>
      <c r="BA53" s="309" t="s">
        <v>2034</v>
      </c>
      <c r="BB53" s="309" t="s">
        <v>2034</v>
      </c>
      <c r="BC53" s="309" t="s">
        <v>2033</v>
      </c>
      <c r="BD53" s="309" t="s">
        <v>2033</v>
      </c>
      <c r="BE53" s="309" t="s">
        <v>2034</v>
      </c>
      <c r="BF53" s="309" t="s">
        <v>2034</v>
      </c>
      <c r="BG53" s="309" t="s">
        <v>2034</v>
      </c>
      <c r="BH53" s="309" t="s">
        <v>2034</v>
      </c>
      <c r="BI53" s="309" t="s">
        <v>2034</v>
      </c>
      <c r="BJ53" s="309" t="s">
        <v>2034</v>
      </c>
      <c r="BK53" s="309" t="s">
        <v>2034</v>
      </c>
      <c r="BL53" s="309" t="s">
        <v>2034</v>
      </c>
      <c r="BM53" s="309" t="s">
        <v>2034</v>
      </c>
      <c r="BN53" s="309" t="s">
        <v>2034</v>
      </c>
      <c r="BO53" s="309" t="s">
        <v>2034</v>
      </c>
      <c r="BP53" s="309" t="s">
        <v>2034</v>
      </c>
      <c r="BQ53" s="309" t="s">
        <v>2034</v>
      </c>
      <c r="BR53" s="309" t="s">
        <v>2034</v>
      </c>
      <c r="BS53" s="309" t="s">
        <v>2034</v>
      </c>
      <c r="BT53" s="309"/>
      <c r="BU53" s="309"/>
      <c r="BV53" s="309"/>
      <c r="BW53" s="309"/>
      <c r="BX53" s="309"/>
      <c r="BY53" s="309" t="s">
        <v>2361</v>
      </c>
      <c r="BZ53" s="309" t="s">
        <v>2361</v>
      </c>
      <c r="CA53" s="309" t="s">
        <v>2361</v>
      </c>
      <c r="CB53" s="309" t="s">
        <v>2361</v>
      </c>
      <c r="CC53" s="309" t="s">
        <v>2359</v>
      </c>
      <c r="CD53" s="309" t="s">
        <v>2359</v>
      </c>
      <c r="CE53" s="309" t="s">
        <v>2359</v>
      </c>
      <c r="CF53" s="309" t="s">
        <v>2359</v>
      </c>
      <c r="CG53" s="309" t="s">
        <v>2359</v>
      </c>
      <c r="CH53" s="309" t="s">
        <v>2359</v>
      </c>
      <c r="CI53" s="309"/>
      <c r="CJ53" s="309"/>
      <c r="CK53" s="309"/>
      <c r="CL53" s="309"/>
      <c r="CM53" s="309"/>
      <c r="CN53" s="309"/>
      <c r="BJB53" s="390" t="s">
        <v>2361</v>
      </c>
      <c r="BJC53" s="390" t="s">
        <v>2361</v>
      </c>
      <c r="BJD53" s="390" t="s">
        <v>2361</v>
      </c>
      <c r="BJE53" s="390" t="s">
        <v>2361</v>
      </c>
      <c r="BJF53" s="390" t="s">
        <v>2361</v>
      </c>
      <c r="BJG53" s="390" t="s">
        <v>2361</v>
      </c>
      <c r="BJH53" s="390" t="s">
        <v>2372</v>
      </c>
      <c r="BJI53" s="390" t="s">
        <v>2372</v>
      </c>
      <c r="BJJ53" s="390" t="s">
        <v>2372</v>
      </c>
      <c r="BJK53" s="390" t="s">
        <v>2372</v>
      </c>
      <c r="BJL53" s="390" t="s">
        <v>2372</v>
      </c>
      <c r="BJM53" s="390" t="s">
        <v>2372</v>
      </c>
      <c r="BJN53" s="390" t="s">
        <v>2362</v>
      </c>
      <c r="BJO53" s="390" t="s">
        <v>2362</v>
      </c>
      <c r="BJP53" s="390" t="s">
        <v>2362</v>
      </c>
      <c r="BJQ53" s="390" t="s">
        <v>2362</v>
      </c>
      <c r="BJR53" s="390" t="s">
        <v>2362</v>
      </c>
      <c r="BJS53" s="390" t="s">
        <v>2362</v>
      </c>
      <c r="BJT53" s="390" t="s">
        <v>2036</v>
      </c>
      <c r="BJU53" s="390" t="s">
        <v>2036</v>
      </c>
      <c r="BJV53" s="390" t="s">
        <v>2036</v>
      </c>
      <c r="BJW53" s="390" t="s">
        <v>2036</v>
      </c>
      <c r="BJX53" s="390" t="s">
        <v>2036</v>
      </c>
      <c r="BJY53" s="390" t="s">
        <v>2036</v>
      </c>
    </row>
    <row r="54" spans="1:92 1590:1757" s="390" customFormat="1" x14ac:dyDescent="0.25">
      <c r="A54" s="365">
        <v>3</v>
      </c>
      <c r="B54" s="365">
        <v>5</v>
      </c>
      <c r="C54" s="365">
        <v>5</v>
      </c>
      <c r="D54" s="365" t="s">
        <v>2389</v>
      </c>
      <c r="E54" s="365" t="s">
        <v>2435</v>
      </c>
      <c r="F54" s="365" t="s">
        <v>2435</v>
      </c>
      <c r="G54" s="365" t="s">
        <v>2435</v>
      </c>
      <c r="H54" s="365" t="s">
        <v>2435</v>
      </c>
      <c r="I54" s="365">
        <v>4</v>
      </c>
      <c r="J54" s="365">
        <v>0</v>
      </c>
      <c r="K54" s="365">
        <v>0</v>
      </c>
      <c r="L54" s="365">
        <v>0</v>
      </c>
      <c r="M54" s="366">
        <v>95</v>
      </c>
      <c r="N54" s="397" t="s">
        <v>810</v>
      </c>
      <c r="O54" s="374" t="s">
        <v>1492</v>
      </c>
      <c r="P54" s="374"/>
      <c r="Q54" s="385" t="s">
        <v>2213</v>
      </c>
      <c r="R54" s="386">
        <v>68673</v>
      </c>
      <c r="S54" s="387" t="s">
        <v>795</v>
      </c>
      <c r="T54" s="388">
        <v>8.6999999999999993</v>
      </c>
      <c r="U54" s="389" t="s">
        <v>2214</v>
      </c>
      <c r="AH54" s="390" t="s">
        <v>2370</v>
      </c>
      <c r="AI54" s="390" t="s">
        <v>2370</v>
      </c>
      <c r="AJ54" s="390" t="s">
        <v>2370</v>
      </c>
      <c r="AK54" s="390" t="s">
        <v>2370</v>
      </c>
      <c r="AL54" s="390" t="s">
        <v>2370</v>
      </c>
      <c r="AM54" s="390" t="s">
        <v>2370</v>
      </c>
      <c r="AS54" s="390" t="s">
        <v>2033</v>
      </c>
      <c r="AT54" s="390" t="s">
        <v>2033</v>
      </c>
      <c r="AU54" s="390" t="s">
        <v>2033</v>
      </c>
      <c r="AV54" s="390" t="s">
        <v>2033</v>
      </c>
      <c r="AW54" s="390" t="s">
        <v>2033</v>
      </c>
      <c r="AX54" s="390" t="s">
        <v>2034</v>
      </c>
      <c r="AY54" s="390" t="s">
        <v>2034</v>
      </c>
      <c r="AZ54" s="390" t="s">
        <v>2034</v>
      </c>
      <c r="BA54" s="390" t="s">
        <v>2034</v>
      </c>
      <c r="BB54" s="390" t="s">
        <v>2034</v>
      </c>
      <c r="BC54" s="390" t="s">
        <v>2033</v>
      </c>
      <c r="BD54" s="390" t="s">
        <v>2033</v>
      </c>
      <c r="BE54" s="390" t="s">
        <v>2034</v>
      </c>
      <c r="BF54" s="390" t="s">
        <v>2034</v>
      </c>
      <c r="BG54" s="390" t="s">
        <v>2034</v>
      </c>
      <c r="BH54" s="390" t="s">
        <v>2034</v>
      </c>
      <c r="BI54" s="390" t="s">
        <v>2034</v>
      </c>
      <c r="BJ54" s="390" t="s">
        <v>2034</v>
      </c>
      <c r="BK54" s="390" t="s">
        <v>2034</v>
      </c>
      <c r="BL54" s="390" t="s">
        <v>2034</v>
      </c>
      <c r="BM54" s="390" t="s">
        <v>2034</v>
      </c>
      <c r="BN54" s="390" t="s">
        <v>2034</v>
      </c>
      <c r="BO54" s="390" t="s">
        <v>2034</v>
      </c>
      <c r="BP54" s="390" t="s">
        <v>2034</v>
      </c>
      <c r="BQ54" s="390" t="s">
        <v>2034</v>
      </c>
      <c r="BR54" s="390" t="s">
        <v>2034</v>
      </c>
      <c r="BS54" s="390" t="s">
        <v>2034</v>
      </c>
      <c r="BY54" s="390" t="s">
        <v>2361</v>
      </c>
      <c r="BZ54" s="390" t="s">
        <v>2361</v>
      </c>
      <c r="CA54" s="390" t="s">
        <v>2361</v>
      </c>
      <c r="CB54" s="390" t="s">
        <v>2361</v>
      </c>
      <c r="CC54" s="390" t="s">
        <v>2359</v>
      </c>
      <c r="CD54" s="390" t="s">
        <v>2359</v>
      </c>
      <c r="CE54" s="390" t="s">
        <v>2359</v>
      </c>
      <c r="CF54" s="390" t="s">
        <v>2359</v>
      </c>
      <c r="CG54" s="390" t="s">
        <v>2359</v>
      </c>
      <c r="CH54" s="390" t="s">
        <v>2359</v>
      </c>
      <c r="BJZ54" s="390" t="s">
        <v>2361</v>
      </c>
      <c r="BKA54" s="390" t="s">
        <v>2361</v>
      </c>
      <c r="BKB54" s="390" t="s">
        <v>2361</v>
      </c>
      <c r="BKC54" s="390" t="s">
        <v>2361</v>
      </c>
      <c r="BKD54" s="390" t="s">
        <v>2361</v>
      </c>
      <c r="BKE54" s="390" t="s">
        <v>2361</v>
      </c>
      <c r="BKF54" s="390" t="s">
        <v>2372</v>
      </c>
      <c r="BKG54" s="390" t="s">
        <v>2372</v>
      </c>
      <c r="BKH54" s="390" t="s">
        <v>2372</v>
      </c>
      <c r="BKI54" s="390" t="s">
        <v>2372</v>
      </c>
      <c r="BKJ54" s="390" t="s">
        <v>2372</v>
      </c>
      <c r="BKK54" s="390" t="s">
        <v>2372</v>
      </c>
      <c r="BKL54" s="390" t="s">
        <v>2362</v>
      </c>
      <c r="BKM54" s="390" t="s">
        <v>2362</v>
      </c>
      <c r="BKN54" s="390" t="s">
        <v>2362</v>
      </c>
      <c r="BKO54" s="390" t="s">
        <v>2362</v>
      </c>
      <c r="BKP54" s="390" t="s">
        <v>2362</v>
      </c>
      <c r="BKQ54" s="390" t="s">
        <v>2362</v>
      </c>
      <c r="BKR54" s="390" t="s">
        <v>2036</v>
      </c>
      <c r="BKS54" s="390" t="s">
        <v>2036</v>
      </c>
      <c r="BKT54" s="390" t="s">
        <v>2036</v>
      </c>
      <c r="BKU54" s="390" t="s">
        <v>2036</v>
      </c>
      <c r="BKV54" s="390" t="s">
        <v>2036</v>
      </c>
      <c r="BKW54" s="390" t="s">
        <v>2036</v>
      </c>
    </row>
    <row r="55" spans="1:92 1590:1757" s="390" customFormat="1" x14ac:dyDescent="0.25">
      <c r="A55" s="365">
        <v>3</v>
      </c>
      <c r="B55" s="365">
        <v>5</v>
      </c>
      <c r="C55" s="365">
        <v>5</v>
      </c>
      <c r="D55" s="365" t="s">
        <v>2387</v>
      </c>
      <c r="E55" s="365" t="s">
        <v>2435</v>
      </c>
      <c r="F55" s="365" t="s">
        <v>2435</v>
      </c>
      <c r="G55" s="365" t="s">
        <v>2435</v>
      </c>
      <c r="H55" s="365" t="s">
        <v>2435</v>
      </c>
      <c r="I55" s="365">
        <v>4</v>
      </c>
      <c r="J55" s="365">
        <v>0</v>
      </c>
      <c r="K55" s="365">
        <v>0</v>
      </c>
      <c r="L55" s="365">
        <v>0</v>
      </c>
      <c r="M55" s="366">
        <v>56</v>
      </c>
      <c r="N55" s="397" t="s">
        <v>814</v>
      </c>
      <c r="O55" s="374" t="s">
        <v>1492</v>
      </c>
      <c r="P55" s="374"/>
      <c r="Q55" s="391" t="s">
        <v>2217</v>
      </c>
      <c r="R55" s="386">
        <v>69454</v>
      </c>
      <c r="S55" s="392" t="s">
        <v>816</v>
      </c>
      <c r="T55" s="393">
        <v>22.5</v>
      </c>
      <c r="U55" s="389" t="s">
        <v>2218</v>
      </c>
      <c r="AH55" s="390" t="s">
        <v>2370</v>
      </c>
      <c r="AI55" s="390" t="s">
        <v>2370</v>
      </c>
      <c r="AJ55" s="390" t="s">
        <v>2370</v>
      </c>
      <c r="AK55" s="390" t="s">
        <v>2370</v>
      </c>
      <c r="AL55" s="390" t="s">
        <v>2370</v>
      </c>
      <c r="AM55" s="390" t="s">
        <v>2370</v>
      </c>
      <c r="AS55" s="390" t="s">
        <v>2033</v>
      </c>
      <c r="AT55" s="390" t="s">
        <v>2033</v>
      </c>
      <c r="AU55" s="390" t="s">
        <v>2033</v>
      </c>
      <c r="AV55" s="390" t="s">
        <v>2033</v>
      </c>
      <c r="AW55" s="390" t="s">
        <v>2033</v>
      </c>
      <c r="AX55" s="390" t="s">
        <v>2034</v>
      </c>
      <c r="AY55" s="390" t="s">
        <v>2034</v>
      </c>
      <c r="AZ55" s="390" t="s">
        <v>2034</v>
      </c>
      <c r="BA55" s="390" t="s">
        <v>2034</v>
      </c>
      <c r="BB55" s="390" t="s">
        <v>2034</v>
      </c>
      <c r="BC55" s="390" t="s">
        <v>2033</v>
      </c>
      <c r="BD55" s="390" t="s">
        <v>2033</v>
      </c>
      <c r="BE55" s="390" t="s">
        <v>2034</v>
      </c>
      <c r="BF55" s="390" t="s">
        <v>2034</v>
      </c>
      <c r="BG55" s="390" t="s">
        <v>2034</v>
      </c>
      <c r="BH55" s="390" t="s">
        <v>2034</v>
      </c>
      <c r="BI55" s="390" t="s">
        <v>2034</v>
      </c>
      <c r="BJ55" s="390" t="s">
        <v>2034</v>
      </c>
      <c r="BK55" s="390" t="s">
        <v>2034</v>
      </c>
      <c r="BL55" s="390" t="s">
        <v>2034</v>
      </c>
      <c r="BM55" s="390" t="s">
        <v>2034</v>
      </c>
      <c r="BN55" s="390" t="s">
        <v>2034</v>
      </c>
      <c r="BO55" s="390" t="s">
        <v>2034</v>
      </c>
      <c r="BP55" s="390" t="s">
        <v>2034</v>
      </c>
      <c r="BQ55" s="390" t="s">
        <v>2034</v>
      </c>
      <c r="BR55" s="390" t="s">
        <v>2034</v>
      </c>
      <c r="BS55" s="390" t="s">
        <v>2034</v>
      </c>
      <c r="BY55" s="390" t="s">
        <v>2361</v>
      </c>
      <c r="BZ55" s="390" t="s">
        <v>2361</v>
      </c>
      <c r="CA55" s="390" t="s">
        <v>2361</v>
      </c>
      <c r="CB55" s="390" t="s">
        <v>2361</v>
      </c>
      <c r="CC55" s="390" t="s">
        <v>2359</v>
      </c>
      <c r="CD55" s="390" t="s">
        <v>2359</v>
      </c>
      <c r="CE55" s="390" t="s">
        <v>2359</v>
      </c>
      <c r="CF55" s="390" t="s">
        <v>2359</v>
      </c>
      <c r="CG55" s="390" t="s">
        <v>2359</v>
      </c>
      <c r="CH55" s="390" t="s">
        <v>2359</v>
      </c>
      <c r="BKX55" s="390" t="s">
        <v>2361</v>
      </c>
      <c r="BKY55" s="390" t="s">
        <v>2361</v>
      </c>
      <c r="BKZ55" s="390" t="s">
        <v>2361</v>
      </c>
      <c r="BLA55" s="390" t="s">
        <v>2361</v>
      </c>
      <c r="BLB55" s="390" t="s">
        <v>2361</v>
      </c>
      <c r="BLC55" s="390" t="s">
        <v>2361</v>
      </c>
      <c r="BLD55" s="390" t="s">
        <v>2372</v>
      </c>
      <c r="BLE55" s="390" t="s">
        <v>2372</v>
      </c>
      <c r="BLF55" s="390" t="s">
        <v>2372</v>
      </c>
      <c r="BLG55" s="390" t="s">
        <v>2372</v>
      </c>
      <c r="BLH55" s="390" t="s">
        <v>2372</v>
      </c>
      <c r="BLI55" s="390" t="s">
        <v>2372</v>
      </c>
      <c r="BLJ55" s="390" t="s">
        <v>2362</v>
      </c>
      <c r="BLK55" s="390" t="s">
        <v>2362</v>
      </c>
      <c r="BLL55" s="390" t="s">
        <v>2362</v>
      </c>
      <c r="BLM55" s="390" t="s">
        <v>2362</v>
      </c>
      <c r="BLN55" s="390" t="s">
        <v>2362</v>
      </c>
      <c r="BLO55" s="390" t="s">
        <v>2362</v>
      </c>
      <c r="BLP55" s="390" t="s">
        <v>2036</v>
      </c>
      <c r="BLQ55" s="390" t="s">
        <v>2036</v>
      </c>
      <c r="BLR55" s="390" t="s">
        <v>2036</v>
      </c>
      <c r="BLS55" s="390" t="s">
        <v>2036</v>
      </c>
      <c r="BLT55" s="390" t="s">
        <v>2036</v>
      </c>
      <c r="BLU55" s="390" t="s">
        <v>2036</v>
      </c>
    </row>
    <row r="56" spans="1:92 1590:1757" s="390" customFormat="1" x14ac:dyDescent="0.25">
      <c r="A56" s="365">
        <v>3</v>
      </c>
      <c r="B56" s="365">
        <v>5</v>
      </c>
      <c r="C56" s="365">
        <v>5</v>
      </c>
      <c r="D56" s="365" t="s">
        <v>2388</v>
      </c>
      <c r="E56" s="365" t="s">
        <v>2435</v>
      </c>
      <c r="F56" s="365" t="s">
        <v>2435</v>
      </c>
      <c r="G56" s="365" t="s">
        <v>2435</v>
      </c>
      <c r="H56" s="365" t="s">
        <v>2435</v>
      </c>
      <c r="I56" s="365">
        <v>4</v>
      </c>
      <c r="J56" s="365">
        <v>0</v>
      </c>
      <c r="K56" s="365">
        <v>0</v>
      </c>
      <c r="L56" s="365">
        <v>0</v>
      </c>
      <c r="M56" s="366">
        <v>74</v>
      </c>
      <c r="N56" s="397" t="s">
        <v>818</v>
      </c>
      <c r="O56" s="374" t="s">
        <v>1492</v>
      </c>
      <c r="P56" s="374"/>
      <c r="Q56" s="391" t="s">
        <v>2219</v>
      </c>
      <c r="R56" s="386">
        <v>71649</v>
      </c>
      <c r="S56" s="392" t="s">
        <v>816</v>
      </c>
      <c r="T56" s="393">
        <v>22.5</v>
      </c>
      <c r="U56" s="389" t="s">
        <v>2220</v>
      </c>
      <c r="AH56" s="390" t="s">
        <v>2370</v>
      </c>
      <c r="AI56" s="390" t="s">
        <v>2370</v>
      </c>
      <c r="AJ56" s="390" t="s">
        <v>2370</v>
      </c>
      <c r="AK56" s="390" t="s">
        <v>2370</v>
      </c>
      <c r="AL56" s="390" t="s">
        <v>2370</v>
      </c>
      <c r="AM56" s="390" t="s">
        <v>2370</v>
      </c>
      <c r="AS56" s="390" t="s">
        <v>2033</v>
      </c>
      <c r="AT56" s="390" t="s">
        <v>2033</v>
      </c>
      <c r="AU56" s="390" t="s">
        <v>2033</v>
      </c>
      <c r="AV56" s="390" t="s">
        <v>2033</v>
      </c>
      <c r="AW56" s="390" t="s">
        <v>2033</v>
      </c>
      <c r="AX56" s="390" t="s">
        <v>2034</v>
      </c>
      <c r="AY56" s="390" t="s">
        <v>2034</v>
      </c>
      <c r="AZ56" s="390" t="s">
        <v>2034</v>
      </c>
      <c r="BA56" s="390" t="s">
        <v>2034</v>
      </c>
      <c r="BB56" s="390" t="s">
        <v>2034</v>
      </c>
      <c r="BC56" s="390" t="s">
        <v>2033</v>
      </c>
      <c r="BD56" s="390" t="s">
        <v>2033</v>
      </c>
      <c r="BE56" s="390" t="s">
        <v>2034</v>
      </c>
      <c r="BF56" s="390" t="s">
        <v>2034</v>
      </c>
      <c r="BG56" s="390" t="s">
        <v>2034</v>
      </c>
      <c r="BH56" s="390" t="s">
        <v>2034</v>
      </c>
      <c r="BI56" s="390" t="s">
        <v>2034</v>
      </c>
      <c r="BJ56" s="390" t="s">
        <v>2034</v>
      </c>
      <c r="BK56" s="390" t="s">
        <v>2034</v>
      </c>
      <c r="BL56" s="390" t="s">
        <v>2034</v>
      </c>
      <c r="BM56" s="390" t="s">
        <v>2034</v>
      </c>
      <c r="BN56" s="390" t="s">
        <v>2034</v>
      </c>
      <c r="BO56" s="390" t="s">
        <v>2034</v>
      </c>
      <c r="BP56" s="390" t="s">
        <v>2034</v>
      </c>
      <c r="BQ56" s="390" t="s">
        <v>2034</v>
      </c>
      <c r="BR56" s="390" t="s">
        <v>2034</v>
      </c>
      <c r="BS56" s="390" t="s">
        <v>2034</v>
      </c>
      <c r="BY56" s="390" t="s">
        <v>2361</v>
      </c>
      <c r="BZ56" s="390" t="s">
        <v>2361</v>
      </c>
      <c r="CA56" s="390" t="s">
        <v>2361</v>
      </c>
      <c r="CB56" s="390" t="s">
        <v>2361</v>
      </c>
      <c r="CC56" s="390" t="s">
        <v>2359</v>
      </c>
      <c r="CD56" s="390" t="s">
        <v>2359</v>
      </c>
      <c r="CE56" s="390" t="s">
        <v>2359</v>
      </c>
      <c r="CF56" s="390" t="s">
        <v>2359</v>
      </c>
      <c r="CG56" s="390" t="s">
        <v>2359</v>
      </c>
      <c r="CH56" s="390" t="s">
        <v>2359</v>
      </c>
      <c r="BLV56" s="390" t="s">
        <v>2361</v>
      </c>
      <c r="BLW56" s="390" t="s">
        <v>2361</v>
      </c>
      <c r="BLX56" s="390" t="s">
        <v>2361</v>
      </c>
      <c r="BLY56" s="390" t="s">
        <v>2361</v>
      </c>
      <c r="BLZ56" s="390" t="s">
        <v>2361</v>
      </c>
      <c r="BMA56" s="390" t="s">
        <v>2361</v>
      </c>
      <c r="BMB56" s="390" t="s">
        <v>2372</v>
      </c>
      <c r="BMC56" s="390" t="s">
        <v>2372</v>
      </c>
      <c r="BMD56" s="390" t="s">
        <v>2372</v>
      </c>
      <c r="BME56" s="390" t="s">
        <v>2372</v>
      </c>
      <c r="BMF56" s="390" t="s">
        <v>2372</v>
      </c>
      <c r="BMG56" s="390" t="s">
        <v>2372</v>
      </c>
      <c r="BMH56" s="390" t="s">
        <v>2362</v>
      </c>
      <c r="BMI56" s="390" t="s">
        <v>2362</v>
      </c>
      <c r="BMJ56" s="390" t="s">
        <v>2362</v>
      </c>
      <c r="BMK56" s="390" t="s">
        <v>2362</v>
      </c>
      <c r="BML56" s="390" t="s">
        <v>2362</v>
      </c>
      <c r="BMM56" s="390" t="s">
        <v>2362</v>
      </c>
      <c r="BMN56" s="390" t="s">
        <v>2036</v>
      </c>
      <c r="BMO56" s="390" t="s">
        <v>2036</v>
      </c>
      <c r="BMP56" s="390" t="s">
        <v>2036</v>
      </c>
      <c r="BMQ56" s="390" t="s">
        <v>2036</v>
      </c>
      <c r="BMR56" s="390" t="s">
        <v>2036</v>
      </c>
      <c r="BMS56" s="390" t="s">
        <v>2036</v>
      </c>
    </row>
    <row r="57" spans="1:92 1590:1757" s="390" customFormat="1" x14ac:dyDescent="0.25">
      <c r="A57" s="365">
        <v>3</v>
      </c>
      <c r="B57" s="365">
        <v>5</v>
      </c>
      <c r="C57" s="365">
        <v>5</v>
      </c>
      <c r="D57" s="365" t="s">
        <v>2390</v>
      </c>
      <c r="E57" s="365" t="s">
        <v>2435</v>
      </c>
      <c r="F57" s="365" t="s">
        <v>2435</v>
      </c>
      <c r="G57" s="365" t="s">
        <v>2435</v>
      </c>
      <c r="H57" s="365" t="s">
        <v>2435</v>
      </c>
      <c r="I57" s="365">
        <v>4</v>
      </c>
      <c r="J57" s="365">
        <v>0</v>
      </c>
      <c r="K57" s="365">
        <v>0</v>
      </c>
      <c r="L57" s="365">
        <v>0</v>
      </c>
      <c r="M57" s="366">
        <v>116</v>
      </c>
      <c r="N57" s="397" t="s">
        <v>812</v>
      </c>
      <c r="O57" s="374" t="s">
        <v>1492</v>
      </c>
      <c r="P57" s="374"/>
      <c r="Q57" s="385" t="s">
        <v>2215</v>
      </c>
      <c r="R57" s="386">
        <v>72193</v>
      </c>
      <c r="S57" s="387" t="s">
        <v>795</v>
      </c>
      <c r="T57" s="388">
        <v>8.6999999999999993</v>
      </c>
      <c r="U57" s="389" t="s">
        <v>2216</v>
      </c>
      <c r="AH57" s="390" t="s">
        <v>2370</v>
      </c>
      <c r="AI57" s="390" t="s">
        <v>2370</v>
      </c>
      <c r="AJ57" s="390" t="s">
        <v>2370</v>
      </c>
      <c r="AK57" s="390" t="s">
        <v>2370</v>
      </c>
      <c r="AL57" s="390" t="s">
        <v>2370</v>
      </c>
      <c r="AM57" s="390" t="s">
        <v>2370</v>
      </c>
      <c r="AS57" s="390" t="s">
        <v>2033</v>
      </c>
      <c r="AT57" s="390" t="s">
        <v>2033</v>
      </c>
      <c r="AU57" s="390" t="s">
        <v>2033</v>
      </c>
      <c r="AV57" s="390" t="s">
        <v>2033</v>
      </c>
      <c r="AW57" s="390" t="s">
        <v>2033</v>
      </c>
      <c r="AX57" s="390" t="s">
        <v>2034</v>
      </c>
      <c r="AY57" s="390" t="s">
        <v>2034</v>
      </c>
      <c r="AZ57" s="390" t="s">
        <v>2034</v>
      </c>
      <c r="BA57" s="390" t="s">
        <v>2034</v>
      </c>
      <c r="BB57" s="390" t="s">
        <v>2034</v>
      </c>
      <c r="BC57" s="390" t="s">
        <v>2033</v>
      </c>
      <c r="BD57" s="390" t="s">
        <v>2033</v>
      </c>
      <c r="BE57" s="390" t="s">
        <v>2034</v>
      </c>
      <c r="BF57" s="390" t="s">
        <v>2034</v>
      </c>
      <c r="BG57" s="390" t="s">
        <v>2034</v>
      </c>
      <c r="BH57" s="390" t="s">
        <v>2034</v>
      </c>
      <c r="BI57" s="390" t="s">
        <v>2034</v>
      </c>
      <c r="BJ57" s="390" t="s">
        <v>2034</v>
      </c>
      <c r="BK57" s="390" t="s">
        <v>2034</v>
      </c>
      <c r="BL57" s="390" t="s">
        <v>2034</v>
      </c>
      <c r="BM57" s="390" t="s">
        <v>2034</v>
      </c>
      <c r="BN57" s="390" t="s">
        <v>2034</v>
      </c>
      <c r="BO57" s="390" t="s">
        <v>2034</v>
      </c>
      <c r="BP57" s="390" t="s">
        <v>2034</v>
      </c>
      <c r="BQ57" s="390" t="s">
        <v>2034</v>
      </c>
      <c r="BR57" s="390" t="s">
        <v>2034</v>
      </c>
      <c r="BS57" s="390" t="s">
        <v>2034</v>
      </c>
      <c r="BY57" s="390" t="s">
        <v>2361</v>
      </c>
      <c r="BZ57" s="390" t="s">
        <v>2361</v>
      </c>
      <c r="CA57" s="390" t="s">
        <v>2361</v>
      </c>
      <c r="CB57" s="390" t="s">
        <v>2361</v>
      </c>
      <c r="CC57" s="390" t="s">
        <v>2359</v>
      </c>
      <c r="CD57" s="390" t="s">
        <v>2359</v>
      </c>
      <c r="CE57" s="390" t="s">
        <v>2359</v>
      </c>
      <c r="CF57" s="390" t="s">
        <v>2359</v>
      </c>
      <c r="CG57" s="390" t="s">
        <v>2359</v>
      </c>
      <c r="CH57" s="390" t="s">
        <v>2359</v>
      </c>
      <c r="BMT57" s="390" t="s">
        <v>2361</v>
      </c>
      <c r="BMU57" s="390" t="s">
        <v>2361</v>
      </c>
      <c r="BMV57" s="390" t="s">
        <v>2361</v>
      </c>
      <c r="BMW57" s="390" t="s">
        <v>2361</v>
      </c>
      <c r="BMX57" s="390" t="s">
        <v>2361</v>
      </c>
      <c r="BMY57" s="390" t="s">
        <v>2361</v>
      </c>
      <c r="BMZ57" s="390" t="s">
        <v>2372</v>
      </c>
      <c r="BNA57" s="390" t="s">
        <v>2372</v>
      </c>
      <c r="BNB57" s="390" t="s">
        <v>2372</v>
      </c>
      <c r="BNC57" s="390" t="s">
        <v>2372</v>
      </c>
      <c r="BND57" s="390" t="s">
        <v>2372</v>
      </c>
      <c r="BNE57" s="390" t="s">
        <v>2372</v>
      </c>
      <c r="BNF57" s="390" t="s">
        <v>2362</v>
      </c>
      <c r="BNG57" s="390" t="s">
        <v>2362</v>
      </c>
      <c r="BNH57" s="390" t="s">
        <v>2362</v>
      </c>
      <c r="BNI57" s="390" t="s">
        <v>2362</v>
      </c>
      <c r="BNJ57" s="390" t="s">
        <v>2362</v>
      </c>
      <c r="BNK57" s="390" t="s">
        <v>2362</v>
      </c>
      <c r="BNL57" s="390" t="s">
        <v>2036</v>
      </c>
      <c r="BNM57" s="390" t="s">
        <v>2036</v>
      </c>
      <c r="BNN57" s="390" t="s">
        <v>2036</v>
      </c>
      <c r="BNO57" s="390" t="s">
        <v>2036</v>
      </c>
      <c r="BNP57" s="390" t="s">
        <v>2036</v>
      </c>
      <c r="BNQ57" s="390" t="s">
        <v>2036</v>
      </c>
    </row>
    <row r="58" spans="1:92 1590:1757" s="390" customFormat="1" x14ac:dyDescent="0.25">
      <c r="A58" s="365">
        <v>3</v>
      </c>
      <c r="B58" s="365">
        <v>5</v>
      </c>
      <c r="C58" s="365">
        <v>5</v>
      </c>
      <c r="D58" s="365" t="s">
        <v>2389</v>
      </c>
      <c r="E58" s="365" t="s">
        <v>2435</v>
      </c>
      <c r="F58" s="365" t="s">
        <v>2435</v>
      </c>
      <c r="G58" s="365" t="s">
        <v>2435</v>
      </c>
      <c r="H58" s="365" t="s">
        <v>2435</v>
      </c>
      <c r="I58" s="365">
        <v>4</v>
      </c>
      <c r="J58" s="365">
        <v>0</v>
      </c>
      <c r="K58" s="365">
        <v>0</v>
      </c>
      <c r="L58" s="365">
        <v>0</v>
      </c>
      <c r="M58" s="366">
        <v>95</v>
      </c>
      <c r="N58" s="397" t="s">
        <v>821</v>
      </c>
      <c r="O58" s="374" t="s">
        <v>1492</v>
      </c>
      <c r="P58" s="374"/>
      <c r="Q58" s="391" t="s">
        <v>2221</v>
      </c>
      <c r="R58" s="386">
        <v>76852</v>
      </c>
      <c r="S58" s="392" t="s">
        <v>816</v>
      </c>
      <c r="T58" s="393">
        <v>22.5</v>
      </c>
      <c r="U58" s="389" t="s">
        <v>2222</v>
      </c>
      <c r="AH58" s="390" t="s">
        <v>2370</v>
      </c>
      <c r="AI58" s="390" t="s">
        <v>2370</v>
      </c>
      <c r="AJ58" s="390" t="s">
        <v>2370</v>
      </c>
      <c r="AK58" s="390" t="s">
        <v>2370</v>
      </c>
      <c r="AL58" s="390" t="s">
        <v>2370</v>
      </c>
      <c r="AM58" s="390" t="s">
        <v>2370</v>
      </c>
      <c r="AS58" s="390" t="s">
        <v>2033</v>
      </c>
      <c r="AT58" s="390" t="s">
        <v>2033</v>
      </c>
      <c r="AU58" s="390" t="s">
        <v>2033</v>
      </c>
      <c r="AV58" s="390" t="s">
        <v>2033</v>
      </c>
      <c r="AW58" s="390" t="s">
        <v>2033</v>
      </c>
      <c r="AX58" s="390" t="s">
        <v>2034</v>
      </c>
      <c r="AY58" s="390" t="s">
        <v>2034</v>
      </c>
      <c r="AZ58" s="390" t="s">
        <v>2034</v>
      </c>
      <c r="BA58" s="390" t="s">
        <v>2034</v>
      </c>
      <c r="BB58" s="390" t="s">
        <v>2034</v>
      </c>
      <c r="BC58" s="390" t="s">
        <v>2033</v>
      </c>
      <c r="BD58" s="390" t="s">
        <v>2033</v>
      </c>
      <c r="BE58" s="390" t="s">
        <v>2034</v>
      </c>
      <c r="BF58" s="390" t="s">
        <v>2034</v>
      </c>
      <c r="BG58" s="390" t="s">
        <v>2034</v>
      </c>
      <c r="BH58" s="390" t="s">
        <v>2034</v>
      </c>
      <c r="BI58" s="390" t="s">
        <v>2034</v>
      </c>
      <c r="BJ58" s="390" t="s">
        <v>2034</v>
      </c>
      <c r="BK58" s="390" t="s">
        <v>2034</v>
      </c>
      <c r="BL58" s="390" t="s">
        <v>2034</v>
      </c>
      <c r="BM58" s="390" t="s">
        <v>2034</v>
      </c>
      <c r="BN58" s="390" t="s">
        <v>2034</v>
      </c>
      <c r="BO58" s="390" t="s">
        <v>2034</v>
      </c>
      <c r="BP58" s="390" t="s">
        <v>2034</v>
      </c>
      <c r="BQ58" s="390" t="s">
        <v>2034</v>
      </c>
      <c r="BR58" s="390" t="s">
        <v>2034</v>
      </c>
      <c r="BS58" s="390" t="s">
        <v>2034</v>
      </c>
      <c r="BY58" s="390" t="s">
        <v>2361</v>
      </c>
      <c r="BZ58" s="390" t="s">
        <v>2361</v>
      </c>
      <c r="CA58" s="390" t="s">
        <v>2361</v>
      </c>
      <c r="CB58" s="390" t="s">
        <v>2361</v>
      </c>
      <c r="CC58" s="390" t="s">
        <v>2359</v>
      </c>
      <c r="CD58" s="390" t="s">
        <v>2359</v>
      </c>
      <c r="CE58" s="390" t="s">
        <v>2359</v>
      </c>
      <c r="CF58" s="390" t="s">
        <v>2359</v>
      </c>
      <c r="CG58" s="390" t="s">
        <v>2359</v>
      </c>
      <c r="CH58" s="390" t="s">
        <v>2359</v>
      </c>
      <c r="BNR58" s="390" t="s">
        <v>2361</v>
      </c>
      <c r="BNS58" s="390" t="s">
        <v>2361</v>
      </c>
      <c r="BNT58" s="390" t="s">
        <v>2361</v>
      </c>
      <c r="BNU58" s="390" t="s">
        <v>2361</v>
      </c>
      <c r="BNV58" s="390" t="s">
        <v>2361</v>
      </c>
      <c r="BNW58" s="390" t="s">
        <v>2361</v>
      </c>
      <c r="BNX58" s="390" t="s">
        <v>2372</v>
      </c>
      <c r="BNY58" s="390" t="s">
        <v>2372</v>
      </c>
      <c r="BNZ58" s="390" t="s">
        <v>2372</v>
      </c>
      <c r="BOA58" s="390" t="s">
        <v>2372</v>
      </c>
      <c r="BOB58" s="390" t="s">
        <v>2372</v>
      </c>
      <c r="BOC58" s="390" t="s">
        <v>2372</v>
      </c>
      <c r="BOD58" s="390" t="s">
        <v>2362</v>
      </c>
      <c r="BOE58" s="390" t="s">
        <v>2362</v>
      </c>
      <c r="BOF58" s="390" t="s">
        <v>2362</v>
      </c>
      <c r="BOG58" s="390" t="s">
        <v>2362</v>
      </c>
      <c r="BOH58" s="390" t="s">
        <v>2362</v>
      </c>
      <c r="BOI58" s="390" t="s">
        <v>2362</v>
      </c>
      <c r="BOJ58" s="390" t="s">
        <v>2036</v>
      </c>
      <c r="BOK58" s="390" t="s">
        <v>2036</v>
      </c>
      <c r="BOL58" s="390" t="s">
        <v>2036</v>
      </c>
      <c r="BOM58" s="390" t="s">
        <v>2036</v>
      </c>
      <c r="BON58" s="390" t="s">
        <v>2036</v>
      </c>
      <c r="BOO58" s="390" t="s">
        <v>2036</v>
      </c>
    </row>
    <row r="59" spans="1:92 1590:1757" s="390" customFormat="1" ht="18.75" customHeight="1" x14ac:dyDescent="0.25">
      <c r="A59" s="365">
        <v>3</v>
      </c>
      <c r="B59" s="365">
        <v>5</v>
      </c>
      <c r="C59" s="365">
        <v>5</v>
      </c>
      <c r="D59" s="365" t="s">
        <v>2390</v>
      </c>
      <c r="E59" s="365" t="s">
        <v>2435</v>
      </c>
      <c r="F59" s="365" t="s">
        <v>2435</v>
      </c>
      <c r="G59" s="365" t="s">
        <v>2435</v>
      </c>
      <c r="H59" s="365" t="s">
        <v>2435</v>
      </c>
      <c r="I59" s="365">
        <v>4</v>
      </c>
      <c r="J59" s="365">
        <v>0</v>
      </c>
      <c r="K59" s="365">
        <v>0</v>
      </c>
      <c r="L59" s="365">
        <v>0</v>
      </c>
      <c r="M59" s="366">
        <v>116</v>
      </c>
      <c r="N59" s="397" t="s">
        <v>824</v>
      </c>
      <c r="O59" s="374" t="s">
        <v>1492</v>
      </c>
      <c r="P59" s="374"/>
      <c r="Q59" s="391" t="s">
        <v>2223</v>
      </c>
      <c r="R59" s="386">
        <v>80571</v>
      </c>
      <c r="S59" s="392" t="s">
        <v>816</v>
      </c>
      <c r="T59" s="393">
        <v>22.5</v>
      </c>
      <c r="U59" s="389" t="s">
        <v>2224</v>
      </c>
      <c r="AH59" s="390" t="s">
        <v>2370</v>
      </c>
      <c r="AI59" s="390" t="s">
        <v>2370</v>
      </c>
      <c r="AJ59" s="390" t="s">
        <v>2370</v>
      </c>
      <c r="AK59" s="390" t="s">
        <v>2370</v>
      </c>
      <c r="AL59" s="390" t="s">
        <v>2370</v>
      </c>
      <c r="AM59" s="390" t="s">
        <v>2370</v>
      </c>
      <c r="AS59" s="390" t="s">
        <v>2033</v>
      </c>
      <c r="AT59" s="390" t="s">
        <v>2033</v>
      </c>
      <c r="AU59" s="390" t="s">
        <v>2033</v>
      </c>
      <c r="AV59" s="390" t="s">
        <v>2033</v>
      </c>
      <c r="AW59" s="390" t="s">
        <v>2033</v>
      </c>
      <c r="AX59" s="390" t="s">
        <v>2034</v>
      </c>
      <c r="AY59" s="390" t="s">
        <v>2034</v>
      </c>
      <c r="AZ59" s="390" t="s">
        <v>2034</v>
      </c>
      <c r="BA59" s="390" t="s">
        <v>2034</v>
      </c>
      <c r="BB59" s="390" t="s">
        <v>2034</v>
      </c>
      <c r="BC59" s="390" t="s">
        <v>2033</v>
      </c>
      <c r="BD59" s="390" t="s">
        <v>2033</v>
      </c>
      <c r="BE59" s="390" t="s">
        <v>2034</v>
      </c>
      <c r="BF59" s="390" t="s">
        <v>2034</v>
      </c>
      <c r="BG59" s="390" t="s">
        <v>2034</v>
      </c>
      <c r="BH59" s="390" t="s">
        <v>2034</v>
      </c>
      <c r="BI59" s="390" t="s">
        <v>2034</v>
      </c>
      <c r="BJ59" s="390" t="s">
        <v>2034</v>
      </c>
      <c r="BK59" s="390" t="s">
        <v>2034</v>
      </c>
      <c r="BL59" s="390" t="s">
        <v>2034</v>
      </c>
      <c r="BM59" s="390" t="s">
        <v>2034</v>
      </c>
      <c r="BN59" s="390" t="s">
        <v>2034</v>
      </c>
      <c r="BO59" s="390" t="s">
        <v>2034</v>
      </c>
      <c r="BP59" s="390" t="s">
        <v>2034</v>
      </c>
      <c r="BQ59" s="390" t="s">
        <v>2034</v>
      </c>
      <c r="BR59" s="390" t="s">
        <v>2034</v>
      </c>
      <c r="BS59" s="390" t="s">
        <v>2034</v>
      </c>
      <c r="BY59" s="390" t="s">
        <v>2361</v>
      </c>
      <c r="BZ59" s="390" t="s">
        <v>2361</v>
      </c>
      <c r="CA59" s="390" t="s">
        <v>2361</v>
      </c>
      <c r="CB59" s="390" t="s">
        <v>2361</v>
      </c>
      <c r="CC59" s="390" t="s">
        <v>2359</v>
      </c>
      <c r="CD59" s="390" t="s">
        <v>2359</v>
      </c>
      <c r="CE59" s="390" t="s">
        <v>2359</v>
      </c>
      <c r="CF59" s="390" t="s">
        <v>2359</v>
      </c>
      <c r="CG59" s="390" t="s">
        <v>2359</v>
      </c>
      <c r="CH59" s="390" t="s">
        <v>2359</v>
      </c>
      <c r="BNR59" s="390" t="s">
        <v>2361</v>
      </c>
      <c r="BNS59" s="390" t="s">
        <v>2361</v>
      </c>
      <c r="BNT59" s="390" t="s">
        <v>2361</v>
      </c>
      <c r="BNU59" s="390" t="s">
        <v>2361</v>
      </c>
      <c r="BNV59" s="390" t="s">
        <v>2361</v>
      </c>
      <c r="BNW59" s="390" t="s">
        <v>2361</v>
      </c>
      <c r="BNX59" s="390" t="s">
        <v>2372</v>
      </c>
      <c r="BNY59" s="390" t="s">
        <v>2372</v>
      </c>
      <c r="BNZ59" s="390" t="s">
        <v>2372</v>
      </c>
      <c r="BOA59" s="390" t="s">
        <v>2372</v>
      </c>
      <c r="BOB59" s="390" t="s">
        <v>2372</v>
      </c>
      <c r="BOC59" s="390" t="s">
        <v>2372</v>
      </c>
      <c r="BOD59" s="390" t="s">
        <v>2362</v>
      </c>
      <c r="BOE59" s="390" t="s">
        <v>2362</v>
      </c>
      <c r="BOF59" s="390" t="s">
        <v>2362</v>
      </c>
      <c r="BOG59" s="390" t="s">
        <v>2362</v>
      </c>
      <c r="BOH59" s="390" t="s">
        <v>2362</v>
      </c>
      <c r="BOI59" s="390" t="s">
        <v>2362</v>
      </c>
      <c r="BOJ59" s="390" t="s">
        <v>2036</v>
      </c>
      <c r="BOK59" s="390" t="s">
        <v>2036</v>
      </c>
      <c r="BOL59" s="390" t="s">
        <v>2036</v>
      </c>
      <c r="BOM59" s="390" t="s">
        <v>2036</v>
      </c>
      <c r="BON59" s="390" t="s">
        <v>2036</v>
      </c>
      <c r="BOO59" s="390" t="s">
        <v>2036</v>
      </c>
    </row>
    <row r="60" spans="1:92 1590:1757" s="390" customFormat="1" ht="18.75" customHeight="1" x14ac:dyDescent="0.25">
      <c r="A60" s="373">
        <v>4</v>
      </c>
      <c r="B60" s="373">
        <v>7</v>
      </c>
      <c r="C60" s="373">
        <v>8</v>
      </c>
      <c r="D60" s="373" t="s">
        <v>2374</v>
      </c>
      <c r="E60" s="373" t="s">
        <v>2435</v>
      </c>
      <c r="F60" s="373" t="s">
        <v>2435</v>
      </c>
      <c r="G60" s="373" t="s">
        <v>2391</v>
      </c>
      <c r="H60" s="373" t="s">
        <v>2435</v>
      </c>
      <c r="I60" s="373">
        <v>0</v>
      </c>
      <c r="J60" s="373">
        <v>2</v>
      </c>
      <c r="K60" s="373">
        <v>0</v>
      </c>
      <c r="L60" s="373">
        <v>4</v>
      </c>
      <c r="M60" s="366">
        <v>57</v>
      </c>
      <c r="N60" s="397" t="s">
        <v>828</v>
      </c>
      <c r="O60" s="374" t="s">
        <v>1515</v>
      </c>
      <c r="P60" s="374"/>
      <c r="Q60" s="391" t="s">
        <v>2225</v>
      </c>
      <c r="R60" s="386">
        <v>83511</v>
      </c>
      <c r="S60" s="387" t="s">
        <v>795</v>
      </c>
      <c r="T60" s="388">
        <v>8.6999999999999993</v>
      </c>
      <c r="U60" s="389" t="s">
        <v>2226</v>
      </c>
      <c r="AH60" s="390" t="s">
        <v>2037</v>
      </c>
      <c r="AI60" s="390" t="s">
        <v>2037</v>
      </c>
      <c r="AJ60" s="390" t="s">
        <v>2037</v>
      </c>
      <c r="AK60" s="390" t="s">
        <v>2370</v>
      </c>
      <c r="AL60" s="390" t="s">
        <v>2370</v>
      </c>
      <c r="AM60" s="390" t="s">
        <v>2370</v>
      </c>
      <c r="AS60" s="390" t="s">
        <v>2033</v>
      </c>
      <c r="AT60" s="390" t="s">
        <v>2033</v>
      </c>
      <c r="AU60" s="390" t="s">
        <v>2033</v>
      </c>
      <c r="AV60" s="390" t="s">
        <v>2033</v>
      </c>
      <c r="AW60" s="390" t="s">
        <v>2033</v>
      </c>
      <c r="AX60" s="390" t="s">
        <v>2033</v>
      </c>
      <c r="AY60" s="390" t="s">
        <v>2033</v>
      </c>
      <c r="AZ60" s="390" t="s">
        <v>2033</v>
      </c>
      <c r="BA60" s="390" t="s">
        <v>2034</v>
      </c>
      <c r="BB60" s="390" t="s">
        <v>2034</v>
      </c>
      <c r="BC60" s="390" t="s">
        <v>2034</v>
      </c>
      <c r="BD60" s="390" t="s">
        <v>2034</v>
      </c>
      <c r="BE60" s="390" t="s">
        <v>2034</v>
      </c>
      <c r="BF60" s="390" t="s">
        <v>2034</v>
      </c>
      <c r="BG60" s="390" t="s">
        <v>2034</v>
      </c>
      <c r="BH60" s="390" t="s">
        <v>2034</v>
      </c>
      <c r="BI60" s="390" t="s">
        <v>2034</v>
      </c>
      <c r="BJ60" s="390" t="s">
        <v>2034</v>
      </c>
      <c r="BK60" s="390" t="s">
        <v>2034</v>
      </c>
      <c r="BL60" s="390" t="s">
        <v>2034</v>
      </c>
      <c r="BM60" s="390" t="s">
        <v>2034</v>
      </c>
      <c r="BN60" s="390" t="s">
        <v>2034</v>
      </c>
      <c r="BO60" s="390" t="s">
        <v>2034</v>
      </c>
      <c r="BP60" s="390" t="s">
        <v>2034</v>
      </c>
      <c r="BQ60" s="390" t="s">
        <v>2034</v>
      </c>
      <c r="BR60" s="390" t="s">
        <v>2034</v>
      </c>
      <c r="BS60" s="390" t="s">
        <v>2034</v>
      </c>
      <c r="BY60" s="390" t="s">
        <v>2372</v>
      </c>
      <c r="BZ60" s="390" t="s">
        <v>2372</v>
      </c>
      <c r="CA60" s="390" t="s">
        <v>2036</v>
      </c>
      <c r="CB60" s="390" t="s">
        <v>2036</v>
      </c>
      <c r="CC60" s="390" t="s">
        <v>2036</v>
      </c>
      <c r="CD60" s="390" t="s">
        <v>2036</v>
      </c>
      <c r="CE60" s="390" t="s">
        <v>2359</v>
      </c>
      <c r="CF60" s="390" t="s">
        <v>2359</v>
      </c>
      <c r="CG60" s="390" t="s">
        <v>2359</v>
      </c>
      <c r="CH60" s="390" t="s">
        <v>2359</v>
      </c>
      <c r="BNR60" s="390" t="s">
        <v>2361</v>
      </c>
      <c r="BNS60" s="390" t="s">
        <v>2361</v>
      </c>
      <c r="BNT60" s="390" t="s">
        <v>2361</v>
      </c>
      <c r="BNU60" s="390" t="s">
        <v>2361</v>
      </c>
      <c r="BNV60" s="390" t="s">
        <v>2361</v>
      </c>
      <c r="BNW60" s="390" t="s">
        <v>2361</v>
      </c>
      <c r="BNX60" s="390" t="s">
        <v>2372</v>
      </c>
      <c r="BNY60" s="390" t="s">
        <v>2372</v>
      </c>
      <c r="BNZ60" s="390" t="s">
        <v>2372</v>
      </c>
      <c r="BOA60" s="390" t="s">
        <v>2372</v>
      </c>
      <c r="BOB60" s="390" t="s">
        <v>2372</v>
      </c>
      <c r="BOC60" s="390" t="s">
        <v>2372</v>
      </c>
      <c r="BOD60" s="390" t="s">
        <v>2362</v>
      </c>
      <c r="BOE60" s="390" t="s">
        <v>2362</v>
      </c>
      <c r="BOF60" s="390" t="s">
        <v>2362</v>
      </c>
      <c r="BOG60" s="390" t="s">
        <v>2362</v>
      </c>
      <c r="BOH60" s="390" t="s">
        <v>2362</v>
      </c>
      <c r="BOI60" s="390" t="s">
        <v>2362</v>
      </c>
      <c r="BOJ60" s="390" t="s">
        <v>2036</v>
      </c>
      <c r="BOK60" s="390" t="s">
        <v>2036</v>
      </c>
      <c r="BOL60" s="390" t="s">
        <v>2036</v>
      </c>
      <c r="BOM60" s="390" t="s">
        <v>2036</v>
      </c>
      <c r="BON60" s="390" t="s">
        <v>2036</v>
      </c>
      <c r="BOO60" s="390" t="s">
        <v>2036</v>
      </c>
    </row>
    <row r="61" spans="1:92 1590:1757" s="390" customFormat="1" ht="18.75" customHeight="1" x14ac:dyDescent="0.25">
      <c r="A61" s="373">
        <v>4</v>
      </c>
      <c r="B61" s="373">
        <v>7</v>
      </c>
      <c r="C61" s="373">
        <v>8</v>
      </c>
      <c r="D61" s="373" t="s">
        <v>2374</v>
      </c>
      <c r="E61" s="373" t="s">
        <v>2435</v>
      </c>
      <c r="F61" s="373" t="s">
        <v>2435</v>
      </c>
      <c r="G61" s="373" t="s">
        <v>2392</v>
      </c>
      <c r="H61" s="373" t="s">
        <v>2435</v>
      </c>
      <c r="I61" s="373">
        <v>0</v>
      </c>
      <c r="J61" s="373">
        <v>2</v>
      </c>
      <c r="K61" s="373">
        <v>0</v>
      </c>
      <c r="L61" s="373">
        <v>4</v>
      </c>
      <c r="M61" s="366">
        <v>69</v>
      </c>
      <c r="N61" s="397" t="s">
        <v>831</v>
      </c>
      <c r="O61" s="374" t="s">
        <v>1515</v>
      </c>
      <c r="P61" s="374"/>
      <c r="Q61" s="391" t="s">
        <v>2227</v>
      </c>
      <c r="R61" s="386">
        <v>85375</v>
      </c>
      <c r="S61" s="387" t="s">
        <v>795</v>
      </c>
      <c r="T61" s="388">
        <v>8.6999999999999993</v>
      </c>
      <c r="U61" s="389" t="s">
        <v>2228</v>
      </c>
      <c r="AH61" s="390" t="s">
        <v>2037</v>
      </c>
      <c r="AI61" s="390" t="s">
        <v>2037</v>
      </c>
      <c r="AJ61" s="390" t="s">
        <v>2037</v>
      </c>
      <c r="AK61" s="390" t="s">
        <v>2370</v>
      </c>
      <c r="AL61" s="390" t="s">
        <v>2370</v>
      </c>
      <c r="AM61" s="390" t="s">
        <v>2370</v>
      </c>
      <c r="AS61" s="390" t="s">
        <v>2033</v>
      </c>
      <c r="AT61" s="390" t="s">
        <v>2033</v>
      </c>
      <c r="AU61" s="390" t="s">
        <v>2033</v>
      </c>
      <c r="AV61" s="390" t="s">
        <v>2033</v>
      </c>
      <c r="AW61" s="390" t="s">
        <v>2033</v>
      </c>
      <c r="AX61" s="390" t="s">
        <v>2033</v>
      </c>
      <c r="AY61" s="390" t="s">
        <v>2033</v>
      </c>
      <c r="AZ61" s="390" t="s">
        <v>2033</v>
      </c>
      <c r="BA61" s="390" t="s">
        <v>2034</v>
      </c>
      <c r="BB61" s="390" t="s">
        <v>2034</v>
      </c>
      <c r="BC61" s="390" t="s">
        <v>2034</v>
      </c>
      <c r="BD61" s="390" t="s">
        <v>2034</v>
      </c>
      <c r="BE61" s="390" t="s">
        <v>2034</v>
      </c>
      <c r="BF61" s="390" t="s">
        <v>2034</v>
      </c>
      <c r="BG61" s="390" t="s">
        <v>2034</v>
      </c>
      <c r="BH61" s="390" t="s">
        <v>2034</v>
      </c>
      <c r="BI61" s="390" t="s">
        <v>2034</v>
      </c>
      <c r="BJ61" s="390" t="s">
        <v>2034</v>
      </c>
      <c r="BK61" s="390" t="s">
        <v>2034</v>
      </c>
      <c r="BL61" s="390" t="s">
        <v>2034</v>
      </c>
      <c r="BM61" s="390" t="s">
        <v>2034</v>
      </c>
      <c r="BN61" s="390" t="s">
        <v>2034</v>
      </c>
      <c r="BO61" s="390" t="s">
        <v>2034</v>
      </c>
      <c r="BP61" s="390" t="s">
        <v>2034</v>
      </c>
      <c r="BQ61" s="390" t="s">
        <v>2034</v>
      </c>
      <c r="BR61" s="390" t="s">
        <v>2034</v>
      </c>
      <c r="BS61" s="390" t="s">
        <v>2034</v>
      </c>
      <c r="BY61" s="390" t="s">
        <v>2372</v>
      </c>
      <c r="BZ61" s="390" t="s">
        <v>2372</v>
      </c>
      <c r="CA61" s="390" t="s">
        <v>2036</v>
      </c>
      <c r="CB61" s="390" t="s">
        <v>2036</v>
      </c>
      <c r="CC61" s="390" t="s">
        <v>2036</v>
      </c>
      <c r="CD61" s="390" t="s">
        <v>2036</v>
      </c>
      <c r="CE61" s="390" t="s">
        <v>2359</v>
      </c>
      <c r="CF61" s="390" t="s">
        <v>2359</v>
      </c>
      <c r="CG61" s="390" t="s">
        <v>2359</v>
      </c>
      <c r="CH61" s="390" t="s">
        <v>2359</v>
      </c>
      <c r="BNR61" s="390" t="s">
        <v>2361</v>
      </c>
      <c r="BNS61" s="390" t="s">
        <v>2361</v>
      </c>
      <c r="BNT61" s="390" t="s">
        <v>2361</v>
      </c>
      <c r="BNU61" s="390" t="s">
        <v>2361</v>
      </c>
      <c r="BNV61" s="390" t="s">
        <v>2361</v>
      </c>
      <c r="BNW61" s="390" t="s">
        <v>2361</v>
      </c>
      <c r="BNX61" s="390" t="s">
        <v>2372</v>
      </c>
      <c r="BNY61" s="390" t="s">
        <v>2372</v>
      </c>
      <c r="BNZ61" s="390" t="s">
        <v>2372</v>
      </c>
      <c r="BOA61" s="390" t="s">
        <v>2372</v>
      </c>
      <c r="BOB61" s="390" t="s">
        <v>2372</v>
      </c>
      <c r="BOC61" s="390" t="s">
        <v>2372</v>
      </c>
      <c r="BOD61" s="390" t="s">
        <v>2362</v>
      </c>
      <c r="BOE61" s="390" t="s">
        <v>2362</v>
      </c>
      <c r="BOF61" s="390" t="s">
        <v>2362</v>
      </c>
      <c r="BOG61" s="390" t="s">
        <v>2362</v>
      </c>
      <c r="BOH61" s="390" t="s">
        <v>2362</v>
      </c>
      <c r="BOI61" s="390" t="s">
        <v>2362</v>
      </c>
      <c r="BOJ61" s="390" t="s">
        <v>2036</v>
      </c>
      <c r="BOK61" s="390" t="s">
        <v>2036</v>
      </c>
      <c r="BOL61" s="390" t="s">
        <v>2036</v>
      </c>
      <c r="BOM61" s="390" t="s">
        <v>2036</v>
      </c>
      <c r="BON61" s="390" t="s">
        <v>2036</v>
      </c>
      <c r="BOO61" s="390" t="s">
        <v>2036</v>
      </c>
    </row>
    <row r="62" spans="1:92 1590:1757" s="390" customFormat="1" ht="18.75" customHeight="1" x14ac:dyDescent="0.25">
      <c r="A62" s="373">
        <v>4</v>
      </c>
      <c r="B62" s="373">
        <v>7</v>
      </c>
      <c r="C62" s="373">
        <v>8</v>
      </c>
      <c r="D62" s="373" t="s">
        <v>2374</v>
      </c>
      <c r="E62" s="373" t="s">
        <v>2435</v>
      </c>
      <c r="F62" s="373" t="s">
        <v>2435</v>
      </c>
      <c r="G62" s="373" t="s">
        <v>2389</v>
      </c>
      <c r="H62" s="373" t="s">
        <v>2435</v>
      </c>
      <c r="I62" s="373">
        <v>0</v>
      </c>
      <c r="J62" s="373">
        <v>2</v>
      </c>
      <c r="K62" s="373">
        <v>0</v>
      </c>
      <c r="L62" s="373">
        <v>4</v>
      </c>
      <c r="M62" s="366">
        <v>84</v>
      </c>
      <c r="N62" s="397" t="s">
        <v>834</v>
      </c>
      <c r="O62" s="374" t="s">
        <v>1515</v>
      </c>
      <c r="P62" s="374"/>
      <c r="Q62" s="391" t="s">
        <v>2229</v>
      </c>
      <c r="R62" s="386">
        <v>87393</v>
      </c>
      <c r="S62" s="387" t="s">
        <v>795</v>
      </c>
      <c r="T62" s="388">
        <v>8.9</v>
      </c>
      <c r="U62" s="389" t="s">
        <v>2230</v>
      </c>
      <c r="AH62" s="390" t="s">
        <v>2037</v>
      </c>
      <c r="AI62" s="390" t="s">
        <v>2037</v>
      </c>
      <c r="AJ62" s="390" t="s">
        <v>2037</v>
      </c>
      <c r="AK62" s="390" t="s">
        <v>2370</v>
      </c>
      <c r="AL62" s="390" t="s">
        <v>2370</v>
      </c>
      <c r="AM62" s="390" t="s">
        <v>2370</v>
      </c>
      <c r="AS62" s="390" t="s">
        <v>2033</v>
      </c>
      <c r="AT62" s="390" t="s">
        <v>2033</v>
      </c>
      <c r="AU62" s="390" t="s">
        <v>2033</v>
      </c>
      <c r="AV62" s="390" t="s">
        <v>2033</v>
      </c>
      <c r="AW62" s="390" t="s">
        <v>2033</v>
      </c>
      <c r="AX62" s="390" t="s">
        <v>2033</v>
      </c>
      <c r="AY62" s="390" t="s">
        <v>2033</v>
      </c>
      <c r="AZ62" s="390" t="s">
        <v>2033</v>
      </c>
      <c r="BA62" s="390" t="s">
        <v>2034</v>
      </c>
      <c r="BB62" s="390" t="s">
        <v>2034</v>
      </c>
      <c r="BC62" s="390" t="s">
        <v>2034</v>
      </c>
      <c r="BD62" s="390" t="s">
        <v>2034</v>
      </c>
      <c r="BE62" s="390" t="s">
        <v>2034</v>
      </c>
      <c r="BF62" s="390" t="s">
        <v>2034</v>
      </c>
      <c r="BG62" s="390" t="s">
        <v>2034</v>
      </c>
      <c r="BH62" s="390" t="s">
        <v>2034</v>
      </c>
      <c r="BI62" s="390" t="s">
        <v>2034</v>
      </c>
      <c r="BJ62" s="390" t="s">
        <v>2034</v>
      </c>
      <c r="BK62" s="390" t="s">
        <v>2034</v>
      </c>
      <c r="BL62" s="390" t="s">
        <v>2034</v>
      </c>
      <c r="BM62" s="390" t="s">
        <v>2034</v>
      </c>
      <c r="BN62" s="390" t="s">
        <v>2034</v>
      </c>
      <c r="BO62" s="390" t="s">
        <v>2034</v>
      </c>
      <c r="BP62" s="390" t="s">
        <v>2034</v>
      </c>
      <c r="BQ62" s="390" t="s">
        <v>2034</v>
      </c>
      <c r="BR62" s="390" t="s">
        <v>2034</v>
      </c>
      <c r="BS62" s="390" t="s">
        <v>2034</v>
      </c>
      <c r="BY62" s="390" t="s">
        <v>2372</v>
      </c>
      <c r="BZ62" s="390" t="s">
        <v>2372</v>
      </c>
      <c r="CA62" s="390" t="s">
        <v>2036</v>
      </c>
      <c r="CB62" s="390" t="s">
        <v>2036</v>
      </c>
      <c r="CC62" s="390" t="s">
        <v>2036</v>
      </c>
      <c r="CD62" s="390" t="s">
        <v>2036</v>
      </c>
      <c r="CE62" s="390" t="s">
        <v>2359</v>
      </c>
      <c r="CF62" s="390" t="s">
        <v>2359</v>
      </c>
      <c r="CG62" s="390" t="s">
        <v>2359</v>
      </c>
      <c r="CH62" s="390" t="s">
        <v>2359</v>
      </c>
      <c r="BNR62" s="390" t="s">
        <v>2361</v>
      </c>
      <c r="BNS62" s="390" t="s">
        <v>2361</v>
      </c>
      <c r="BNT62" s="390" t="s">
        <v>2361</v>
      </c>
      <c r="BNU62" s="390" t="s">
        <v>2361</v>
      </c>
      <c r="BNV62" s="390" t="s">
        <v>2361</v>
      </c>
      <c r="BNW62" s="390" t="s">
        <v>2361</v>
      </c>
      <c r="BNX62" s="390" t="s">
        <v>2372</v>
      </c>
      <c r="BNY62" s="390" t="s">
        <v>2372</v>
      </c>
      <c r="BNZ62" s="390" t="s">
        <v>2372</v>
      </c>
      <c r="BOA62" s="390" t="s">
        <v>2372</v>
      </c>
      <c r="BOB62" s="390" t="s">
        <v>2372</v>
      </c>
      <c r="BOC62" s="390" t="s">
        <v>2372</v>
      </c>
      <c r="BOD62" s="390" t="s">
        <v>2362</v>
      </c>
      <c r="BOE62" s="390" t="s">
        <v>2362</v>
      </c>
      <c r="BOF62" s="390" t="s">
        <v>2362</v>
      </c>
      <c r="BOG62" s="390" t="s">
        <v>2362</v>
      </c>
      <c r="BOH62" s="390" t="s">
        <v>2362</v>
      </c>
      <c r="BOI62" s="390" t="s">
        <v>2362</v>
      </c>
      <c r="BOJ62" s="390" t="s">
        <v>2036</v>
      </c>
      <c r="BOK62" s="390" t="s">
        <v>2036</v>
      </c>
      <c r="BOL62" s="390" t="s">
        <v>2036</v>
      </c>
      <c r="BOM62" s="390" t="s">
        <v>2036</v>
      </c>
      <c r="BON62" s="390" t="s">
        <v>2036</v>
      </c>
      <c r="BOO62" s="390" t="s">
        <v>2036</v>
      </c>
    </row>
    <row r="63" spans="1:92 1590:1757" s="390" customFormat="1" x14ac:dyDescent="0.25">
      <c r="A63" s="373">
        <v>4</v>
      </c>
      <c r="B63" s="373">
        <v>7</v>
      </c>
      <c r="C63" s="373">
        <v>8</v>
      </c>
      <c r="D63" s="373" t="s">
        <v>2774</v>
      </c>
      <c r="E63" s="373" t="s">
        <v>2435</v>
      </c>
      <c r="F63" s="373" t="s">
        <v>2435</v>
      </c>
      <c r="G63" s="373" t="s">
        <v>2391</v>
      </c>
      <c r="H63" s="373" t="s">
        <v>2435</v>
      </c>
      <c r="I63" s="373">
        <v>0</v>
      </c>
      <c r="J63" s="373">
        <v>2</v>
      </c>
      <c r="K63" s="373">
        <v>0</v>
      </c>
      <c r="L63" s="373">
        <v>4</v>
      </c>
      <c r="M63" s="366">
        <v>74</v>
      </c>
      <c r="N63" s="397" t="s">
        <v>840</v>
      </c>
      <c r="O63" s="374" t="s">
        <v>1515</v>
      </c>
      <c r="P63" s="374"/>
      <c r="Q63" s="375" t="s">
        <v>841</v>
      </c>
      <c r="R63" s="396">
        <v>91140</v>
      </c>
      <c r="S63" s="377" t="s">
        <v>795</v>
      </c>
      <c r="T63" s="378">
        <v>8.6999999999999993</v>
      </c>
      <c r="U63" s="379" t="s">
        <v>842</v>
      </c>
      <c r="AH63" s="390" t="s">
        <v>2037</v>
      </c>
      <c r="AI63" s="390" t="s">
        <v>2037</v>
      </c>
      <c r="AJ63" s="390" t="s">
        <v>2037</v>
      </c>
      <c r="AK63" s="390" t="s">
        <v>2370</v>
      </c>
      <c r="AL63" s="390" t="s">
        <v>2370</v>
      </c>
      <c r="AM63" s="390" t="s">
        <v>2370</v>
      </c>
      <c r="AS63" s="390" t="s">
        <v>2033</v>
      </c>
      <c r="AT63" s="390" t="s">
        <v>2033</v>
      </c>
      <c r="AU63" s="390" t="s">
        <v>2033</v>
      </c>
      <c r="AV63" s="390" t="s">
        <v>2033</v>
      </c>
      <c r="AW63" s="390" t="s">
        <v>2033</v>
      </c>
      <c r="AX63" s="390" t="s">
        <v>2033</v>
      </c>
      <c r="AY63" s="390" t="s">
        <v>2033</v>
      </c>
      <c r="AZ63" s="390" t="s">
        <v>2033</v>
      </c>
      <c r="BA63" s="390" t="s">
        <v>2034</v>
      </c>
      <c r="BB63" s="390" t="s">
        <v>2034</v>
      </c>
      <c r="BC63" s="390" t="s">
        <v>2034</v>
      </c>
      <c r="BD63" s="390" t="s">
        <v>2034</v>
      </c>
      <c r="BE63" s="390" t="s">
        <v>2034</v>
      </c>
      <c r="BF63" s="390" t="s">
        <v>2034</v>
      </c>
      <c r="BG63" s="390" t="s">
        <v>2034</v>
      </c>
      <c r="BH63" s="390" t="s">
        <v>2034</v>
      </c>
      <c r="BI63" s="390" t="s">
        <v>2034</v>
      </c>
      <c r="BJ63" s="390" t="s">
        <v>2034</v>
      </c>
      <c r="BK63" s="390" t="s">
        <v>2034</v>
      </c>
      <c r="BL63" s="390" t="s">
        <v>2034</v>
      </c>
      <c r="BM63" s="390" t="s">
        <v>2034</v>
      </c>
      <c r="BN63" s="390" t="s">
        <v>2034</v>
      </c>
      <c r="BO63" s="390" t="s">
        <v>2034</v>
      </c>
      <c r="BP63" s="390" t="s">
        <v>2034</v>
      </c>
      <c r="BQ63" s="390" t="s">
        <v>2034</v>
      </c>
      <c r="BR63" s="390" t="s">
        <v>2034</v>
      </c>
      <c r="BS63" s="390" t="s">
        <v>2034</v>
      </c>
      <c r="BY63" s="390" t="s">
        <v>2372</v>
      </c>
      <c r="BZ63" s="390" t="s">
        <v>2372</v>
      </c>
      <c r="CA63" s="390" t="s">
        <v>2036</v>
      </c>
      <c r="CB63" s="390" t="s">
        <v>2036</v>
      </c>
      <c r="CC63" s="390" t="s">
        <v>2036</v>
      </c>
      <c r="CD63" s="390" t="s">
        <v>2036</v>
      </c>
      <c r="CE63" s="390" t="s">
        <v>2359</v>
      </c>
      <c r="CF63" s="390" t="s">
        <v>2359</v>
      </c>
      <c r="CG63" s="390" t="s">
        <v>2359</v>
      </c>
      <c r="CH63" s="390" t="s">
        <v>2359</v>
      </c>
      <c r="BID63" s="390" t="s">
        <v>2361</v>
      </c>
      <c r="BIE63" s="390" t="s">
        <v>2361</v>
      </c>
      <c r="BIF63" s="390" t="s">
        <v>2361</v>
      </c>
      <c r="BIG63" s="390" t="s">
        <v>2361</v>
      </c>
      <c r="BIH63" s="390" t="s">
        <v>2361</v>
      </c>
      <c r="BII63" s="390" t="s">
        <v>2361</v>
      </c>
      <c r="BIJ63" s="390" t="s">
        <v>2372</v>
      </c>
      <c r="BIK63" s="390" t="s">
        <v>2372</v>
      </c>
      <c r="BIL63" s="390" t="s">
        <v>2372</v>
      </c>
      <c r="BIM63" s="390" t="s">
        <v>2372</v>
      </c>
      <c r="BIN63" s="390" t="s">
        <v>2372</v>
      </c>
      <c r="BIO63" s="390" t="s">
        <v>2372</v>
      </c>
      <c r="BIP63" s="390" t="s">
        <v>2362</v>
      </c>
      <c r="BIQ63" s="390" t="s">
        <v>2362</v>
      </c>
      <c r="BIR63" s="390" t="s">
        <v>2362</v>
      </c>
      <c r="BIS63" s="390" t="s">
        <v>2362</v>
      </c>
      <c r="BIT63" s="390" t="s">
        <v>2362</v>
      </c>
      <c r="BIU63" s="390" t="s">
        <v>2362</v>
      </c>
      <c r="BIV63" s="390" t="s">
        <v>2036</v>
      </c>
      <c r="BIW63" s="390" t="s">
        <v>2036</v>
      </c>
      <c r="BIX63" s="390" t="s">
        <v>2036</v>
      </c>
      <c r="BIY63" s="390" t="s">
        <v>2036</v>
      </c>
      <c r="BIZ63" s="390" t="s">
        <v>2036</v>
      </c>
      <c r="BJA63" s="390" t="s">
        <v>2036</v>
      </c>
    </row>
    <row r="64" spans="1:92 1590:1757" s="390" customFormat="1" x14ac:dyDescent="0.25">
      <c r="A64" s="373">
        <v>4</v>
      </c>
      <c r="B64" s="373">
        <v>7</v>
      </c>
      <c r="C64" s="373">
        <v>8</v>
      </c>
      <c r="D64" s="373" t="s">
        <v>2374</v>
      </c>
      <c r="E64" s="373" t="s">
        <v>2435</v>
      </c>
      <c r="F64" s="373" t="s">
        <v>2435</v>
      </c>
      <c r="G64" s="373" t="s">
        <v>2390</v>
      </c>
      <c r="H64" s="373" t="s">
        <v>2435</v>
      </c>
      <c r="I64" s="373">
        <v>0</v>
      </c>
      <c r="J64" s="373">
        <v>2</v>
      </c>
      <c r="K64" s="373">
        <v>0</v>
      </c>
      <c r="L64" s="373">
        <v>4</v>
      </c>
      <c r="M64" s="366">
        <v>105</v>
      </c>
      <c r="N64" s="397" t="s">
        <v>837</v>
      </c>
      <c r="O64" s="374" t="s">
        <v>1515</v>
      </c>
      <c r="P64" s="374"/>
      <c r="Q64" s="391" t="s">
        <v>2231</v>
      </c>
      <c r="R64" s="386">
        <v>92156</v>
      </c>
      <c r="S64" s="387" t="s">
        <v>795</v>
      </c>
      <c r="T64" s="388">
        <v>8.9</v>
      </c>
      <c r="U64" s="389" t="s">
        <v>2232</v>
      </c>
      <c r="AH64" s="390" t="s">
        <v>2037</v>
      </c>
      <c r="AI64" s="390" t="s">
        <v>2037</v>
      </c>
      <c r="AJ64" s="390" t="s">
        <v>2037</v>
      </c>
      <c r="AK64" s="390" t="s">
        <v>2370</v>
      </c>
      <c r="AL64" s="390" t="s">
        <v>2370</v>
      </c>
      <c r="AM64" s="390" t="s">
        <v>2370</v>
      </c>
      <c r="AS64" s="390" t="s">
        <v>2033</v>
      </c>
      <c r="AT64" s="390" t="s">
        <v>2033</v>
      </c>
      <c r="AU64" s="390" t="s">
        <v>2033</v>
      </c>
      <c r="AV64" s="390" t="s">
        <v>2033</v>
      </c>
      <c r="AW64" s="390" t="s">
        <v>2033</v>
      </c>
      <c r="AX64" s="390" t="s">
        <v>2033</v>
      </c>
      <c r="AY64" s="390" t="s">
        <v>2033</v>
      </c>
      <c r="AZ64" s="390" t="s">
        <v>2033</v>
      </c>
      <c r="BA64" s="390" t="s">
        <v>2034</v>
      </c>
      <c r="BB64" s="390" t="s">
        <v>2034</v>
      </c>
      <c r="BC64" s="390" t="s">
        <v>2034</v>
      </c>
      <c r="BD64" s="390" t="s">
        <v>2034</v>
      </c>
      <c r="BE64" s="390" t="s">
        <v>2034</v>
      </c>
      <c r="BF64" s="390" t="s">
        <v>2034</v>
      </c>
      <c r="BG64" s="390" t="s">
        <v>2034</v>
      </c>
      <c r="BH64" s="390" t="s">
        <v>2034</v>
      </c>
      <c r="BI64" s="390" t="s">
        <v>2034</v>
      </c>
      <c r="BJ64" s="390" t="s">
        <v>2034</v>
      </c>
      <c r="BK64" s="390" t="s">
        <v>2034</v>
      </c>
      <c r="BL64" s="390" t="s">
        <v>2034</v>
      </c>
      <c r="BM64" s="390" t="s">
        <v>2034</v>
      </c>
      <c r="BN64" s="390" t="s">
        <v>2034</v>
      </c>
      <c r="BO64" s="390" t="s">
        <v>2034</v>
      </c>
      <c r="BP64" s="390" t="s">
        <v>2034</v>
      </c>
      <c r="BQ64" s="390" t="s">
        <v>2034</v>
      </c>
      <c r="BR64" s="390" t="s">
        <v>2034</v>
      </c>
      <c r="BS64" s="390" t="s">
        <v>2034</v>
      </c>
      <c r="BY64" s="390" t="s">
        <v>2372</v>
      </c>
      <c r="BZ64" s="390" t="s">
        <v>2372</v>
      </c>
      <c r="CA64" s="390" t="s">
        <v>2036</v>
      </c>
      <c r="CB64" s="390" t="s">
        <v>2036</v>
      </c>
      <c r="CC64" s="390" t="s">
        <v>2036</v>
      </c>
      <c r="CD64" s="390" t="s">
        <v>2036</v>
      </c>
      <c r="CE64" s="390" t="s">
        <v>2359</v>
      </c>
      <c r="CF64" s="390" t="s">
        <v>2359</v>
      </c>
      <c r="CG64" s="390" t="s">
        <v>2359</v>
      </c>
      <c r="CH64" s="390" t="s">
        <v>2359</v>
      </c>
      <c r="BJB64" s="390" t="s">
        <v>2361</v>
      </c>
      <c r="BJC64" s="390" t="s">
        <v>2361</v>
      </c>
      <c r="BJD64" s="390" t="s">
        <v>2361</v>
      </c>
      <c r="BJE64" s="390" t="s">
        <v>2361</v>
      </c>
      <c r="BJF64" s="390" t="s">
        <v>2361</v>
      </c>
      <c r="BJG64" s="390" t="s">
        <v>2361</v>
      </c>
      <c r="BJH64" s="390" t="s">
        <v>2372</v>
      </c>
      <c r="BJI64" s="390" t="s">
        <v>2372</v>
      </c>
      <c r="BJJ64" s="390" t="s">
        <v>2372</v>
      </c>
      <c r="BJK64" s="390" t="s">
        <v>2372</v>
      </c>
      <c r="BJL64" s="390" t="s">
        <v>2372</v>
      </c>
      <c r="BJM64" s="390" t="s">
        <v>2372</v>
      </c>
      <c r="BJN64" s="390" t="s">
        <v>2362</v>
      </c>
      <c r="BJO64" s="390" t="s">
        <v>2362</v>
      </c>
      <c r="BJP64" s="390" t="s">
        <v>2362</v>
      </c>
      <c r="BJQ64" s="390" t="s">
        <v>2362</v>
      </c>
      <c r="BJR64" s="390" t="s">
        <v>2362</v>
      </c>
      <c r="BJS64" s="390" t="s">
        <v>2362</v>
      </c>
      <c r="BJT64" s="390" t="s">
        <v>2036</v>
      </c>
      <c r="BJU64" s="390" t="s">
        <v>2036</v>
      </c>
      <c r="BJV64" s="390" t="s">
        <v>2036</v>
      </c>
      <c r="BJW64" s="390" t="s">
        <v>2036</v>
      </c>
      <c r="BJX64" s="390" t="s">
        <v>2036</v>
      </c>
      <c r="BJY64" s="390" t="s">
        <v>2036</v>
      </c>
    </row>
    <row r="65" spans="1:92 1638:1757" s="390" customFormat="1" x14ac:dyDescent="0.25">
      <c r="A65" s="373">
        <v>4</v>
      </c>
      <c r="B65" s="373">
        <v>7</v>
      </c>
      <c r="C65" s="373">
        <v>8</v>
      </c>
      <c r="D65" s="373" t="s">
        <v>2774</v>
      </c>
      <c r="E65" s="373" t="s">
        <v>2435</v>
      </c>
      <c r="F65" s="373" t="s">
        <v>2435</v>
      </c>
      <c r="G65" s="373" t="s">
        <v>2392</v>
      </c>
      <c r="H65" s="373" t="s">
        <v>2435</v>
      </c>
      <c r="I65" s="373">
        <v>0</v>
      </c>
      <c r="J65" s="373">
        <v>2</v>
      </c>
      <c r="K65" s="373">
        <v>0</v>
      </c>
      <c r="L65" s="373">
        <v>4</v>
      </c>
      <c r="M65" s="366">
        <v>86</v>
      </c>
      <c r="N65" s="397" t="s">
        <v>843</v>
      </c>
      <c r="O65" s="374" t="s">
        <v>1515</v>
      </c>
      <c r="P65" s="374"/>
      <c r="Q65" s="375" t="s">
        <v>844</v>
      </c>
      <c r="R65" s="396">
        <v>92650</v>
      </c>
      <c r="S65" s="377" t="s">
        <v>795</v>
      </c>
      <c r="T65" s="378">
        <v>8.6999999999999993</v>
      </c>
      <c r="U65" s="379" t="s">
        <v>845</v>
      </c>
      <c r="AH65" s="390" t="s">
        <v>2037</v>
      </c>
      <c r="AI65" s="390" t="s">
        <v>2037</v>
      </c>
      <c r="AJ65" s="390" t="s">
        <v>2037</v>
      </c>
      <c r="AK65" s="390" t="s">
        <v>2370</v>
      </c>
      <c r="AL65" s="390" t="s">
        <v>2370</v>
      </c>
      <c r="AM65" s="390" t="s">
        <v>2370</v>
      </c>
      <c r="AS65" s="390" t="s">
        <v>2033</v>
      </c>
      <c r="AT65" s="390" t="s">
        <v>2033</v>
      </c>
      <c r="AU65" s="390" t="s">
        <v>2033</v>
      </c>
      <c r="AV65" s="390" t="s">
        <v>2033</v>
      </c>
      <c r="AW65" s="390" t="s">
        <v>2033</v>
      </c>
      <c r="AX65" s="390" t="s">
        <v>2033</v>
      </c>
      <c r="AY65" s="390" t="s">
        <v>2033</v>
      </c>
      <c r="AZ65" s="390" t="s">
        <v>2033</v>
      </c>
      <c r="BA65" s="390" t="s">
        <v>2034</v>
      </c>
      <c r="BB65" s="390" t="s">
        <v>2034</v>
      </c>
      <c r="BC65" s="390" t="s">
        <v>2034</v>
      </c>
      <c r="BD65" s="390" t="s">
        <v>2034</v>
      </c>
      <c r="BE65" s="390" t="s">
        <v>2034</v>
      </c>
      <c r="BF65" s="390" t="s">
        <v>2034</v>
      </c>
      <c r="BG65" s="390" t="s">
        <v>2034</v>
      </c>
      <c r="BH65" s="390" t="s">
        <v>2034</v>
      </c>
      <c r="BI65" s="390" t="s">
        <v>2034</v>
      </c>
      <c r="BJ65" s="390" t="s">
        <v>2034</v>
      </c>
      <c r="BK65" s="390" t="s">
        <v>2034</v>
      </c>
      <c r="BL65" s="390" t="s">
        <v>2034</v>
      </c>
      <c r="BM65" s="390" t="s">
        <v>2034</v>
      </c>
      <c r="BN65" s="390" t="s">
        <v>2034</v>
      </c>
      <c r="BO65" s="390" t="s">
        <v>2034</v>
      </c>
      <c r="BP65" s="390" t="s">
        <v>2034</v>
      </c>
      <c r="BQ65" s="390" t="s">
        <v>2034</v>
      </c>
      <c r="BR65" s="390" t="s">
        <v>2034</v>
      </c>
      <c r="BS65" s="390" t="s">
        <v>2034</v>
      </c>
      <c r="BY65" s="390" t="s">
        <v>2372</v>
      </c>
      <c r="BZ65" s="390" t="s">
        <v>2372</v>
      </c>
      <c r="CA65" s="390" t="s">
        <v>2036</v>
      </c>
      <c r="CB65" s="390" t="s">
        <v>2036</v>
      </c>
      <c r="CC65" s="390" t="s">
        <v>2036</v>
      </c>
      <c r="CD65" s="390" t="s">
        <v>2036</v>
      </c>
      <c r="CE65" s="390" t="s">
        <v>2359</v>
      </c>
      <c r="CF65" s="390" t="s">
        <v>2359</v>
      </c>
      <c r="CG65" s="390" t="s">
        <v>2359</v>
      </c>
      <c r="CH65" s="390" t="s">
        <v>2359</v>
      </c>
      <c r="BJZ65" s="390" t="s">
        <v>2361</v>
      </c>
      <c r="BKA65" s="390" t="s">
        <v>2361</v>
      </c>
      <c r="BKB65" s="390" t="s">
        <v>2361</v>
      </c>
      <c r="BKC65" s="390" t="s">
        <v>2361</v>
      </c>
      <c r="BKD65" s="390" t="s">
        <v>2361</v>
      </c>
      <c r="BKE65" s="390" t="s">
        <v>2361</v>
      </c>
      <c r="BKF65" s="390" t="s">
        <v>2372</v>
      </c>
      <c r="BKG65" s="390" t="s">
        <v>2372</v>
      </c>
      <c r="BKH65" s="390" t="s">
        <v>2372</v>
      </c>
      <c r="BKI65" s="390" t="s">
        <v>2372</v>
      </c>
      <c r="BKJ65" s="390" t="s">
        <v>2372</v>
      </c>
      <c r="BKK65" s="390" t="s">
        <v>2372</v>
      </c>
      <c r="BKL65" s="390" t="s">
        <v>2362</v>
      </c>
      <c r="BKM65" s="390" t="s">
        <v>2362</v>
      </c>
      <c r="BKN65" s="390" t="s">
        <v>2362</v>
      </c>
      <c r="BKO65" s="390" t="s">
        <v>2362</v>
      </c>
      <c r="BKP65" s="390" t="s">
        <v>2362</v>
      </c>
      <c r="BKQ65" s="390" t="s">
        <v>2362</v>
      </c>
      <c r="BKR65" s="390" t="s">
        <v>2036</v>
      </c>
      <c r="BKS65" s="390" t="s">
        <v>2036</v>
      </c>
      <c r="BKT65" s="390" t="s">
        <v>2036</v>
      </c>
      <c r="BKU65" s="390" t="s">
        <v>2036</v>
      </c>
      <c r="BKV65" s="390" t="s">
        <v>2036</v>
      </c>
      <c r="BKW65" s="390" t="s">
        <v>2036</v>
      </c>
    </row>
    <row r="66" spans="1:92 1638:1757" s="390" customFormat="1" x14ac:dyDescent="0.25">
      <c r="A66" s="373">
        <v>4</v>
      </c>
      <c r="B66" s="373">
        <v>7</v>
      </c>
      <c r="C66" s="373">
        <v>8</v>
      </c>
      <c r="D66" s="373" t="s">
        <v>2774</v>
      </c>
      <c r="E66" s="373" t="s">
        <v>2435</v>
      </c>
      <c r="F66" s="373" t="s">
        <v>2435</v>
      </c>
      <c r="G66" s="373" t="s">
        <v>2389</v>
      </c>
      <c r="H66" s="373" t="s">
        <v>2435</v>
      </c>
      <c r="I66" s="373">
        <v>0</v>
      </c>
      <c r="J66" s="373">
        <v>2</v>
      </c>
      <c r="K66" s="373">
        <v>0</v>
      </c>
      <c r="L66" s="373">
        <v>4</v>
      </c>
      <c r="M66" s="366">
        <v>101</v>
      </c>
      <c r="N66" s="397" t="s">
        <v>846</v>
      </c>
      <c r="O66" s="374" t="s">
        <v>1515</v>
      </c>
      <c r="P66" s="374"/>
      <c r="Q66" s="375" t="s">
        <v>847</v>
      </c>
      <c r="R66" s="396">
        <v>94041</v>
      </c>
      <c r="S66" s="377" t="s">
        <v>795</v>
      </c>
      <c r="T66" s="378">
        <v>8.9</v>
      </c>
      <c r="U66" s="379" t="s">
        <v>848</v>
      </c>
      <c r="AH66" s="390" t="s">
        <v>2037</v>
      </c>
      <c r="AI66" s="390" t="s">
        <v>2037</v>
      </c>
      <c r="AJ66" s="390" t="s">
        <v>2037</v>
      </c>
      <c r="AK66" s="390" t="s">
        <v>2370</v>
      </c>
      <c r="AL66" s="390" t="s">
        <v>2370</v>
      </c>
      <c r="AM66" s="390" t="s">
        <v>2370</v>
      </c>
      <c r="AS66" s="390" t="s">
        <v>2033</v>
      </c>
      <c r="AT66" s="390" t="s">
        <v>2033</v>
      </c>
      <c r="AU66" s="390" t="s">
        <v>2033</v>
      </c>
      <c r="AV66" s="390" t="s">
        <v>2033</v>
      </c>
      <c r="AW66" s="390" t="s">
        <v>2033</v>
      </c>
      <c r="AX66" s="390" t="s">
        <v>2033</v>
      </c>
      <c r="AY66" s="390" t="s">
        <v>2033</v>
      </c>
      <c r="AZ66" s="390" t="s">
        <v>2033</v>
      </c>
      <c r="BA66" s="390" t="s">
        <v>2034</v>
      </c>
      <c r="BB66" s="390" t="s">
        <v>2034</v>
      </c>
      <c r="BC66" s="390" t="s">
        <v>2034</v>
      </c>
      <c r="BD66" s="390" t="s">
        <v>2034</v>
      </c>
      <c r="BE66" s="390" t="s">
        <v>2034</v>
      </c>
      <c r="BF66" s="390" t="s">
        <v>2034</v>
      </c>
      <c r="BG66" s="390" t="s">
        <v>2034</v>
      </c>
      <c r="BH66" s="390" t="s">
        <v>2034</v>
      </c>
      <c r="BI66" s="390" t="s">
        <v>2034</v>
      </c>
      <c r="BJ66" s="390" t="s">
        <v>2034</v>
      </c>
      <c r="BK66" s="390" t="s">
        <v>2034</v>
      </c>
      <c r="BL66" s="390" t="s">
        <v>2034</v>
      </c>
      <c r="BM66" s="390" t="s">
        <v>2034</v>
      </c>
      <c r="BN66" s="390" t="s">
        <v>2034</v>
      </c>
      <c r="BO66" s="390" t="s">
        <v>2034</v>
      </c>
      <c r="BP66" s="390" t="s">
        <v>2034</v>
      </c>
      <c r="BQ66" s="390" t="s">
        <v>2034</v>
      </c>
      <c r="BR66" s="390" t="s">
        <v>2034</v>
      </c>
      <c r="BS66" s="390" t="s">
        <v>2034</v>
      </c>
      <c r="BY66" s="390" t="s">
        <v>2372</v>
      </c>
      <c r="BZ66" s="390" t="s">
        <v>2372</v>
      </c>
      <c r="CA66" s="390" t="s">
        <v>2036</v>
      </c>
      <c r="CB66" s="390" t="s">
        <v>2036</v>
      </c>
      <c r="CC66" s="390" t="s">
        <v>2036</v>
      </c>
      <c r="CD66" s="390" t="s">
        <v>2036</v>
      </c>
      <c r="CE66" s="390" t="s">
        <v>2359</v>
      </c>
      <c r="CF66" s="390" t="s">
        <v>2359</v>
      </c>
      <c r="CG66" s="390" t="s">
        <v>2359</v>
      </c>
      <c r="CH66" s="390" t="s">
        <v>2359</v>
      </c>
      <c r="BKX66" s="390" t="s">
        <v>2361</v>
      </c>
      <c r="BKY66" s="390" t="s">
        <v>2361</v>
      </c>
      <c r="BKZ66" s="390" t="s">
        <v>2361</v>
      </c>
      <c r="BLA66" s="390" t="s">
        <v>2361</v>
      </c>
      <c r="BLB66" s="390" t="s">
        <v>2361</v>
      </c>
      <c r="BLC66" s="390" t="s">
        <v>2361</v>
      </c>
      <c r="BLD66" s="390" t="s">
        <v>2372</v>
      </c>
      <c r="BLE66" s="390" t="s">
        <v>2372</v>
      </c>
      <c r="BLF66" s="390" t="s">
        <v>2372</v>
      </c>
      <c r="BLG66" s="390" t="s">
        <v>2372</v>
      </c>
      <c r="BLH66" s="390" t="s">
        <v>2372</v>
      </c>
      <c r="BLI66" s="390" t="s">
        <v>2372</v>
      </c>
      <c r="BLJ66" s="390" t="s">
        <v>2362</v>
      </c>
      <c r="BLK66" s="390" t="s">
        <v>2362</v>
      </c>
      <c r="BLL66" s="390" t="s">
        <v>2362</v>
      </c>
      <c r="BLM66" s="390" t="s">
        <v>2362</v>
      </c>
      <c r="BLN66" s="390" t="s">
        <v>2362</v>
      </c>
      <c r="BLO66" s="390" t="s">
        <v>2362</v>
      </c>
      <c r="BLP66" s="390" t="s">
        <v>2036</v>
      </c>
      <c r="BLQ66" s="390" t="s">
        <v>2036</v>
      </c>
      <c r="BLR66" s="390" t="s">
        <v>2036</v>
      </c>
      <c r="BLS66" s="390" t="s">
        <v>2036</v>
      </c>
      <c r="BLT66" s="390" t="s">
        <v>2036</v>
      </c>
      <c r="BLU66" s="390" t="s">
        <v>2036</v>
      </c>
    </row>
    <row r="67" spans="1:92 1638:1757" s="390" customFormat="1" x14ac:dyDescent="0.25">
      <c r="A67" s="373">
        <v>4</v>
      </c>
      <c r="B67" s="373">
        <v>7</v>
      </c>
      <c r="C67" s="373">
        <v>8</v>
      </c>
      <c r="D67" s="373" t="s">
        <v>2775</v>
      </c>
      <c r="E67" s="373" t="s">
        <v>2435</v>
      </c>
      <c r="F67" s="373" t="s">
        <v>2435</v>
      </c>
      <c r="G67" s="373" t="s">
        <v>2391</v>
      </c>
      <c r="H67" s="373" t="s">
        <v>2435</v>
      </c>
      <c r="I67" s="373">
        <v>0</v>
      </c>
      <c r="J67" s="373">
        <v>2</v>
      </c>
      <c r="K67" s="373">
        <v>0</v>
      </c>
      <c r="L67" s="373">
        <v>3</v>
      </c>
      <c r="M67" s="366">
        <v>84</v>
      </c>
      <c r="N67" s="397" t="s">
        <v>852</v>
      </c>
      <c r="O67" s="374" t="s">
        <v>1515</v>
      </c>
      <c r="P67" s="374"/>
      <c r="Q67" s="375" t="s">
        <v>853</v>
      </c>
      <c r="R67" s="396">
        <v>94251</v>
      </c>
      <c r="S67" s="377" t="s">
        <v>795</v>
      </c>
      <c r="T67" s="378">
        <v>8.6999999999999993</v>
      </c>
      <c r="U67" s="379" t="s">
        <v>854</v>
      </c>
      <c r="AH67" s="390" t="s">
        <v>2037</v>
      </c>
      <c r="AI67" s="390" t="s">
        <v>2037</v>
      </c>
      <c r="AJ67" s="390" t="s">
        <v>2037</v>
      </c>
      <c r="AK67" s="390" t="s">
        <v>2370</v>
      </c>
      <c r="AL67" s="390" t="s">
        <v>2370</v>
      </c>
      <c r="AM67" s="390" t="s">
        <v>2370</v>
      </c>
      <c r="AS67" s="390" t="s">
        <v>2033</v>
      </c>
      <c r="AT67" s="390" t="s">
        <v>2033</v>
      </c>
      <c r="AU67" s="390" t="s">
        <v>2033</v>
      </c>
      <c r="AV67" s="390" t="s">
        <v>2033</v>
      </c>
      <c r="AW67" s="390" t="s">
        <v>2033</v>
      </c>
      <c r="AX67" s="390" t="s">
        <v>2033</v>
      </c>
      <c r="AY67" s="390" t="s">
        <v>2033</v>
      </c>
      <c r="AZ67" s="390" t="s">
        <v>2033</v>
      </c>
      <c r="BA67" s="390" t="s">
        <v>2034</v>
      </c>
      <c r="BB67" s="390" t="s">
        <v>2034</v>
      </c>
      <c r="BC67" s="390" t="s">
        <v>2034</v>
      </c>
      <c r="BD67" s="390" t="s">
        <v>2034</v>
      </c>
      <c r="BE67" s="390" t="s">
        <v>2034</v>
      </c>
      <c r="BF67" s="390" t="s">
        <v>2034</v>
      </c>
      <c r="BG67" s="390" t="s">
        <v>2034</v>
      </c>
      <c r="BH67" s="390" t="s">
        <v>2034</v>
      </c>
      <c r="BI67" s="390" t="s">
        <v>2034</v>
      </c>
      <c r="BJ67" s="390" t="s">
        <v>2034</v>
      </c>
      <c r="BK67" s="390" t="s">
        <v>2034</v>
      </c>
      <c r="BL67" s="390" t="s">
        <v>2034</v>
      </c>
      <c r="BM67" s="390" t="s">
        <v>2034</v>
      </c>
      <c r="BN67" s="390" t="s">
        <v>2034</v>
      </c>
      <c r="BO67" s="390" t="s">
        <v>2034</v>
      </c>
      <c r="BP67" s="390" t="s">
        <v>2034</v>
      </c>
      <c r="BQ67" s="390" t="s">
        <v>2034</v>
      </c>
      <c r="BR67" s="390" t="s">
        <v>2034</v>
      </c>
      <c r="BS67" s="390" t="s">
        <v>2034</v>
      </c>
      <c r="BY67" s="390" t="s">
        <v>2372</v>
      </c>
      <c r="BZ67" s="390" t="s">
        <v>2372</v>
      </c>
      <c r="CA67" s="390" t="s">
        <v>2036</v>
      </c>
      <c r="CB67" s="390" t="s">
        <v>2036</v>
      </c>
      <c r="CC67" s="390" t="s">
        <v>2036</v>
      </c>
      <c r="CD67" s="390" t="s">
        <v>2359</v>
      </c>
      <c r="CE67" s="390" t="s">
        <v>2359</v>
      </c>
      <c r="CF67" s="390" t="s">
        <v>2359</v>
      </c>
      <c r="CG67" s="390" t="s">
        <v>2359</v>
      </c>
      <c r="CH67" s="390" t="s">
        <v>2359</v>
      </c>
      <c r="BLV67" s="390" t="s">
        <v>2361</v>
      </c>
      <c r="BLW67" s="390" t="s">
        <v>2361</v>
      </c>
      <c r="BLX67" s="390" t="s">
        <v>2361</v>
      </c>
      <c r="BLY67" s="390" t="s">
        <v>2361</v>
      </c>
      <c r="BLZ67" s="390" t="s">
        <v>2361</v>
      </c>
      <c r="BMA67" s="390" t="s">
        <v>2361</v>
      </c>
      <c r="BMB67" s="390" t="s">
        <v>2372</v>
      </c>
      <c r="BMC67" s="390" t="s">
        <v>2372</v>
      </c>
      <c r="BMD67" s="390" t="s">
        <v>2372</v>
      </c>
      <c r="BME67" s="390" t="s">
        <v>2372</v>
      </c>
      <c r="BMF67" s="390" t="s">
        <v>2372</v>
      </c>
      <c r="BMG67" s="390" t="s">
        <v>2372</v>
      </c>
      <c r="BMH67" s="390" t="s">
        <v>2362</v>
      </c>
      <c r="BMI67" s="390" t="s">
        <v>2362</v>
      </c>
      <c r="BMJ67" s="390" t="s">
        <v>2362</v>
      </c>
      <c r="BMK67" s="390" t="s">
        <v>2362</v>
      </c>
      <c r="BML67" s="390" t="s">
        <v>2362</v>
      </c>
      <c r="BMM67" s="390" t="s">
        <v>2362</v>
      </c>
      <c r="BMN67" s="390" t="s">
        <v>2036</v>
      </c>
      <c r="BMO67" s="390" t="s">
        <v>2036</v>
      </c>
      <c r="BMP67" s="390" t="s">
        <v>2036</v>
      </c>
      <c r="BMQ67" s="390" t="s">
        <v>2036</v>
      </c>
      <c r="BMR67" s="390" t="s">
        <v>2036</v>
      </c>
      <c r="BMS67" s="390" t="s">
        <v>2036</v>
      </c>
    </row>
    <row r="68" spans="1:92 1638:1757" s="390" customFormat="1" x14ac:dyDescent="0.25">
      <c r="A68" s="373">
        <v>4</v>
      </c>
      <c r="B68" s="373">
        <v>7</v>
      </c>
      <c r="C68" s="373">
        <v>8</v>
      </c>
      <c r="D68" s="373" t="s">
        <v>2775</v>
      </c>
      <c r="E68" s="373" t="s">
        <v>2435</v>
      </c>
      <c r="F68" s="373" t="s">
        <v>2435</v>
      </c>
      <c r="G68" s="373" t="s">
        <v>2392</v>
      </c>
      <c r="H68" s="373" t="s">
        <v>2435</v>
      </c>
      <c r="I68" s="373">
        <v>0</v>
      </c>
      <c r="J68" s="373">
        <v>2</v>
      </c>
      <c r="K68" s="373">
        <v>0</v>
      </c>
      <c r="L68" s="373">
        <v>3</v>
      </c>
      <c r="M68" s="366">
        <v>96</v>
      </c>
      <c r="N68" s="397" t="s">
        <v>855</v>
      </c>
      <c r="O68" s="374" t="s">
        <v>1515</v>
      </c>
      <c r="P68" s="374"/>
      <c r="Q68" s="375" t="s">
        <v>856</v>
      </c>
      <c r="R68" s="396">
        <v>95786</v>
      </c>
      <c r="S68" s="377" t="s">
        <v>795</v>
      </c>
      <c r="T68" s="378">
        <v>8.6999999999999993</v>
      </c>
      <c r="U68" s="379" t="s">
        <v>857</v>
      </c>
      <c r="AH68" s="390" t="s">
        <v>2037</v>
      </c>
      <c r="AI68" s="390" t="s">
        <v>2037</v>
      </c>
      <c r="AJ68" s="390" t="s">
        <v>2037</v>
      </c>
      <c r="AK68" s="390" t="s">
        <v>2370</v>
      </c>
      <c r="AL68" s="390" t="s">
        <v>2370</v>
      </c>
      <c r="AM68" s="390" t="s">
        <v>2370</v>
      </c>
      <c r="AS68" s="390" t="s">
        <v>2033</v>
      </c>
      <c r="AT68" s="390" t="s">
        <v>2033</v>
      </c>
      <c r="AU68" s="390" t="s">
        <v>2033</v>
      </c>
      <c r="AV68" s="390" t="s">
        <v>2033</v>
      </c>
      <c r="AW68" s="390" t="s">
        <v>2033</v>
      </c>
      <c r="AX68" s="390" t="s">
        <v>2033</v>
      </c>
      <c r="AY68" s="390" t="s">
        <v>2033</v>
      </c>
      <c r="AZ68" s="390" t="s">
        <v>2033</v>
      </c>
      <c r="BA68" s="390" t="s">
        <v>2034</v>
      </c>
      <c r="BB68" s="390" t="s">
        <v>2034</v>
      </c>
      <c r="BC68" s="390" t="s">
        <v>2034</v>
      </c>
      <c r="BD68" s="390" t="s">
        <v>2034</v>
      </c>
      <c r="BE68" s="390" t="s">
        <v>2034</v>
      </c>
      <c r="BF68" s="390" t="s">
        <v>2034</v>
      </c>
      <c r="BG68" s="390" t="s">
        <v>2034</v>
      </c>
      <c r="BH68" s="390" t="s">
        <v>2034</v>
      </c>
      <c r="BI68" s="390" t="s">
        <v>2034</v>
      </c>
      <c r="BJ68" s="390" t="s">
        <v>2034</v>
      </c>
      <c r="BK68" s="390" t="s">
        <v>2034</v>
      </c>
      <c r="BL68" s="390" t="s">
        <v>2034</v>
      </c>
      <c r="BM68" s="390" t="s">
        <v>2034</v>
      </c>
      <c r="BN68" s="390" t="s">
        <v>2034</v>
      </c>
      <c r="BO68" s="390" t="s">
        <v>2034</v>
      </c>
      <c r="BP68" s="390" t="s">
        <v>2034</v>
      </c>
      <c r="BQ68" s="390" t="s">
        <v>2034</v>
      </c>
      <c r="BR68" s="390" t="s">
        <v>2034</v>
      </c>
      <c r="BS68" s="390" t="s">
        <v>2034</v>
      </c>
      <c r="BY68" s="390" t="s">
        <v>2372</v>
      </c>
      <c r="BZ68" s="390" t="s">
        <v>2372</v>
      </c>
      <c r="CA68" s="390" t="s">
        <v>2036</v>
      </c>
      <c r="CB68" s="390" t="s">
        <v>2036</v>
      </c>
      <c r="CC68" s="390" t="s">
        <v>2036</v>
      </c>
      <c r="CD68" s="390" t="s">
        <v>2359</v>
      </c>
      <c r="CE68" s="390" t="s">
        <v>2359</v>
      </c>
      <c r="CF68" s="390" t="s">
        <v>2359</v>
      </c>
      <c r="CG68" s="390" t="s">
        <v>2359</v>
      </c>
      <c r="CH68" s="390" t="s">
        <v>2359</v>
      </c>
      <c r="BMT68" s="390" t="s">
        <v>2361</v>
      </c>
      <c r="BMU68" s="390" t="s">
        <v>2361</v>
      </c>
      <c r="BMV68" s="390" t="s">
        <v>2361</v>
      </c>
      <c r="BMW68" s="390" t="s">
        <v>2361</v>
      </c>
      <c r="BMX68" s="390" t="s">
        <v>2361</v>
      </c>
      <c r="BMY68" s="390" t="s">
        <v>2361</v>
      </c>
      <c r="BMZ68" s="390" t="s">
        <v>2372</v>
      </c>
      <c r="BNA68" s="390" t="s">
        <v>2372</v>
      </c>
      <c r="BNB68" s="390" t="s">
        <v>2372</v>
      </c>
      <c r="BNC68" s="390" t="s">
        <v>2372</v>
      </c>
      <c r="BND68" s="390" t="s">
        <v>2372</v>
      </c>
      <c r="BNE68" s="390" t="s">
        <v>2372</v>
      </c>
      <c r="BNF68" s="390" t="s">
        <v>2362</v>
      </c>
      <c r="BNG68" s="390" t="s">
        <v>2362</v>
      </c>
      <c r="BNH68" s="390" t="s">
        <v>2362</v>
      </c>
      <c r="BNI68" s="390" t="s">
        <v>2362</v>
      </c>
      <c r="BNJ68" s="390" t="s">
        <v>2362</v>
      </c>
      <c r="BNK68" s="390" t="s">
        <v>2362</v>
      </c>
      <c r="BNL68" s="390" t="s">
        <v>2036</v>
      </c>
      <c r="BNM68" s="390" t="s">
        <v>2036</v>
      </c>
      <c r="BNN68" s="390" t="s">
        <v>2036</v>
      </c>
      <c r="BNO68" s="390" t="s">
        <v>2036</v>
      </c>
      <c r="BNP68" s="390" t="s">
        <v>2036</v>
      </c>
      <c r="BNQ68" s="390" t="s">
        <v>2036</v>
      </c>
    </row>
    <row r="69" spans="1:92 1638:1757" s="390" customFormat="1" x14ac:dyDescent="0.25">
      <c r="A69" s="373">
        <v>4</v>
      </c>
      <c r="B69" s="373">
        <v>7</v>
      </c>
      <c r="C69" s="373">
        <v>8</v>
      </c>
      <c r="D69" s="373" t="s">
        <v>2775</v>
      </c>
      <c r="E69" s="373" t="s">
        <v>2435</v>
      </c>
      <c r="F69" s="373" t="s">
        <v>2435</v>
      </c>
      <c r="G69" s="373" t="s">
        <v>2389</v>
      </c>
      <c r="H69" s="373" t="s">
        <v>2435</v>
      </c>
      <c r="I69" s="373">
        <v>0</v>
      </c>
      <c r="J69" s="373">
        <v>2</v>
      </c>
      <c r="K69" s="373">
        <v>0</v>
      </c>
      <c r="L69" s="373">
        <v>3</v>
      </c>
      <c r="M69" s="366">
        <v>111</v>
      </c>
      <c r="N69" s="397" t="s">
        <v>858</v>
      </c>
      <c r="O69" s="374" t="s">
        <v>1515</v>
      </c>
      <c r="P69" s="374"/>
      <c r="Q69" s="375" t="s">
        <v>859</v>
      </c>
      <c r="R69" s="396">
        <v>97201</v>
      </c>
      <c r="S69" s="377" t="s">
        <v>795</v>
      </c>
      <c r="T69" s="378">
        <v>8.9</v>
      </c>
      <c r="U69" s="379" t="s">
        <v>860</v>
      </c>
      <c r="AH69" s="390" t="s">
        <v>2037</v>
      </c>
      <c r="AI69" s="390" t="s">
        <v>2037</v>
      </c>
      <c r="AJ69" s="390" t="s">
        <v>2037</v>
      </c>
      <c r="AK69" s="390" t="s">
        <v>2370</v>
      </c>
      <c r="AL69" s="390" t="s">
        <v>2370</v>
      </c>
      <c r="AM69" s="390" t="s">
        <v>2370</v>
      </c>
      <c r="AS69" s="390" t="s">
        <v>2033</v>
      </c>
      <c r="AT69" s="390" t="s">
        <v>2033</v>
      </c>
      <c r="AU69" s="390" t="s">
        <v>2033</v>
      </c>
      <c r="AV69" s="390" t="s">
        <v>2033</v>
      </c>
      <c r="AW69" s="390" t="s">
        <v>2033</v>
      </c>
      <c r="AX69" s="390" t="s">
        <v>2033</v>
      </c>
      <c r="AY69" s="390" t="s">
        <v>2033</v>
      </c>
      <c r="AZ69" s="390" t="s">
        <v>2033</v>
      </c>
      <c r="BA69" s="390" t="s">
        <v>2034</v>
      </c>
      <c r="BB69" s="390" t="s">
        <v>2034</v>
      </c>
      <c r="BC69" s="390" t="s">
        <v>2034</v>
      </c>
      <c r="BD69" s="390" t="s">
        <v>2034</v>
      </c>
      <c r="BE69" s="390" t="s">
        <v>2034</v>
      </c>
      <c r="BF69" s="390" t="s">
        <v>2034</v>
      </c>
      <c r="BG69" s="390" t="s">
        <v>2034</v>
      </c>
      <c r="BH69" s="390" t="s">
        <v>2034</v>
      </c>
      <c r="BI69" s="390" t="s">
        <v>2034</v>
      </c>
      <c r="BJ69" s="390" t="s">
        <v>2034</v>
      </c>
      <c r="BK69" s="390" t="s">
        <v>2034</v>
      </c>
      <c r="BL69" s="390" t="s">
        <v>2034</v>
      </c>
      <c r="BM69" s="390" t="s">
        <v>2034</v>
      </c>
      <c r="BN69" s="390" t="s">
        <v>2034</v>
      </c>
      <c r="BO69" s="390" t="s">
        <v>2034</v>
      </c>
      <c r="BP69" s="390" t="s">
        <v>2034</v>
      </c>
      <c r="BQ69" s="390" t="s">
        <v>2034</v>
      </c>
      <c r="BR69" s="390" t="s">
        <v>2034</v>
      </c>
      <c r="BS69" s="390" t="s">
        <v>2034</v>
      </c>
      <c r="BY69" s="390" t="s">
        <v>2372</v>
      </c>
      <c r="BZ69" s="390" t="s">
        <v>2372</v>
      </c>
      <c r="CA69" s="390" t="s">
        <v>2036</v>
      </c>
      <c r="CB69" s="390" t="s">
        <v>2036</v>
      </c>
      <c r="CC69" s="390" t="s">
        <v>2036</v>
      </c>
      <c r="CD69" s="390" t="s">
        <v>2359</v>
      </c>
      <c r="CE69" s="390" t="s">
        <v>2359</v>
      </c>
      <c r="CF69" s="390" t="s">
        <v>2359</v>
      </c>
      <c r="CG69" s="390" t="s">
        <v>2359</v>
      </c>
      <c r="CH69" s="390" t="s">
        <v>2359</v>
      </c>
      <c r="BNR69" s="390" t="s">
        <v>2361</v>
      </c>
      <c r="BNS69" s="390" t="s">
        <v>2361</v>
      </c>
      <c r="BNT69" s="390" t="s">
        <v>2361</v>
      </c>
      <c r="BNU69" s="390" t="s">
        <v>2361</v>
      </c>
      <c r="BNV69" s="390" t="s">
        <v>2361</v>
      </c>
      <c r="BNW69" s="390" t="s">
        <v>2361</v>
      </c>
      <c r="BNX69" s="390" t="s">
        <v>2372</v>
      </c>
      <c r="BNY69" s="390" t="s">
        <v>2372</v>
      </c>
      <c r="BNZ69" s="390" t="s">
        <v>2372</v>
      </c>
      <c r="BOA69" s="390" t="s">
        <v>2372</v>
      </c>
      <c r="BOB69" s="390" t="s">
        <v>2372</v>
      </c>
      <c r="BOC69" s="390" t="s">
        <v>2372</v>
      </c>
      <c r="BOD69" s="390" t="s">
        <v>2362</v>
      </c>
      <c r="BOE69" s="390" t="s">
        <v>2362</v>
      </c>
      <c r="BOF69" s="390" t="s">
        <v>2362</v>
      </c>
      <c r="BOG69" s="390" t="s">
        <v>2362</v>
      </c>
      <c r="BOH69" s="390" t="s">
        <v>2362</v>
      </c>
      <c r="BOI69" s="390" t="s">
        <v>2362</v>
      </c>
      <c r="BOJ69" s="390" t="s">
        <v>2036</v>
      </c>
      <c r="BOK69" s="390" t="s">
        <v>2036</v>
      </c>
      <c r="BOL69" s="390" t="s">
        <v>2036</v>
      </c>
      <c r="BOM69" s="390" t="s">
        <v>2036</v>
      </c>
      <c r="BON69" s="390" t="s">
        <v>2036</v>
      </c>
      <c r="BOO69" s="390" t="s">
        <v>2036</v>
      </c>
    </row>
    <row r="70" spans="1:92 1638:1757" s="390" customFormat="1" x14ac:dyDescent="0.25">
      <c r="A70" s="373">
        <v>4</v>
      </c>
      <c r="B70" s="373">
        <v>7</v>
      </c>
      <c r="C70" s="373">
        <v>8</v>
      </c>
      <c r="D70" s="373" t="s">
        <v>2774</v>
      </c>
      <c r="E70" s="373" t="s">
        <v>2435</v>
      </c>
      <c r="F70" s="373" t="s">
        <v>2435</v>
      </c>
      <c r="G70" s="373" t="s">
        <v>2390</v>
      </c>
      <c r="H70" s="373" t="s">
        <v>2435</v>
      </c>
      <c r="I70" s="373">
        <v>0</v>
      </c>
      <c r="J70" s="373">
        <v>2</v>
      </c>
      <c r="K70" s="373">
        <v>0</v>
      </c>
      <c r="L70" s="373">
        <v>4</v>
      </c>
      <c r="M70" s="366">
        <v>122</v>
      </c>
      <c r="N70" s="397" t="s">
        <v>849</v>
      </c>
      <c r="O70" s="374" t="s">
        <v>1515</v>
      </c>
      <c r="P70" s="374"/>
      <c r="Q70" s="375" t="s">
        <v>850</v>
      </c>
      <c r="R70" s="396">
        <v>99313</v>
      </c>
      <c r="S70" s="377" t="s">
        <v>795</v>
      </c>
      <c r="T70" s="378">
        <v>8.9</v>
      </c>
      <c r="U70" s="379" t="s">
        <v>851</v>
      </c>
      <c r="AH70" s="390" t="s">
        <v>2037</v>
      </c>
      <c r="AI70" s="390" t="s">
        <v>2037</v>
      </c>
      <c r="AJ70" s="390" t="s">
        <v>2037</v>
      </c>
      <c r="AK70" s="390" t="s">
        <v>2370</v>
      </c>
      <c r="AL70" s="390" t="s">
        <v>2370</v>
      </c>
      <c r="AM70" s="390" t="s">
        <v>2370</v>
      </c>
      <c r="AS70" s="390" t="s">
        <v>2033</v>
      </c>
      <c r="AT70" s="390" t="s">
        <v>2033</v>
      </c>
      <c r="AU70" s="390" t="s">
        <v>2033</v>
      </c>
      <c r="AV70" s="390" t="s">
        <v>2033</v>
      </c>
      <c r="AW70" s="390" t="s">
        <v>2033</v>
      </c>
      <c r="AX70" s="390" t="s">
        <v>2033</v>
      </c>
      <c r="AY70" s="390" t="s">
        <v>2033</v>
      </c>
      <c r="AZ70" s="390" t="s">
        <v>2033</v>
      </c>
      <c r="BA70" s="390" t="s">
        <v>2034</v>
      </c>
      <c r="BB70" s="390" t="s">
        <v>2034</v>
      </c>
      <c r="BC70" s="390" t="s">
        <v>2034</v>
      </c>
      <c r="BD70" s="390" t="s">
        <v>2034</v>
      </c>
      <c r="BE70" s="390" t="s">
        <v>2034</v>
      </c>
      <c r="BF70" s="390" t="s">
        <v>2034</v>
      </c>
      <c r="BG70" s="390" t="s">
        <v>2034</v>
      </c>
      <c r="BH70" s="390" t="s">
        <v>2034</v>
      </c>
      <c r="BI70" s="390" t="s">
        <v>2034</v>
      </c>
      <c r="BJ70" s="390" t="s">
        <v>2034</v>
      </c>
      <c r="BK70" s="390" t="s">
        <v>2034</v>
      </c>
      <c r="BL70" s="390" t="s">
        <v>2034</v>
      </c>
      <c r="BM70" s="390" t="s">
        <v>2034</v>
      </c>
      <c r="BN70" s="390" t="s">
        <v>2034</v>
      </c>
      <c r="BO70" s="390" t="s">
        <v>2034</v>
      </c>
      <c r="BP70" s="390" t="s">
        <v>2034</v>
      </c>
      <c r="BQ70" s="390" t="s">
        <v>2034</v>
      </c>
      <c r="BR70" s="390" t="s">
        <v>2034</v>
      </c>
      <c r="BS70" s="390" t="s">
        <v>2034</v>
      </c>
      <c r="BY70" s="390" t="s">
        <v>2372</v>
      </c>
      <c r="BZ70" s="390" t="s">
        <v>2372</v>
      </c>
      <c r="CA70" s="390" t="s">
        <v>2036</v>
      </c>
      <c r="CB70" s="390" t="s">
        <v>2036</v>
      </c>
      <c r="CC70" s="390" t="s">
        <v>2036</v>
      </c>
      <c r="CD70" s="390" t="s">
        <v>2036</v>
      </c>
      <c r="CE70" s="390" t="s">
        <v>2359</v>
      </c>
      <c r="CF70" s="390" t="s">
        <v>2359</v>
      </c>
      <c r="CG70" s="390" t="s">
        <v>2359</v>
      </c>
      <c r="CH70" s="390" t="s">
        <v>2359</v>
      </c>
      <c r="BNR70" s="390" t="s">
        <v>2361</v>
      </c>
      <c r="BNS70" s="390" t="s">
        <v>2361</v>
      </c>
      <c r="BNT70" s="390" t="s">
        <v>2361</v>
      </c>
      <c r="BNU70" s="390" t="s">
        <v>2361</v>
      </c>
      <c r="BNV70" s="390" t="s">
        <v>2361</v>
      </c>
      <c r="BNW70" s="390" t="s">
        <v>2361</v>
      </c>
      <c r="BNX70" s="390" t="s">
        <v>2372</v>
      </c>
      <c r="BNY70" s="390" t="s">
        <v>2372</v>
      </c>
      <c r="BNZ70" s="390" t="s">
        <v>2372</v>
      </c>
      <c r="BOA70" s="390" t="s">
        <v>2372</v>
      </c>
      <c r="BOB70" s="390" t="s">
        <v>2372</v>
      </c>
      <c r="BOC70" s="390" t="s">
        <v>2372</v>
      </c>
      <c r="BOD70" s="390" t="s">
        <v>2362</v>
      </c>
      <c r="BOE70" s="390" t="s">
        <v>2362</v>
      </c>
      <c r="BOF70" s="390" t="s">
        <v>2362</v>
      </c>
      <c r="BOG70" s="390" t="s">
        <v>2362</v>
      </c>
      <c r="BOH70" s="390" t="s">
        <v>2362</v>
      </c>
      <c r="BOI70" s="390" t="s">
        <v>2362</v>
      </c>
      <c r="BOJ70" s="390" t="s">
        <v>2036</v>
      </c>
      <c r="BOK70" s="390" t="s">
        <v>2036</v>
      </c>
      <c r="BOL70" s="390" t="s">
        <v>2036</v>
      </c>
      <c r="BOM70" s="390" t="s">
        <v>2036</v>
      </c>
      <c r="BON70" s="390" t="s">
        <v>2036</v>
      </c>
      <c r="BOO70" s="390" t="s">
        <v>2036</v>
      </c>
    </row>
    <row r="71" spans="1:92 1638:1757" s="390" customFormat="1" x14ac:dyDescent="0.25">
      <c r="A71" s="373">
        <v>4</v>
      </c>
      <c r="B71" s="373">
        <v>7</v>
      </c>
      <c r="C71" s="373">
        <v>8</v>
      </c>
      <c r="D71" s="373" t="s">
        <v>2775</v>
      </c>
      <c r="E71" s="373" t="s">
        <v>2435</v>
      </c>
      <c r="F71" s="373" t="s">
        <v>2435</v>
      </c>
      <c r="G71" s="373" t="s">
        <v>2390</v>
      </c>
      <c r="H71" s="373" t="s">
        <v>2435</v>
      </c>
      <c r="I71" s="373">
        <v>0</v>
      </c>
      <c r="J71" s="373">
        <v>2</v>
      </c>
      <c r="K71" s="373">
        <v>0</v>
      </c>
      <c r="L71" s="373">
        <v>3</v>
      </c>
      <c r="M71" s="366">
        <v>132</v>
      </c>
      <c r="N71" s="397" t="s">
        <v>861</v>
      </c>
      <c r="O71" s="374" t="s">
        <v>1515</v>
      </c>
      <c r="P71" s="374"/>
      <c r="Q71" s="375" t="s">
        <v>862</v>
      </c>
      <c r="R71" s="396">
        <v>102498</v>
      </c>
      <c r="S71" s="377" t="s">
        <v>795</v>
      </c>
      <c r="T71" s="378">
        <v>8.9</v>
      </c>
      <c r="U71" s="379" t="s">
        <v>863</v>
      </c>
      <c r="AH71" s="390" t="s">
        <v>2037</v>
      </c>
      <c r="AI71" s="390" t="s">
        <v>2037</v>
      </c>
      <c r="AJ71" s="390" t="s">
        <v>2037</v>
      </c>
      <c r="AK71" s="390" t="s">
        <v>2370</v>
      </c>
      <c r="AL71" s="390" t="s">
        <v>2370</v>
      </c>
      <c r="AM71" s="390" t="s">
        <v>2370</v>
      </c>
      <c r="AS71" s="390" t="s">
        <v>2033</v>
      </c>
      <c r="AT71" s="390" t="s">
        <v>2033</v>
      </c>
      <c r="AU71" s="390" t="s">
        <v>2033</v>
      </c>
      <c r="AV71" s="390" t="s">
        <v>2033</v>
      </c>
      <c r="AW71" s="390" t="s">
        <v>2033</v>
      </c>
      <c r="AX71" s="390" t="s">
        <v>2033</v>
      </c>
      <c r="AY71" s="390" t="s">
        <v>2033</v>
      </c>
      <c r="AZ71" s="390" t="s">
        <v>2033</v>
      </c>
      <c r="BA71" s="390" t="s">
        <v>2034</v>
      </c>
      <c r="BB71" s="390" t="s">
        <v>2034</v>
      </c>
      <c r="BC71" s="390" t="s">
        <v>2034</v>
      </c>
      <c r="BD71" s="390" t="s">
        <v>2034</v>
      </c>
      <c r="BE71" s="390" t="s">
        <v>2034</v>
      </c>
      <c r="BF71" s="390" t="s">
        <v>2034</v>
      </c>
      <c r="BG71" s="390" t="s">
        <v>2034</v>
      </c>
      <c r="BH71" s="390" t="s">
        <v>2034</v>
      </c>
      <c r="BI71" s="390" t="s">
        <v>2034</v>
      </c>
      <c r="BJ71" s="390" t="s">
        <v>2034</v>
      </c>
      <c r="BK71" s="390" t="s">
        <v>2034</v>
      </c>
      <c r="BL71" s="390" t="s">
        <v>2034</v>
      </c>
      <c r="BM71" s="390" t="s">
        <v>2034</v>
      </c>
      <c r="BN71" s="390" t="s">
        <v>2034</v>
      </c>
      <c r="BO71" s="390" t="s">
        <v>2034</v>
      </c>
      <c r="BP71" s="390" t="s">
        <v>2034</v>
      </c>
      <c r="BQ71" s="390" t="s">
        <v>2034</v>
      </c>
      <c r="BR71" s="390" t="s">
        <v>2034</v>
      </c>
      <c r="BS71" s="390" t="s">
        <v>2034</v>
      </c>
      <c r="BY71" s="390" t="s">
        <v>2372</v>
      </c>
      <c r="BZ71" s="390" t="s">
        <v>2372</v>
      </c>
      <c r="CA71" s="390" t="s">
        <v>2036</v>
      </c>
      <c r="CB71" s="390" t="s">
        <v>2036</v>
      </c>
      <c r="CC71" s="390" t="s">
        <v>2036</v>
      </c>
      <c r="CD71" s="390" t="s">
        <v>2359</v>
      </c>
      <c r="CE71" s="390" t="s">
        <v>2359</v>
      </c>
      <c r="CF71" s="390" t="s">
        <v>2359</v>
      </c>
      <c r="CG71" s="390" t="s">
        <v>2359</v>
      </c>
      <c r="CH71" s="390" t="s">
        <v>2359</v>
      </c>
      <c r="BNR71" s="390" t="s">
        <v>2361</v>
      </c>
      <c r="BNS71" s="390" t="s">
        <v>2361</v>
      </c>
      <c r="BNT71" s="390" t="s">
        <v>2361</v>
      </c>
      <c r="BNU71" s="390" t="s">
        <v>2361</v>
      </c>
      <c r="BNV71" s="390" t="s">
        <v>2361</v>
      </c>
      <c r="BNW71" s="390" t="s">
        <v>2361</v>
      </c>
      <c r="BNX71" s="390" t="s">
        <v>2372</v>
      </c>
      <c r="BNY71" s="390" t="s">
        <v>2372</v>
      </c>
      <c r="BNZ71" s="390" t="s">
        <v>2372</v>
      </c>
      <c r="BOA71" s="390" t="s">
        <v>2372</v>
      </c>
      <c r="BOB71" s="390" t="s">
        <v>2372</v>
      </c>
      <c r="BOC71" s="390" t="s">
        <v>2372</v>
      </c>
      <c r="BOD71" s="390" t="s">
        <v>2362</v>
      </c>
      <c r="BOE71" s="390" t="s">
        <v>2362</v>
      </c>
      <c r="BOF71" s="390" t="s">
        <v>2362</v>
      </c>
      <c r="BOG71" s="390" t="s">
        <v>2362</v>
      </c>
      <c r="BOH71" s="390" t="s">
        <v>2362</v>
      </c>
      <c r="BOI71" s="390" t="s">
        <v>2362</v>
      </c>
      <c r="BOJ71" s="390" t="s">
        <v>2036</v>
      </c>
      <c r="BOK71" s="390" t="s">
        <v>2036</v>
      </c>
      <c r="BOL71" s="390" t="s">
        <v>2036</v>
      </c>
      <c r="BOM71" s="390" t="s">
        <v>2036</v>
      </c>
      <c r="BON71" s="390" t="s">
        <v>2036</v>
      </c>
      <c r="BOO71" s="390" t="s">
        <v>2036</v>
      </c>
    </row>
    <row r="72" spans="1:92 1638:1757" s="390" customFormat="1" x14ac:dyDescent="0.25">
      <c r="A72" s="373">
        <v>5</v>
      </c>
      <c r="B72" s="373">
        <v>11</v>
      </c>
      <c r="C72" s="373">
        <v>12</v>
      </c>
      <c r="D72" s="373" t="s">
        <v>2374</v>
      </c>
      <c r="E72" s="373" t="s">
        <v>2435</v>
      </c>
      <c r="F72" s="373" t="s">
        <v>2435</v>
      </c>
      <c r="G72" s="373" t="s">
        <v>2393</v>
      </c>
      <c r="H72" s="373" t="s">
        <v>2435</v>
      </c>
      <c r="I72" s="373">
        <v>0</v>
      </c>
      <c r="J72" s="373">
        <v>3</v>
      </c>
      <c r="K72" s="373">
        <v>0</v>
      </c>
      <c r="L72" s="373">
        <v>5</v>
      </c>
      <c r="M72" s="366">
        <v>73</v>
      </c>
      <c r="N72" s="397" t="s">
        <v>864</v>
      </c>
      <c r="O72" s="374" t="s">
        <v>1519</v>
      </c>
      <c r="P72" s="374"/>
      <c r="Q72" s="391" t="s">
        <v>2233</v>
      </c>
      <c r="R72" s="386">
        <v>104694</v>
      </c>
      <c r="S72" s="387" t="s">
        <v>795</v>
      </c>
      <c r="T72" s="388">
        <v>8.9</v>
      </c>
      <c r="U72" s="389" t="s">
        <v>2234</v>
      </c>
      <c r="AH72" s="390" t="s">
        <v>2037</v>
      </c>
      <c r="AI72" s="390" t="s">
        <v>2037</v>
      </c>
      <c r="AJ72" s="390" t="s">
        <v>2037</v>
      </c>
      <c r="AK72" s="390" t="s">
        <v>2037</v>
      </c>
      <c r="AL72" s="390" t="s">
        <v>2370</v>
      </c>
      <c r="AM72" s="390" t="s">
        <v>2370</v>
      </c>
      <c r="AS72" s="390" t="s">
        <v>2033</v>
      </c>
      <c r="AT72" s="390" t="s">
        <v>2033</v>
      </c>
      <c r="AU72" s="390" t="s">
        <v>2033</v>
      </c>
      <c r="AV72" s="390" t="s">
        <v>2033</v>
      </c>
      <c r="AW72" s="390" t="s">
        <v>2033</v>
      </c>
      <c r="AX72" s="390" t="s">
        <v>2033</v>
      </c>
      <c r="AY72" s="390" t="s">
        <v>2033</v>
      </c>
      <c r="AZ72" s="390" t="s">
        <v>2033</v>
      </c>
      <c r="BA72" s="390" t="s">
        <v>2033</v>
      </c>
      <c r="BB72" s="390" t="s">
        <v>2033</v>
      </c>
      <c r="BC72" s="390" t="s">
        <v>2033</v>
      </c>
      <c r="BD72" s="390" t="s">
        <v>2033</v>
      </c>
      <c r="BE72" s="390" t="s">
        <v>2034</v>
      </c>
      <c r="BF72" s="390" t="s">
        <v>2034</v>
      </c>
      <c r="BG72" s="390" t="s">
        <v>2034</v>
      </c>
      <c r="BH72" s="390" t="s">
        <v>2034</v>
      </c>
      <c r="BI72" s="390" t="s">
        <v>2034</v>
      </c>
      <c r="BJ72" s="390" t="s">
        <v>2034</v>
      </c>
      <c r="BK72" s="390" t="s">
        <v>2034</v>
      </c>
      <c r="BL72" s="390" t="s">
        <v>2034</v>
      </c>
      <c r="BM72" s="390" t="s">
        <v>2034</v>
      </c>
      <c r="BN72" s="390" t="s">
        <v>2034</v>
      </c>
      <c r="BO72" s="390" t="s">
        <v>2034</v>
      </c>
      <c r="BP72" s="390" t="s">
        <v>2034</v>
      </c>
      <c r="BQ72" s="390" t="s">
        <v>2034</v>
      </c>
      <c r="BR72" s="390" t="s">
        <v>2034</v>
      </c>
      <c r="BS72" s="390" t="s">
        <v>2034</v>
      </c>
      <c r="BY72" s="390" t="s">
        <v>2372</v>
      </c>
      <c r="BZ72" s="390" t="s">
        <v>2372</v>
      </c>
      <c r="CA72" s="390" t="s">
        <v>2372</v>
      </c>
      <c r="CB72" s="390" t="s">
        <v>2036</v>
      </c>
      <c r="CC72" s="390" t="s">
        <v>2036</v>
      </c>
      <c r="CD72" s="390" t="s">
        <v>2036</v>
      </c>
      <c r="CE72" s="390" t="s">
        <v>2036</v>
      </c>
      <c r="CF72" s="390" t="s">
        <v>2036</v>
      </c>
      <c r="CG72" s="390" t="s">
        <v>2359</v>
      </c>
      <c r="CH72" s="390" t="s">
        <v>2359</v>
      </c>
      <c r="CI72" s="390" t="s">
        <v>2359</v>
      </c>
      <c r="CJ72" s="390" t="s">
        <v>2359</v>
      </c>
      <c r="CK72" s="390" t="s">
        <v>2359</v>
      </c>
      <c r="BNR72" s="390" t="s">
        <v>2361</v>
      </c>
      <c r="BNS72" s="390" t="s">
        <v>2361</v>
      </c>
      <c r="BNT72" s="390" t="s">
        <v>2361</v>
      </c>
      <c r="BNU72" s="390" t="s">
        <v>2361</v>
      </c>
      <c r="BNV72" s="390" t="s">
        <v>2361</v>
      </c>
      <c r="BNW72" s="390" t="s">
        <v>2361</v>
      </c>
      <c r="BNX72" s="390" t="s">
        <v>2372</v>
      </c>
      <c r="BNY72" s="390" t="s">
        <v>2372</v>
      </c>
      <c r="BNZ72" s="390" t="s">
        <v>2372</v>
      </c>
      <c r="BOA72" s="390" t="s">
        <v>2372</v>
      </c>
      <c r="BOB72" s="390" t="s">
        <v>2372</v>
      </c>
      <c r="BOC72" s="390" t="s">
        <v>2372</v>
      </c>
      <c r="BOD72" s="390" t="s">
        <v>2362</v>
      </c>
      <c r="BOE72" s="390" t="s">
        <v>2362</v>
      </c>
      <c r="BOF72" s="390" t="s">
        <v>2362</v>
      </c>
      <c r="BOG72" s="390" t="s">
        <v>2362</v>
      </c>
      <c r="BOH72" s="390" t="s">
        <v>2362</v>
      </c>
      <c r="BOI72" s="390" t="s">
        <v>2362</v>
      </c>
      <c r="BOJ72" s="390" t="s">
        <v>2036</v>
      </c>
      <c r="BOK72" s="390" t="s">
        <v>2036</v>
      </c>
      <c r="BOL72" s="390" t="s">
        <v>2036</v>
      </c>
      <c r="BOM72" s="390" t="s">
        <v>2036</v>
      </c>
      <c r="BON72" s="390" t="s">
        <v>2036</v>
      </c>
      <c r="BOO72" s="390" t="s">
        <v>2036</v>
      </c>
    </row>
    <row r="73" spans="1:92 1638:1757" s="390" customFormat="1" x14ac:dyDescent="0.25">
      <c r="A73" s="372">
        <v>4</v>
      </c>
      <c r="B73" s="372">
        <v>7</v>
      </c>
      <c r="C73" s="372">
        <v>8</v>
      </c>
      <c r="D73" s="372" t="s">
        <v>2399</v>
      </c>
      <c r="E73" s="372" t="s">
        <v>2435</v>
      </c>
      <c r="F73" s="372" t="s">
        <v>2435</v>
      </c>
      <c r="G73" s="372" t="s">
        <v>2435</v>
      </c>
      <c r="H73" s="372" t="s">
        <v>2435</v>
      </c>
      <c r="I73" s="372">
        <v>4</v>
      </c>
      <c r="J73" s="372">
        <v>0</v>
      </c>
      <c r="K73" s="372">
        <v>0</v>
      </c>
      <c r="L73" s="372">
        <v>0</v>
      </c>
      <c r="M73" s="359">
        <v>68</v>
      </c>
      <c r="N73" s="399" t="s">
        <v>907</v>
      </c>
      <c r="O73" s="237" t="s">
        <v>1515</v>
      </c>
      <c r="P73" s="237"/>
      <c r="Q73" s="360" t="s">
        <v>2245</v>
      </c>
      <c r="R73" s="361">
        <v>106675</v>
      </c>
      <c r="S73" s="368" t="s">
        <v>902</v>
      </c>
      <c r="T73" s="370">
        <v>10.4</v>
      </c>
      <c r="U73" s="364" t="s">
        <v>2246</v>
      </c>
      <c r="V73" s="309"/>
      <c r="W73" s="309"/>
      <c r="X73" s="309"/>
      <c r="Y73" s="309"/>
      <c r="Z73" s="309"/>
      <c r="AA73" s="309"/>
      <c r="AB73" s="309"/>
      <c r="AC73" s="309"/>
      <c r="AD73" s="309"/>
      <c r="AE73" s="309"/>
      <c r="AF73" s="309"/>
      <c r="AG73" s="309"/>
      <c r="AH73" s="309" t="s">
        <v>2370</v>
      </c>
      <c r="AI73" s="309" t="s">
        <v>2370</v>
      </c>
      <c r="AJ73" s="309" t="s">
        <v>2370</v>
      </c>
      <c r="AK73" s="309" t="s">
        <v>2370</v>
      </c>
      <c r="AL73" s="309"/>
      <c r="AM73" s="309"/>
      <c r="AN73" s="309"/>
      <c r="AO73" s="309"/>
      <c r="AP73" s="309"/>
      <c r="AQ73" s="309"/>
      <c r="AR73" s="309"/>
      <c r="AS73" s="309" t="s">
        <v>2033</v>
      </c>
      <c r="AT73" s="309" t="s">
        <v>2033</v>
      </c>
      <c r="AU73" s="309" t="s">
        <v>2033</v>
      </c>
      <c r="AV73" s="309" t="s">
        <v>2033</v>
      </c>
      <c r="AW73" s="309" t="s">
        <v>2033</v>
      </c>
      <c r="AX73" s="309" t="s">
        <v>2033</v>
      </c>
      <c r="AY73" s="309" t="s">
        <v>2033</v>
      </c>
      <c r="AZ73" s="309" t="s">
        <v>2033</v>
      </c>
      <c r="BA73" s="309" t="s">
        <v>2034</v>
      </c>
      <c r="BB73" s="309" t="s">
        <v>2034</v>
      </c>
      <c r="BC73" s="309" t="s">
        <v>2034</v>
      </c>
      <c r="BD73" s="309" t="s">
        <v>2034</v>
      </c>
      <c r="BE73" s="309" t="s">
        <v>2034</v>
      </c>
      <c r="BF73" s="309" t="s">
        <v>2034</v>
      </c>
      <c r="BG73" s="309" t="s">
        <v>2034</v>
      </c>
      <c r="BH73" s="309"/>
      <c r="BI73" s="309"/>
      <c r="BJ73" s="309"/>
      <c r="BK73" s="309"/>
      <c r="BL73" s="309"/>
      <c r="BM73" s="309"/>
      <c r="BN73" s="309"/>
      <c r="BO73" s="309"/>
      <c r="BP73" s="309"/>
      <c r="BQ73" s="309"/>
      <c r="BR73" s="309"/>
      <c r="BS73" s="309"/>
      <c r="BT73" s="309"/>
      <c r="BU73" s="309"/>
      <c r="BV73" s="309"/>
      <c r="BW73" s="309"/>
      <c r="BX73" s="309"/>
      <c r="BY73" s="309" t="s">
        <v>2361</v>
      </c>
      <c r="BZ73" s="309" t="s">
        <v>2361</v>
      </c>
      <c r="CA73" s="309" t="s">
        <v>2361</v>
      </c>
      <c r="CB73" s="309" t="s">
        <v>2361</v>
      </c>
      <c r="CC73" s="309" t="s">
        <v>2359</v>
      </c>
      <c r="CD73" s="309" t="s">
        <v>2359</v>
      </c>
      <c r="CE73" s="309" t="s">
        <v>2359</v>
      </c>
      <c r="CF73" s="309" t="s">
        <v>2359</v>
      </c>
      <c r="CG73" s="309"/>
      <c r="CH73" s="309"/>
      <c r="CI73" s="309"/>
      <c r="CJ73" s="309"/>
      <c r="CK73" s="309"/>
      <c r="CL73" s="309"/>
      <c r="CM73" s="309"/>
      <c r="CN73" s="309"/>
      <c r="BNR73" s="390" t="s">
        <v>2361</v>
      </c>
      <c r="BNS73" s="390" t="s">
        <v>2361</v>
      </c>
      <c r="BNT73" s="390" t="s">
        <v>2361</v>
      </c>
      <c r="BNU73" s="390" t="s">
        <v>2361</v>
      </c>
      <c r="BNV73" s="390" t="s">
        <v>2361</v>
      </c>
      <c r="BNW73" s="390" t="s">
        <v>2361</v>
      </c>
      <c r="BNX73" s="390" t="s">
        <v>2372</v>
      </c>
      <c r="BNY73" s="390" t="s">
        <v>2372</v>
      </c>
      <c r="BNZ73" s="390" t="s">
        <v>2372</v>
      </c>
      <c r="BOA73" s="390" t="s">
        <v>2372</v>
      </c>
      <c r="BOB73" s="390" t="s">
        <v>2372</v>
      </c>
      <c r="BOC73" s="390" t="s">
        <v>2372</v>
      </c>
      <c r="BOD73" s="390" t="s">
        <v>2362</v>
      </c>
      <c r="BOE73" s="390" t="s">
        <v>2362</v>
      </c>
      <c r="BOF73" s="390" t="s">
        <v>2362</v>
      </c>
      <c r="BOG73" s="390" t="s">
        <v>2362</v>
      </c>
      <c r="BOH73" s="390" t="s">
        <v>2362</v>
      </c>
      <c r="BOI73" s="390" t="s">
        <v>2362</v>
      </c>
      <c r="BOJ73" s="390" t="s">
        <v>2036</v>
      </c>
      <c r="BOK73" s="390" t="s">
        <v>2036</v>
      </c>
      <c r="BOL73" s="390" t="s">
        <v>2036</v>
      </c>
      <c r="BOM73" s="390" t="s">
        <v>2036</v>
      </c>
      <c r="BON73" s="390" t="s">
        <v>2036</v>
      </c>
      <c r="BOO73" s="390" t="s">
        <v>2036</v>
      </c>
    </row>
    <row r="74" spans="1:92 1638:1757" x14ac:dyDescent="0.25">
      <c r="A74" s="373">
        <v>5</v>
      </c>
      <c r="B74" s="373">
        <v>11</v>
      </c>
      <c r="C74" s="373">
        <v>12</v>
      </c>
      <c r="D74" s="373" t="s">
        <v>2374</v>
      </c>
      <c r="E74" s="373" t="s">
        <v>2435</v>
      </c>
      <c r="F74" s="373" t="s">
        <v>2435</v>
      </c>
      <c r="G74" s="373" t="s">
        <v>2394</v>
      </c>
      <c r="H74" s="373" t="s">
        <v>2435</v>
      </c>
      <c r="I74" s="373">
        <v>0</v>
      </c>
      <c r="J74" s="373">
        <v>3</v>
      </c>
      <c r="K74" s="373">
        <v>0</v>
      </c>
      <c r="L74" s="373">
        <v>5</v>
      </c>
      <c r="M74" s="366">
        <v>89</v>
      </c>
      <c r="N74" s="397" t="s">
        <v>867</v>
      </c>
      <c r="O74" s="374" t="s">
        <v>1519</v>
      </c>
      <c r="P74" s="374"/>
      <c r="Q74" s="391" t="s">
        <v>2235</v>
      </c>
      <c r="R74" s="386">
        <v>108232</v>
      </c>
      <c r="S74" s="387" t="s">
        <v>795</v>
      </c>
      <c r="T74" s="388">
        <v>8.9</v>
      </c>
      <c r="U74" s="389" t="s">
        <v>2236</v>
      </c>
      <c r="V74" s="390"/>
      <c r="W74" s="390"/>
      <c r="X74" s="390"/>
      <c r="Y74" s="390"/>
      <c r="Z74" s="390"/>
      <c r="AA74" s="390"/>
      <c r="AB74" s="390"/>
      <c r="AC74" s="390"/>
      <c r="AD74" s="390"/>
      <c r="AE74" s="390"/>
      <c r="AF74" s="390"/>
      <c r="AG74" s="390"/>
      <c r="AH74" s="390" t="s">
        <v>2037</v>
      </c>
      <c r="AI74" s="390" t="s">
        <v>2037</v>
      </c>
      <c r="AJ74" s="390" t="s">
        <v>2037</v>
      </c>
      <c r="AK74" s="390" t="s">
        <v>2037</v>
      </c>
      <c r="AL74" s="390" t="s">
        <v>2370</v>
      </c>
      <c r="AM74" s="390" t="s">
        <v>2370</v>
      </c>
      <c r="AN74" s="390"/>
      <c r="AO74" s="390"/>
      <c r="AP74" s="390"/>
      <c r="AQ74" s="390"/>
      <c r="AR74" s="390"/>
      <c r="AS74" s="390" t="s">
        <v>2033</v>
      </c>
      <c r="AT74" s="390" t="s">
        <v>2033</v>
      </c>
      <c r="AU74" s="390" t="s">
        <v>2033</v>
      </c>
      <c r="AV74" s="390" t="s">
        <v>2033</v>
      </c>
      <c r="AW74" s="390" t="s">
        <v>2033</v>
      </c>
      <c r="AX74" s="390" t="s">
        <v>2033</v>
      </c>
      <c r="AY74" s="390" t="s">
        <v>2033</v>
      </c>
      <c r="AZ74" s="390" t="s">
        <v>2033</v>
      </c>
      <c r="BA74" s="390" t="s">
        <v>2033</v>
      </c>
      <c r="BB74" s="390" t="s">
        <v>2033</v>
      </c>
      <c r="BC74" s="390" t="s">
        <v>2033</v>
      </c>
      <c r="BD74" s="390" t="s">
        <v>2033</v>
      </c>
      <c r="BE74" s="390" t="s">
        <v>2034</v>
      </c>
      <c r="BF74" s="390" t="s">
        <v>2034</v>
      </c>
      <c r="BG74" s="390" t="s">
        <v>2034</v>
      </c>
      <c r="BH74" s="390" t="s">
        <v>2034</v>
      </c>
      <c r="BI74" s="390" t="s">
        <v>2034</v>
      </c>
      <c r="BJ74" s="390" t="s">
        <v>2034</v>
      </c>
      <c r="BK74" s="390" t="s">
        <v>2034</v>
      </c>
      <c r="BL74" s="390" t="s">
        <v>2034</v>
      </c>
      <c r="BM74" s="390" t="s">
        <v>2034</v>
      </c>
      <c r="BN74" s="390" t="s">
        <v>2034</v>
      </c>
      <c r="BO74" s="390" t="s">
        <v>2034</v>
      </c>
      <c r="BP74" s="390" t="s">
        <v>2034</v>
      </c>
      <c r="BQ74" s="390" t="s">
        <v>2034</v>
      </c>
      <c r="BR74" s="390" t="s">
        <v>2034</v>
      </c>
      <c r="BS74" s="390" t="s">
        <v>2034</v>
      </c>
      <c r="BT74" s="390"/>
      <c r="BU74" s="390"/>
      <c r="BV74" s="390"/>
      <c r="BW74" s="390"/>
      <c r="BX74" s="390"/>
      <c r="BY74" s="390" t="s">
        <v>2372</v>
      </c>
      <c r="BZ74" s="390" t="s">
        <v>2372</v>
      </c>
      <c r="CA74" s="390" t="s">
        <v>2372</v>
      </c>
      <c r="CB74" s="390" t="s">
        <v>2036</v>
      </c>
      <c r="CC74" s="390" t="s">
        <v>2036</v>
      </c>
      <c r="CD74" s="390" t="s">
        <v>2036</v>
      </c>
      <c r="CE74" s="390" t="s">
        <v>2036</v>
      </c>
      <c r="CF74" s="390" t="s">
        <v>2036</v>
      </c>
      <c r="CG74" s="390" t="s">
        <v>2359</v>
      </c>
      <c r="CH74" s="390" t="s">
        <v>2359</v>
      </c>
      <c r="CI74" s="390" t="s">
        <v>2359</v>
      </c>
      <c r="CJ74" s="390" t="s">
        <v>2359</v>
      </c>
      <c r="CK74" s="390" t="s">
        <v>2359</v>
      </c>
      <c r="CL74" s="390"/>
      <c r="CM74" s="390"/>
      <c r="CN74" s="390"/>
    </row>
    <row r="75" spans="1:92 1638:1757" x14ac:dyDescent="0.25">
      <c r="A75" s="372">
        <v>4</v>
      </c>
      <c r="B75" s="372">
        <v>7</v>
      </c>
      <c r="C75" s="372">
        <v>8</v>
      </c>
      <c r="D75" s="372" t="s">
        <v>2400</v>
      </c>
      <c r="E75" s="372" t="s">
        <v>2435</v>
      </c>
      <c r="F75" s="372" t="s">
        <v>2435</v>
      </c>
      <c r="G75" s="372" t="s">
        <v>2435</v>
      </c>
      <c r="H75" s="372" t="s">
        <v>2435</v>
      </c>
      <c r="I75" s="372">
        <v>4</v>
      </c>
      <c r="J75" s="372">
        <v>0</v>
      </c>
      <c r="K75" s="372">
        <v>0</v>
      </c>
      <c r="L75" s="372">
        <v>0</v>
      </c>
      <c r="M75" s="359">
        <v>92</v>
      </c>
      <c r="N75" s="399" t="s">
        <v>910</v>
      </c>
      <c r="O75" s="237" t="s">
        <v>1515</v>
      </c>
      <c r="P75" s="237"/>
      <c r="Q75" s="360" t="s">
        <v>2247</v>
      </c>
      <c r="R75" s="361">
        <v>109721</v>
      </c>
      <c r="S75" s="368" t="s">
        <v>902</v>
      </c>
      <c r="T75" s="370">
        <v>10.4</v>
      </c>
      <c r="U75" s="364" t="s">
        <v>2248</v>
      </c>
      <c r="AH75" s="309" t="s">
        <v>2370</v>
      </c>
      <c r="AI75" s="309" t="s">
        <v>2370</v>
      </c>
      <c r="AJ75" s="309" t="s">
        <v>2370</v>
      </c>
      <c r="AK75" s="309" t="s">
        <v>2370</v>
      </c>
      <c r="AS75" s="309" t="s">
        <v>2033</v>
      </c>
      <c r="AT75" s="309" t="s">
        <v>2033</v>
      </c>
      <c r="AU75" s="309" t="s">
        <v>2033</v>
      </c>
      <c r="AV75" s="309" t="s">
        <v>2033</v>
      </c>
      <c r="AW75" s="309" t="s">
        <v>2033</v>
      </c>
      <c r="AX75" s="309" t="s">
        <v>2033</v>
      </c>
      <c r="AY75" s="309" t="s">
        <v>2033</v>
      </c>
      <c r="AZ75" s="309" t="s">
        <v>2033</v>
      </c>
      <c r="BA75" s="309" t="s">
        <v>2034</v>
      </c>
      <c r="BB75" s="309" t="s">
        <v>2034</v>
      </c>
      <c r="BC75" s="309" t="s">
        <v>2034</v>
      </c>
      <c r="BD75" s="309" t="s">
        <v>2034</v>
      </c>
      <c r="BE75" s="309" t="s">
        <v>2034</v>
      </c>
      <c r="BF75" s="309" t="s">
        <v>2034</v>
      </c>
      <c r="BG75" s="309" t="s">
        <v>2034</v>
      </c>
      <c r="BY75" s="309" t="s">
        <v>2361</v>
      </c>
      <c r="BZ75" s="309" t="s">
        <v>2361</v>
      </c>
      <c r="CA75" s="309" t="s">
        <v>2361</v>
      </c>
      <c r="CB75" s="309" t="s">
        <v>2361</v>
      </c>
      <c r="CC75" s="309" t="s">
        <v>2359</v>
      </c>
      <c r="CD75" s="309" t="s">
        <v>2359</v>
      </c>
      <c r="CE75" s="309" t="s">
        <v>2359</v>
      </c>
      <c r="CF75" s="309" t="s">
        <v>2359</v>
      </c>
    </row>
    <row r="76" spans="1:92 1638:1757" x14ac:dyDescent="0.25">
      <c r="A76" s="372">
        <v>5</v>
      </c>
      <c r="B76" s="372">
        <v>11</v>
      </c>
      <c r="C76" s="372">
        <v>12</v>
      </c>
      <c r="D76" s="372" t="s">
        <v>2374</v>
      </c>
      <c r="E76" s="372" t="s">
        <v>2435</v>
      </c>
      <c r="F76" s="372" t="s">
        <v>2435</v>
      </c>
      <c r="G76" s="372" t="s">
        <v>2395</v>
      </c>
      <c r="H76" s="372" t="s">
        <v>2435</v>
      </c>
      <c r="I76" s="372">
        <v>0</v>
      </c>
      <c r="J76" s="372">
        <v>3</v>
      </c>
      <c r="K76" s="372">
        <v>0</v>
      </c>
      <c r="L76" s="372">
        <v>5</v>
      </c>
      <c r="M76" s="359">
        <v>109</v>
      </c>
      <c r="N76" s="399" t="s">
        <v>870</v>
      </c>
      <c r="O76" s="237" t="s">
        <v>1519</v>
      </c>
      <c r="P76" s="237"/>
      <c r="Q76" s="360" t="s">
        <v>2237</v>
      </c>
      <c r="R76" s="361">
        <v>110144</v>
      </c>
      <c r="S76" s="368" t="s">
        <v>795</v>
      </c>
      <c r="T76" s="363">
        <v>9.1</v>
      </c>
      <c r="U76" s="364" t="s">
        <v>2238</v>
      </c>
      <c r="AH76" s="309" t="s">
        <v>2037</v>
      </c>
      <c r="AI76" s="309" t="s">
        <v>2037</v>
      </c>
      <c r="AJ76" s="309" t="s">
        <v>2037</v>
      </c>
      <c r="AK76" s="309" t="s">
        <v>2037</v>
      </c>
      <c r="AL76" s="309" t="s">
        <v>2370</v>
      </c>
      <c r="AS76" s="309" t="s">
        <v>2033</v>
      </c>
      <c r="AT76" s="309" t="s">
        <v>2033</v>
      </c>
      <c r="AU76" s="309" t="s">
        <v>2033</v>
      </c>
      <c r="AV76" s="309" t="s">
        <v>2033</v>
      </c>
      <c r="AW76" s="309" t="s">
        <v>2033</v>
      </c>
      <c r="AX76" s="309" t="s">
        <v>2033</v>
      </c>
      <c r="AY76" s="309" t="s">
        <v>2033</v>
      </c>
      <c r="AZ76" s="309" t="s">
        <v>2033</v>
      </c>
      <c r="BA76" s="309" t="s">
        <v>2033</v>
      </c>
      <c r="BB76" s="309" t="s">
        <v>2033</v>
      </c>
      <c r="BC76" s="309" t="s">
        <v>2033</v>
      </c>
      <c r="BD76" s="309" t="s">
        <v>2033</v>
      </c>
      <c r="BE76" s="309" t="s">
        <v>2034</v>
      </c>
      <c r="BF76" s="309" t="s">
        <v>2034</v>
      </c>
      <c r="BG76" s="309" t="s">
        <v>2034</v>
      </c>
      <c r="BH76" s="309" t="s">
        <v>2034</v>
      </c>
      <c r="BI76" s="309" t="s">
        <v>2034</v>
      </c>
      <c r="BJ76" s="309" t="s">
        <v>2034</v>
      </c>
      <c r="BK76" s="309" t="s">
        <v>2034</v>
      </c>
      <c r="BL76" s="309" t="s">
        <v>2034</v>
      </c>
      <c r="BM76" s="309" t="s">
        <v>2034</v>
      </c>
      <c r="BN76" s="309" t="s">
        <v>2034</v>
      </c>
      <c r="BO76" s="309" t="s">
        <v>2034</v>
      </c>
      <c r="BY76" s="309" t="s">
        <v>2372</v>
      </c>
      <c r="BZ76" s="309" t="s">
        <v>2372</v>
      </c>
      <c r="CA76" s="309" t="s">
        <v>2372</v>
      </c>
      <c r="CB76" s="309" t="s">
        <v>2036</v>
      </c>
      <c r="CC76" s="309" t="s">
        <v>2036</v>
      </c>
      <c r="CD76" s="309" t="s">
        <v>2036</v>
      </c>
      <c r="CE76" s="309" t="s">
        <v>2036</v>
      </c>
      <c r="CF76" s="309" t="s">
        <v>2036</v>
      </c>
      <c r="CG76" s="309" t="s">
        <v>2359</v>
      </c>
      <c r="CH76" s="309" t="s">
        <v>2359</v>
      </c>
      <c r="CI76" s="309" t="s">
        <v>2359</v>
      </c>
      <c r="CJ76" s="309" t="s">
        <v>2359</v>
      </c>
      <c r="CK76" s="309" t="s">
        <v>2359</v>
      </c>
    </row>
    <row r="77" spans="1:92 1638:1757" x14ac:dyDescent="0.25">
      <c r="A77" s="372">
        <v>4</v>
      </c>
      <c r="B77" s="372">
        <v>7</v>
      </c>
      <c r="C77" s="372">
        <v>8</v>
      </c>
      <c r="D77" s="372" t="s">
        <v>2374</v>
      </c>
      <c r="E77" s="372" t="s">
        <v>2435</v>
      </c>
      <c r="F77" s="372" t="s">
        <v>2435</v>
      </c>
      <c r="G77" s="372" t="s">
        <v>2391</v>
      </c>
      <c r="H77" s="372" t="s">
        <v>2435</v>
      </c>
      <c r="I77" s="372">
        <v>0</v>
      </c>
      <c r="J77" s="372">
        <v>2</v>
      </c>
      <c r="K77" s="372">
        <v>0</v>
      </c>
      <c r="L77" s="372">
        <v>4</v>
      </c>
      <c r="M77" s="359">
        <v>57</v>
      </c>
      <c r="N77" s="399" t="s">
        <v>925</v>
      </c>
      <c r="O77" s="237" t="s">
        <v>1515</v>
      </c>
      <c r="P77" s="237"/>
      <c r="Q77" s="360" t="s">
        <v>2257</v>
      </c>
      <c r="R77" s="361">
        <v>110189</v>
      </c>
      <c r="S77" s="369" t="s">
        <v>578</v>
      </c>
      <c r="T77" s="380">
        <v>41</v>
      </c>
      <c r="U77" s="364" t="s">
        <v>2258</v>
      </c>
      <c r="AH77" s="309" t="s">
        <v>2037</v>
      </c>
      <c r="AI77" s="309" t="s">
        <v>2037</v>
      </c>
      <c r="AJ77" s="309" t="s">
        <v>2037</v>
      </c>
      <c r="AK77" s="309" t="s">
        <v>2370</v>
      </c>
      <c r="AS77" s="309" t="s">
        <v>2033</v>
      </c>
      <c r="AT77" s="309" t="s">
        <v>2033</v>
      </c>
      <c r="AU77" s="309" t="s">
        <v>2033</v>
      </c>
      <c r="AV77" s="309" t="s">
        <v>2033</v>
      </c>
      <c r="AW77" s="309" t="s">
        <v>2033</v>
      </c>
      <c r="AX77" s="309" t="s">
        <v>2033</v>
      </c>
      <c r="AY77" s="309" t="s">
        <v>2033</v>
      </c>
      <c r="AZ77" s="309" t="s">
        <v>2033</v>
      </c>
      <c r="BA77" s="309" t="s">
        <v>2034</v>
      </c>
      <c r="BB77" s="309" t="s">
        <v>2034</v>
      </c>
      <c r="BC77" s="309" t="s">
        <v>2034</v>
      </c>
      <c r="BD77" s="309" t="s">
        <v>2034</v>
      </c>
      <c r="BE77" s="309" t="s">
        <v>2034</v>
      </c>
      <c r="BF77" s="309" t="s">
        <v>2034</v>
      </c>
      <c r="BG77" s="309" t="s">
        <v>2034</v>
      </c>
      <c r="BY77" s="309" t="s">
        <v>2372</v>
      </c>
      <c r="BZ77" s="309" t="s">
        <v>2372</v>
      </c>
      <c r="CA77" s="309" t="s">
        <v>2036</v>
      </c>
      <c r="CB77" s="309" t="s">
        <v>2036</v>
      </c>
      <c r="CC77" s="309" t="s">
        <v>2036</v>
      </c>
      <c r="CD77" s="309" t="s">
        <v>2036</v>
      </c>
      <c r="CE77" s="309" t="s">
        <v>2359</v>
      </c>
      <c r="CF77" s="309" t="s">
        <v>2359</v>
      </c>
      <c r="CG77" s="309" t="s">
        <v>2359</v>
      </c>
      <c r="CH77" s="309" t="s">
        <v>2359</v>
      </c>
    </row>
    <row r="78" spans="1:92 1638:1757" x14ac:dyDescent="0.25">
      <c r="A78" s="373">
        <v>5</v>
      </c>
      <c r="B78" s="373">
        <v>11</v>
      </c>
      <c r="C78" s="373">
        <v>12</v>
      </c>
      <c r="D78" s="373" t="s">
        <v>2774</v>
      </c>
      <c r="E78" s="373" t="s">
        <v>2435</v>
      </c>
      <c r="F78" s="373" t="s">
        <v>2435</v>
      </c>
      <c r="G78" s="373" t="s">
        <v>2393</v>
      </c>
      <c r="H78" s="373" t="s">
        <v>2435</v>
      </c>
      <c r="I78" s="373">
        <v>0</v>
      </c>
      <c r="J78" s="373">
        <v>3</v>
      </c>
      <c r="K78" s="373">
        <v>0</v>
      </c>
      <c r="L78" s="373">
        <v>5</v>
      </c>
      <c r="M78" s="366">
        <v>90</v>
      </c>
      <c r="N78" s="398" t="s">
        <v>876</v>
      </c>
      <c r="O78" s="237" t="s">
        <v>1519</v>
      </c>
      <c r="P78" s="374"/>
      <c r="Q78" s="375" t="s">
        <v>877</v>
      </c>
      <c r="R78" s="396">
        <v>112785</v>
      </c>
      <c r="S78" s="377" t="s">
        <v>795</v>
      </c>
      <c r="T78" s="378">
        <v>8.6999999999999993</v>
      </c>
      <c r="U78" s="379" t="s">
        <v>878</v>
      </c>
      <c r="AH78" s="309" t="s">
        <v>2037</v>
      </c>
      <c r="AI78" s="309" t="s">
        <v>2037</v>
      </c>
      <c r="AJ78" s="309" t="s">
        <v>2037</v>
      </c>
      <c r="AK78" s="309" t="s">
        <v>2037</v>
      </c>
      <c r="AL78" s="309" t="s">
        <v>2370</v>
      </c>
      <c r="AM78" s="309" t="s">
        <v>2370</v>
      </c>
      <c r="AS78" s="309" t="s">
        <v>2033</v>
      </c>
      <c r="AT78" s="309" t="s">
        <v>2033</v>
      </c>
      <c r="AU78" s="309" t="s">
        <v>2033</v>
      </c>
      <c r="AV78" s="309" t="s">
        <v>2033</v>
      </c>
      <c r="AW78" s="309" t="s">
        <v>2033</v>
      </c>
      <c r="AX78" s="309" t="s">
        <v>2033</v>
      </c>
      <c r="AY78" s="309" t="s">
        <v>2033</v>
      </c>
      <c r="AZ78" s="309" t="s">
        <v>2033</v>
      </c>
      <c r="BA78" s="309" t="s">
        <v>2033</v>
      </c>
      <c r="BB78" s="309" t="s">
        <v>2033</v>
      </c>
      <c r="BC78" s="309" t="s">
        <v>2033</v>
      </c>
      <c r="BD78" s="309" t="s">
        <v>2033</v>
      </c>
      <c r="BE78" s="309" t="s">
        <v>2034</v>
      </c>
      <c r="BF78" s="309" t="s">
        <v>2034</v>
      </c>
      <c r="BG78" s="309" t="s">
        <v>2034</v>
      </c>
      <c r="BH78" s="309" t="s">
        <v>2034</v>
      </c>
      <c r="BI78" s="309" t="s">
        <v>2034</v>
      </c>
      <c r="BJ78" s="309" t="s">
        <v>2034</v>
      </c>
      <c r="BK78" s="309" t="s">
        <v>2034</v>
      </c>
      <c r="BL78" s="309" t="s">
        <v>2034</v>
      </c>
      <c r="BM78" s="309" t="s">
        <v>2034</v>
      </c>
      <c r="BN78" s="309" t="s">
        <v>2034</v>
      </c>
      <c r="BO78" s="309" t="s">
        <v>2034</v>
      </c>
      <c r="BY78" s="309" t="s">
        <v>2372</v>
      </c>
      <c r="BZ78" s="309" t="s">
        <v>2372</v>
      </c>
      <c r="CA78" s="309" t="s">
        <v>2372</v>
      </c>
      <c r="CB78" s="309" t="s">
        <v>2036</v>
      </c>
      <c r="CC78" s="309" t="s">
        <v>2036</v>
      </c>
      <c r="CD78" s="309" t="s">
        <v>2036</v>
      </c>
      <c r="CE78" s="309" t="s">
        <v>2036</v>
      </c>
      <c r="CF78" s="309" t="s">
        <v>2036</v>
      </c>
      <c r="CG78" s="309" t="s">
        <v>2359</v>
      </c>
      <c r="CH78" s="309" t="s">
        <v>2359</v>
      </c>
      <c r="CI78" s="309" t="s">
        <v>2359</v>
      </c>
      <c r="CJ78" s="309" t="s">
        <v>2359</v>
      </c>
      <c r="CK78" s="309" t="s">
        <v>2359</v>
      </c>
    </row>
    <row r="79" spans="1:92 1638:1757" x14ac:dyDescent="0.25">
      <c r="A79" s="372">
        <v>4</v>
      </c>
      <c r="B79" s="372">
        <v>7</v>
      </c>
      <c r="C79" s="372">
        <v>8</v>
      </c>
      <c r="D79" s="372" t="s">
        <v>2374</v>
      </c>
      <c r="E79" s="372" t="s">
        <v>2435</v>
      </c>
      <c r="F79" s="372" t="s">
        <v>2435</v>
      </c>
      <c r="G79" s="372" t="s">
        <v>2392</v>
      </c>
      <c r="H79" s="372" t="s">
        <v>2435</v>
      </c>
      <c r="I79" s="372">
        <v>0</v>
      </c>
      <c r="J79" s="372">
        <v>2</v>
      </c>
      <c r="K79" s="372">
        <v>0</v>
      </c>
      <c r="L79" s="372">
        <v>4</v>
      </c>
      <c r="M79" s="359">
        <v>69</v>
      </c>
      <c r="N79" s="399" t="s">
        <v>928</v>
      </c>
      <c r="O79" s="237" t="s">
        <v>1515</v>
      </c>
      <c r="P79" s="237"/>
      <c r="Q79" s="360" t="s">
        <v>2259</v>
      </c>
      <c r="R79" s="361">
        <v>113677</v>
      </c>
      <c r="S79" s="369" t="s">
        <v>578</v>
      </c>
      <c r="T79" s="380">
        <v>41</v>
      </c>
      <c r="U79" s="364" t="s">
        <v>2260</v>
      </c>
      <c r="AH79" s="309" t="s">
        <v>2037</v>
      </c>
      <c r="AI79" s="309" t="s">
        <v>2037</v>
      </c>
      <c r="AJ79" s="309" t="s">
        <v>2037</v>
      </c>
      <c r="AK79" s="309" t="s">
        <v>2370</v>
      </c>
      <c r="AS79" s="309" t="s">
        <v>2033</v>
      </c>
      <c r="AT79" s="309" t="s">
        <v>2033</v>
      </c>
      <c r="AU79" s="309" t="s">
        <v>2033</v>
      </c>
      <c r="AV79" s="309" t="s">
        <v>2033</v>
      </c>
      <c r="AW79" s="309" t="s">
        <v>2033</v>
      </c>
      <c r="AX79" s="309" t="s">
        <v>2033</v>
      </c>
      <c r="AY79" s="309" t="s">
        <v>2033</v>
      </c>
      <c r="AZ79" s="309" t="s">
        <v>2033</v>
      </c>
      <c r="BA79" s="309" t="s">
        <v>2034</v>
      </c>
      <c r="BB79" s="309" t="s">
        <v>2034</v>
      </c>
      <c r="BC79" s="309" t="s">
        <v>2034</v>
      </c>
      <c r="BD79" s="309" t="s">
        <v>2034</v>
      </c>
      <c r="BE79" s="309" t="s">
        <v>2034</v>
      </c>
      <c r="BF79" s="309" t="s">
        <v>2034</v>
      </c>
      <c r="BG79" s="309" t="s">
        <v>2034</v>
      </c>
      <c r="BY79" s="309" t="s">
        <v>2372</v>
      </c>
      <c r="BZ79" s="309" t="s">
        <v>2372</v>
      </c>
      <c r="CA79" s="309" t="s">
        <v>2036</v>
      </c>
      <c r="CB79" s="309" t="s">
        <v>2036</v>
      </c>
      <c r="CC79" s="309" t="s">
        <v>2036</v>
      </c>
      <c r="CD79" s="309" t="s">
        <v>2036</v>
      </c>
      <c r="CE79" s="309" t="s">
        <v>2359</v>
      </c>
      <c r="CF79" s="309" t="s">
        <v>2359</v>
      </c>
      <c r="CG79" s="309" t="s">
        <v>2359</v>
      </c>
      <c r="CH79" s="309" t="s">
        <v>2359</v>
      </c>
    </row>
    <row r="80" spans="1:92 1638:1757" x14ac:dyDescent="0.25">
      <c r="A80" s="373">
        <v>4</v>
      </c>
      <c r="B80" s="373">
        <v>7</v>
      </c>
      <c r="C80" s="373">
        <v>8</v>
      </c>
      <c r="D80" s="373" t="s">
        <v>2774</v>
      </c>
      <c r="E80" s="373" t="s">
        <v>2435</v>
      </c>
      <c r="F80" s="373" t="s">
        <v>2435</v>
      </c>
      <c r="G80" s="373" t="s">
        <v>2391</v>
      </c>
      <c r="H80" s="373" t="s">
        <v>2435</v>
      </c>
      <c r="I80" s="373">
        <v>0</v>
      </c>
      <c r="J80" s="373">
        <v>2</v>
      </c>
      <c r="K80" s="373">
        <v>0</v>
      </c>
      <c r="L80" s="373">
        <v>4</v>
      </c>
      <c r="M80" s="366">
        <v>74</v>
      </c>
      <c r="N80" s="398" t="s">
        <v>946</v>
      </c>
      <c r="O80" s="237" t="s">
        <v>2776</v>
      </c>
      <c r="P80" s="374"/>
      <c r="Q80" s="375" t="s">
        <v>947</v>
      </c>
      <c r="R80" s="396">
        <v>113949</v>
      </c>
      <c r="S80" s="381" t="s">
        <v>578</v>
      </c>
      <c r="T80" s="382">
        <v>41</v>
      </c>
      <c r="U80" s="379" t="s">
        <v>948</v>
      </c>
      <c r="AH80" s="309" t="s">
        <v>2037</v>
      </c>
      <c r="AI80" s="309" t="s">
        <v>2037</v>
      </c>
      <c r="AJ80" s="309" t="s">
        <v>2037</v>
      </c>
      <c r="AK80" s="309" t="s">
        <v>2370</v>
      </c>
      <c r="AL80" s="309" t="s">
        <v>2370</v>
      </c>
      <c r="AS80" s="309" t="s">
        <v>2033</v>
      </c>
      <c r="AT80" s="309" t="s">
        <v>2033</v>
      </c>
      <c r="AU80" s="309" t="s">
        <v>2033</v>
      </c>
      <c r="AV80" s="309" t="s">
        <v>2033</v>
      </c>
      <c r="AW80" s="309" t="s">
        <v>2033</v>
      </c>
      <c r="AX80" s="309" t="s">
        <v>2033</v>
      </c>
      <c r="AY80" s="309" t="s">
        <v>2033</v>
      </c>
      <c r="AZ80" s="309" t="s">
        <v>2033</v>
      </c>
      <c r="BA80" s="309" t="s">
        <v>2034</v>
      </c>
      <c r="BB80" s="309" t="s">
        <v>2034</v>
      </c>
      <c r="BC80" s="309" t="s">
        <v>2034</v>
      </c>
      <c r="BD80" s="309" t="s">
        <v>2034</v>
      </c>
      <c r="BE80" s="309" t="s">
        <v>2034</v>
      </c>
      <c r="BF80" s="309" t="s">
        <v>2034</v>
      </c>
      <c r="BG80" s="309" t="s">
        <v>2034</v>
      </c>
      <c r="BY80" s="309" t="s">
        <v>2372</v>
      </c>
      <c r="BZ80" s="309" t="s">
        <v>2372</v>
      </c>
      <c r="CA80" s="309" t="s">
        <v>2036</v>
      </c>
      <c r="CB80" s="309" t="s">
        <v>2036</v>
      </c>
      <c r="CC80" s="309" t="s">
        <v>2036</v>
      </c>
      <c r="CD80" s="309" t="s">
        <v>2036</v>
      </c>
      <c r="CE80" s="309" t="s">
        <v>2359</v>
      </c>
      <c r="CF80" s="309" t="s">
        <v>2359</v>
      </c>
      <c r="CG80" s="309" t="s">
        <v>2359</v>
      </c>
      <c r="CH80" s="309" t="s">
        <v>2359</v>
      </c>
    </row>
    <row r="81" spans="1:89" x14ac:dyDescent="0.25">
      <c r="A81" s="372">
        <v>5</v>
      </c>
      <c r="B81" s="372">
        <v>11</v>
      </c>
      <c r="C81" s="372">
        <v>12</v>
      </c>
      <c r="D81" s="372" t="s">
        <v>2374</v>
      </c>
      <c r="E81" s="372" t="s">
        <v>2435</v>
      </c>
      <c r="F81" s="372" t="s">
        <v>2435</v>
      </c>
      <c r="G81" s="372" t="s">
        <v>2396</v>
      </c>
      <c r="H81" s="372" t="s">
        <v>2435</v>
      </c>
      <c r="I81" s="372">
        <v>0</v>
      </c>
      <c r="J81" s="372">
        <v>3</v>
      </c>
      <c r="K81" s="372">
        <v>0</v>
      </c>
      <c r="L81" s="372">
        <v>5</v>
      </c>
      <c r="M81" s="359">
        <v>137</v>
      </c>
      <c r="N81" s="399" t="s">
        <v>873</v>
      </c>
      <c r="O81" s="237" t="s">
        <v>1519</v>
      </c>
      <c r="P81" s="237"/>
      <c r="Q81" s="360" t="s">
        <v>2239</v>
      </c>
      <c r="R81" s="361">
        <v>115266</v>
      </c>
      <c r="S81" s="368" t="s">
        <v>795</v>
      </c>
      <c r="T81" s="363">
        <v>9.1</v>
      </c>
      <c r="U81" s="364" t="s">
        <v>2240</v>
      </c>
      <c r="AH81" s="309" t="s">
        <v>2037</v>
      </c>
      <c r="AI81" s="309" t="s">
        <v>2037</v>
      </c>
      <c r="AJ81" s="309" t="s">
        <v>2037</v>
      </c>
      <c r="AK81" s="309" t="s">
        <v>2037</v>
      </c>
      <c r="AL81" s="309" t="s">
        <v>2370</v>
      </c>
      <c r="AS81" s="309" t="s">
        <v>2033</v>
      </c>
      <c r="AT81" s="309" t="s">
        <v>2033</v>
      </c>
      <c r="AU81" s="309" t="s">
        <v>2033</v>
      </c>
      <c r="AV81" s="309" t="s">
        <v>2033</v>
      </c>
      <c r="AW81" s="309" t="s">
        <v>2033</v>
      </c>
      <c r="AX81" s="309" t="s">
        <v>2033</v>
      </c>
      <c r="AY81" s="309" t="s">
        <v>2033</v>
      </c>
      <c r="AZ81" s="309" t="s">
        <v>2033</v>
      </c>
      <c r="BA81" s="309" t="s">
        <v>2033</v>
      </c>
      <c r="BB81" s="309" t="s">
        <v>2033</v>
      </c>
      <c r="BC81" s="309" t="s">
        <v>2033</v>
      </c>
      <c r="BD81" s="309" t="s">
        <v>2033</v>
      </c>
      <c r="BE81" s="309" t="s">
        <v>2034</v>
      </c>
      <c r="BF81" s="309" t="s">
        <v>2034</v>
      </c>
      <c r="BG81" s="309" t="s">
        <v>2034</v>
      </c>
      <c r="BH81" s="309" t="s">
        <v>2034</v>
      </c>
      <c r="BI81" s="309" t="s">
        <v>2034</v>
      </c>
      <c r="BJ81" s="309" t="s">
        <v>2034</v>
      </c>
      <c r="BK81" s="309" t="s">
        <v>2034</v>
      </c>
      <c r="BL81" s="309" t="s">
        <v>2034</v>
      </c>
      <c r="BM81" s="309" t="s">
        <v>2034</v>
      </c>
      <c r="BN81" s="309" t="s">
        <v>2034</v>
      </c>
      <c r="BO81" s="309" t="s">
        <v>2034</v>
      </c>
      <c r="BY81" s="309" t="s">
        <v>2372</v>
      </c>
      <c r="BZ81" s="309" t="s">
        <v>2372</v>
      </c>
      <c r="CA81" s="309" t="s">
        <v>2372</v>
      </c>
      <c r="CB81" s="309" t="s">
        <v>2036</v>
      </c>
      <c r="CC81" s="309" t="s">
        <v>2036</v>
      </c>
      <c r="CD81" s="309" t="s">
        <v>2036</v>
      </c>
      <c r="CE81" s="309" t="s">
        <v>2036</v>
      </c>
      <c r="CF81" s="309" t="s">
        <v>2036</v>
      </c>
      <c r="CG81" s="309" t="s">
        <v>2359</v>
      </c>
      <c r="CH81" s="309" t="s">
        <v>2359</v>
      </c>
      <c r="CI81" s="309" t="s">
        <v>2359</v>
      </c>
      <c r="CJ81" s="309" t="s">
        <v>2359</v>
      </c>
      <c r="CK81" s="309" t="s">
        <v>2359</v>
      </c>
    </row>
    <row r="82" spans="1:89" x14ac:dyDescent="0.25">
      <c r="A82" s="373">
        <v>5</v>
      </c>
      <c r="B82" s="373">
        <v>11</v>
      </c>
      <c r="C82" s="373">
        <v>12</v>
      </c>
      <c r="D82" s="373" t="s">
        <v>2774</v>
      </c>
      <c r="E82" s="373" t="s">
        <v>2435</v>
      </c>
      <c r="F82" s="373" t="s">
        <v>2435</v>
      </c>
      <c r="G82" s="373" t="s">
        <v>2394</v>
      </c>
      <c r="H82" s="373" t="s">
        <v>2435</v>
      </c>
      <c r="I82" s="373">
        <v>0</v>
      </c>
      <c r="J82" s="373">
        <v>3</v>
      </c>
      <c r="K82" s="373">
        <v>0</v>
      </c>
      <c r="L82" s="373">
        <v>5</v>
      </c>
      <c r="M82" s="366">
        <v>106</v>
      </c>
      <c r="N82" s="398" t="s">
        <v>879</v>
      </c>
      <c r="O82" s="237" t="s">
        <v>1519</v>
      </c>
      <c r="P82" s="374"/>
      <c r="Q82" s="375" t="s">
        <v>880</v>
      </c>
      <c r="R82" s="396">
        <v>115799</v>
      </c>
      <c r="S82" s="377" t="s">
        <v>795</v>
      </c>
      <c r="T82" s="378">
        <v>8.6999999999999993</v>
      </c>
      <c r="U82" s="379" t="s">
        <v>881</v>
      </c>
      <c r="AH82" s="309" t="s">
        <v>2037</v>
      </c>
      <c r="AI82" s="309" t="s">
        <v>2037</v>
      </c>
      <c r="AJ82" s="309" t="s">
        <v>2037</v>
      </c>
      <c r="AK82" s="309" t="s">
        <v>2037</v>
      </c>
      <c r="AL82" s="309" t="s">
        <v>2370</v>
      </c>
      <c r="AM82" s="309" t="s">
        <v>2370</v>
      </c>
      <c r="AS82" s="309" t="s">
        <v>2033</v>
      </c>
      <c r="AT82" s="309" t="s">
        <v>2033</v>
      </c>
      <c r="AU82" s="309" t="s">
        <v>2033</v>
      </c>
      <c r="AV82" s="309" t="s">
        <v>2033</v>
      </c>
      <c r="AW82" s="309" t="s">
        <v>2033</v>
      </c>
      <c r="AX82" s="309" t="s">
        <v>2033</v>
      </c>
      <c r="AY82" s="309" t="s">
        <v>2033</v>
      </c>
      <c r="AZ82" s="309" t="s">
        <v>2033</v>
      </c>
      <c r="BA82" s="309" t="s">
        <v>2033</v>
      </c>
      <c r="BB82" s="309" t="s">
        <v>2033</v>
      </c>
      <c r="BC82" s="309" t="s">
        <v>2033</v>
      </c>
      <c r="BD82" s="309" t="s">
        <v>2033</v>
      </c>
      <c r="BE82" s="309" t="s">
        <v>2034</v>
      </c>
      <c r="BF82" s="309" t="s">
        <v>2034</v>
      </c>
      <c r="BG82" s="309" t="s">
        <v>2034</v>
      </c>
      <c r="BH82" s="309" t="s">
        <v>2034</v>
      </c>
      <c r="BI82" s="309" t="s">
        <v>2034</v>
      </c>
      <c r="BJ82" s="309" t="s">
        <v>2034</v>
      </c>
      <c r="BK82" s="309" t="s">
        <v>2034</v>
      </c>
      <c r="BL82" s="309" t="s">
        <v>2034</v>
      </c>
      <c r="BM82" s="309" t="s">
        <v>2034</v>
      </c>
      <c r="BN82" s="309" t="s">
        <v>2034</v>
      </c>
      <c r="BO82" s="309" t="s">
        <v>2034</v>
      </c>
      <c r="BY82" s="309" t="s">
        <v>2372</v>
      </c>
      <c r="BZ82" s="309" t="s">
        <v>2372</v>
      </c>
      <c r="CA82" s="309" t="s">
        <v>2372</v>
      </c>
      <c r="CB82" s="309" t="s">
        <v>2036</v>
      </c>
      <c r="CC82" s="309" t="s">
        <v>2036</v>
      </c>
      <c r="CD82" s="309" t="s">
        <v>2036</v>
      </c>
      <c r="CE82" s="309" t="s">
        <v>2036</v>
      </c>
      <c r="CF82" s="309" t="s">
        <v>2036</v>
      </c>
      <c r="CG82" s="309" t="s">
        <v>2359</v>
      </c>
      <c r="CH82" s="309" t="s">
        <v>2359</v>
      </c>
      <c r="CI82" s="309" t="s">
        <v>2359</v>
      </c>
      <c r="CJ82" s="309" t="s">
        <v>2359</v>
      </c>
      <c r="CK82" s="309" t="s">
        <v>2359</v>
      </c>
    </row>
    <row r="83" spans="1:89" x14ac:dyDescent="0.25">
      <c r="A83" s="373">
        <v>5</v>
      </c>
      <c r="B83" s="373">
        <v>11</v>
      </c>
      <c r="C83" s="373">
        <v>12</v>
      </c>
      <c r="D83" s="373" t="s">
        <v>2775</v>
      </c>
      <c r="E83" s="373" t="s">
        <v>2435</v>
      </c>
      <c r="F83" s="373" t="s">
        <v>2435</v>
      </c>
      <c r="G83" s="373" t="s">
        <v>2393</v>
      </c>
      <c r="H83" s="373" t="s">
        <v>2435</v>
      </c>
      <c r="I83" s="373">
        <v>0</v>
      </c>
      <c r="J83" s="373">
        <v>3</v>
      </c>
      <c r="K83" s="373">
        <v>0</v>
      </c>
      <c r="L83" s="373">
        <v>5</v>
      </c>
      <c r="M83" s="366">
        <v>100</v>
      </c>
      <c r="N83" s="398" t="s">
        <v>888</v>
      </c>
      <c r="O83" s="237" t="s">
        <v>1519</v>
      </c>
      <c r="P83" s="374"/>
      <c r="Q83" s="375" t="s">
        <v>889</v>
      </c>
      <c r="R83" s="396">
        <v>115897</v>
      </c>
      <c r="S83" s="377" t="s">
        <v>795</v>
      </c>
      <c r="T83" s="378">
        <v>8.6999999999999993</v>
      </c>
      <c r="U83" s="379" t="s">
        <v>890</v>
      </c>
      <c r="AH83" s="309" t="s">
        <v>2037</v>
      </c>
      <c r="AI83" s="309" t="s">
        <v>2037</v>
      </c>
      <c r="AJ83" s="309" t="s">
        <v>2037</v>
      </c>
      <c r="AK83" s="309" t="s">
        <v>2037</v>
      </c>
      <c r="AL83" s="309" t="s">
        <v>2370</v>
      </c>
      <c r="AM83" s="309" t="s">
        <v>2370</v>
      </c>
      <c r="AN83" s="309" t="s">
        <v>2370</v>
      </c>
      <c r="AS83" s="309" t="s">
        <v>2033</v>
      </c>
      <c r="AT83" s="309" t="s">
        <v>2033</v>
      </c>
      <c r="AU83" s="309" t="s">
        <v>2033</v>
      </c>
      <c r="AV83" s="309" t="s">
        <v>2033</v>
      </c>
      <c r="AW83" s="309" t="s">
        <v>2033</v>
      </c>
      <c r="AX83" s="309" t="s">
        <v>2033</v>
      </c>
      <c r="AY83" s="309" t="s">
        <v>2033</v>
      </c>
      <c r="AZ83" s="309" t="s">
        <v>2033</v>
      </c>
      <c r="BA83" s="309" t="s">
        <v>2033</v>
      </c>
      <c r="BB83" s="309" t="s">
        <v>2033</v>
      </c>
      <c r="BC83" s="309" t="s">
        <v>2033</v>
      </c>
      <c r="BD83" s="309" t="s">
        <v>2033</v>
      </c>
      <c r="BE83" s="309" t="s">
        <v>2034</v>
      </c>
      <c r="BF83" s="309" t="s">
        <v>2034</v>
      </c>
      <c r="BG83" s="309" t="s">
        <v>2034</v>
      </c>
      <c r="BH83" s="309" t="s">
        <v>2034</v>
      </c>
      <c r="BI83" s="309" t="s">
        <v>2034</v>
      </c>
      <c r="BJ83" s="309" t="s">
        <v>2034</v>
      </c>
      <c r="BK83" s="309" t="s">
        <v>2034</v>
      </c>
      <c r="BL83" s="309" t="s">
        <v>2034</v>
      </c>
      <c r="BM83" s="309" t="s">
        <v>2034</v>
      </c>
      <c r="BN83" s="309" t="s">
        <v>2034</v>
      </c>
      <c r="BO83" s="309" t="s">
        <v>2034</v>
      </c>
      <c r="BY83" s="309" t="s">
        <v>2372</v>
      </c>
      <c r="BZ83" s="309" t="s">
        <v>2372</v>
      </c>
      <c r="CA83" s="309" t="s">
        <v>2372</v>
      </c>
      <c r="CB83" s="309" t="s">
        <v>2036</v>
      </c>
      <c r="CC83" s="309" t="s">
        <v>2036</v>
      </c>
      <c r="CD83" s="309" t="s">
        <v>2036</v>
      </c>
      <c r="CE83" s="309" t="s">
        <v>2036</v>
      </c>
      <c r="CF83" s="309" t="s">
        <v>2036</v>
      </c>
      <c r="CG83" s="309" t="s">
        <v>2359</v>
      </c>
      <c r="CH83" s="309" t="s">
        <v>2359</v>
      </c>
      <c r="CI83" s="309" t="s">
        <v>2359</v>
      </c>
      <c r="CJ83" s="309" t="s">
        <v>2359</v>
      </c>
      <c r="CK83" s="309" t="s">
        <v>2359</v>
      </c>
    </row>
    <row r="84" spans="1:89" x14ac:dyDescent="0.25">
      <c r="A84" s="372">
        <v>4</v>
      </c>
      <c r="B84" s="372">
        <v>7</v>
      </c>
      <c r="C84" s="372">
        <v>8</v>
      </c>
      <c r="D84" s="372" t="s">
        <v>2395</v>
      </c>
      <c r="E84" s="372" t="s">
        <v>2435</v>
      </c>
      <c r="F84" s="372" t="s">
        <v>2435</v>
      </c>
      <c r="G84" s="372" t="s">
        <v>2435</v>
      </c>
      <c r="H84" s="372" t="s">
        <v>2435</v>
      </c>
      <c r="I84" s="372">
        <v>4</v>
      </c>
      <c r="J84" s="372">
        <v>0</v>
      </c>
      <c r="K84" s="372">
        <v>0</v>
      </c>
      <c r="L84" s="372">
        <v>0</v>
      </c>
      <c r="M84" s="359">
        <v>120</v>
      </c>
      <c r="N84" s="399" t="s">
        <v>913</v>
      </c>
      <c r="O84" s="237" t="s">
        <v>1515</v>
      </c>
      <c r="P84" s="237"/>
      <c r="Q84" s="360" t="s">
        <v>2249</v>
      </c>
      <c r="R84" s="361">
        <v>116202</v>
      </c>
      <c r="S84" s="368" t="s">
        <v>902</v>
      </c>
      <c r="T84" s="370">
        <v>10.7</v>
      </c>
      <c r="U84" s="364" t="s">
        <v>2250</v>
      </c>
      <c r="AH84" s="309" t="s">
        <v>2370</v>
      </c>
      <c r="AI84" s="309" t="s">
        <v>2370</v>
      </c>
      <c r="AJ84" s="309" t="s">
        <v>2370</v>
      </c>
      <c r="AK84" s="309" t="s">
        <v>2370</v>
      </c>
      <c r="AS84" s="309" t="s">
        <v>2033</v>
      </c>
      <c r="AT84" s="309" t="s">
        <v>2033</v>
      </c>
      <c r="AU84" s="309" t="s">
        <v>2033</v>
      </c>
      <c r="AV84" s="309" t="s">
        <v>2033</v>
      </c>
      <c r="AW84" s="309" t="s">
        <v>2033</v>
      </c>
      <c r="AX84" s="309" t="s">
        <v>2033</v>
      </c>
      <c r="AY84" s="309" t="s">
        <v>2033</v>
      </c>
      <c r="AZ84" s="309" t="s">
        <v>2033</v>
      </c>
      <c r="BA84" s="309" t="s">
        <v>2034</v>
      </c>
      <c r="BB84" s="309" t="s">
        <v>2034</v>
      </c>
      <c r="BC84" s="309" t="s">
        <v>2034</v>
      </c>
      <c r="BD84" s="309" t="s">
        <v>2034</v>
      </c>
      <c r="BE84" s="309" t="s">
        <v>2034</v>
      </c>
      <c r="BF84" s="309" t="s">
        <v>2034</v>
      </c>
      <c r="BG84" s="309" t="s">
        <v>2034</v>
      </c>
      <c r="BY84" s="309" t="s">
        <v>2361</v>
      </c>
      <c r="BZ84" s="309" t="s">
        <v>2361</v>
      </c>
      <c r="CA84" s="309" t="s">
        <v>2361</v>
      </c>
      <c r="CB84" s="309" t="s">
        <v>2361</v>
      </c>
      <c r="CC84" s="309" t="s">
        <v>2359</v>
      </c>
      <c r="CD84" s="309" t="s">
        <v>2359</v>
      </c>
      <c r="CE84" s="309" t="s">
        <v>2359</v>
      </c>
      <c r="CF84" s="309" t="s">
        <v>2359</v>
      </c>
    </row>
    <row r="85" spans="1:89" x14ac:dyDescent="0.25">
      <c r="A85" s="373">
        <v>5</v>
      </c>
      <c r="B85" s="373">
        <v>11</v>
      </c>
      <c r="C85" s="373">
        <v>12</v>
      </c>
      <c r="D85" s="373" t="s">
        <v>2774</v>
      </c>
      <c r="E85" s="373" t="s">
        <v>2435</v>
      </c>
      <c r="F85" s="373" t="s">
        <v>2435</v>
      </c>
      <c r="G85" s="373" t="s">
        <v>2395</v>
      </c>
      <c r="H85" s="373" t="s">
        <v>2435</v>
      </c>
      <c r="I85" s="373">
        <v>0</v>
      </c>
      <c r="J85" s="373">
        <v>3</v>
      </c>
      <c r="K85" s="373">
        <v>0</v>
      </c>
      <c r="L85" s="373">
        <v>5</v>
      </c>
      <c r="M85" s="366">
        <v>126</v>
      </c>
      <c r="N85" s="398" t="s">
        <v>882</v>
      </c>
      <c r="O85" s="237" t="s">
        <v>1519</v>
      </c>
      <c r="P85" s="374"/>
      <c r="Q85" s="375" t="s">
        <v>883</v>
      </c>
      <c r="R85" s="396">
        <v>116884</v>
      </c>
      <c r="S85" s="377" t="s">
        <v>795</v>
      </c>
      <c r="T85" s="378">
        <v>8.9</v>
      </c>
      <c r="U85" s="379" t="s">
        <v>884</v>
      </c>
      <c r="AH85" s="309" t="s">
        <v>2037</v>
      </c>
      <c r="AI85" s="309" t="s">
        <v>2037</v>
      </c>
      <c r="AJ85" s="309" t="s">
        <v>2037</v>
      </c>
      <c r="AK85" s="309" t="s">
        <v>2037</v>
      </c>
      <c r="AL85" s="309" t="s">
        <v>2370</v>
      </c>
      <c r="AM85" s="309" t="s">
        <v>2370</v>
      </c>
      <c r="AS85" s="309" t="s">
        <v>2033</v>
      </c>
      <c r="AT85" s="309" t="s">
        <v>2033</v>
      </c>
      <c r="AU85" s="309" t="s">
        <v>2033</v>
      </c>
      <c r="AV85" s="309" t="s">
        <v>2033</v>
      </c>
      <c r="AW85" s="309" t="s">
        <v>2033</v>
      </c>
      <c r="AX85" s="309" t="s">
        <v>2033</v>
      </c>
      <c r="AY85" s="309" t="s">
        <v>2033</v>
      </c>
      <c r="AZ85" s="309" t="s">
        <v>2033</v>
      </c>
      <c r="BA85" s="309" t="s">
        <v>2033</v>
      </c>
      <c r="BB85" s="309" t="s">
        <v>2033</v>
      </c>
      <c r="BC85" s="309" t="s">
        <v>2033</v>
      </c>
      <c r="BD85" s="309" t="s">
        <v>2033</v>
      </c>
      <c r="BE85" s="309" t="s">
        <v>2034</v>
      </c>
      <c r="BF85" s="309" t="s">
        <v>2034</v>
      </c>
      <c r="BG85" s="309" t="s">
        <v>2034</v>
      </c>
      <c r="BH85" s="309" t="s">
        <v>2034</v>
      </c>
      <c r="BI85" s="309" t="s">
        <v>2034</v>
      </c>
      <c r="BJ85" s="309" t="s">
        <v>2034</v>
      </c>
      <c r="BK85" s="309" t="s">
        <v>2034</v>
      </c>
      <c r="BL85" s="309" t="s">
        <v>2034</v>
      </c>
      <c r="BM85" s="309" t="s">
        <v>2034</v>
      </c>
      <c r="BN85" s="309" t="s">
        <v>2034</v>
      </c>
      <c r="BO85" s="309" t="s">
        <v>2034</v>
      </c>
      <c r="BY85" s="309" t="s">
        <v>2372</v>
      </c>
      <c r="BZ85" s="309" t="s">
        <v>2372</v>
      </c>
      <c r="CA85" s="309" t="s">
        <v>2372</v>
      </c>
      <c r="CB85" s="309" t="s">
        <v>2036</v>
      </c>
      <c r="CC85" s="309" t="s">
        <v>2036</v>
      </c>
      <c r="CD85" s="309" t="s">
        <v>2036</v>
      </c>
      <c r="CE85" s="309" t="s">
        <v>2036</v>
      </c>
      <c r="CF85" s="309" t="s">
        <v>2036</v>
      </c>
      <c r="CG85" s="309" t="s">
        <v>2359</v>
      </c>
      <c r="CH85" s="309" t="s">
        <v>2359</v>
      </c>
      <c r="CI85" s="309" t="s">
        <v>2359</v>
      </c>
      <c r="CJ85" s="309" t="s">
        <v>2359</v>
      </c>
      <c r="CK85" s="309" t="s">
        <v>2359</v>
      </c>
    </row>
    <row r="86" spans="1:89" x14ac:dyDescent="0.25">
      <c r="A86" s="373">
        <v>4</v>
      </c>
      <c r="B86" s="373">
        <v>7</v>
      </c>
      <c r="C86" s="373">
        <v>8</v>
      </c>
      <c r="D86" s="373" t="s">
        <v>2775</v>
      </c>
      <c r="E86" s="373" t="s">
        <v>2435</v>
      </c>
      <c r="F86" s="373" t="s">
        <v>2435</v>
      </c>
      <c r="G86" s="373" t="s">
        <v>2391</v>
      </c>
      <c r="H86" s="373" t="s">
        <v>2435</v>
      </c>
      <c r="I86" s="373">
        <v>0</v>
      </c>
      <c r="J86" s="373">
        <v>2</v>
      </c>
      <c r="K86" s="373">
        <v>0</v>
      </c>
      <c r="L86" s="373">
        <v>3</v>
      </c>
      <c r="M86" s="366">
        <v>84</v>
      </c>
      <c r="N86" s="398" t="s">
        <v>967</v>
      </c>
      <c r="O86" s="237" t="s">
        <v>2776</v>
      </c>
      <c r="P86" s="374"/>
      <c r="Q86" s="375" t="s">
        <v>968</v>
      </c>
      <c r="R86" s="396">
        <v>117013</v>
      </c>
      <c r="S86" s="381" t="s">
        <v>578</v>
      </c>
      <c r="T86" s="382">
        <v>41</v>
      </c>
      <c r="U86" s="379" t="s">
        <v>969</v>
      </c>
      <c r="AH86" s="309" t="s">
        <v>2037</v>
      </c>
      <c r="AI86" s="309" t="s">
        <v>2037</v>
      </c>
      <c r="AJ86" s="309" t="s">
        <v>2037</v>
      </c>
      <c r="AK86" s="309" t="s">
        <v>2370</v>
      </c>
      <c r="AL86" s="309" t="s">
        <v>2370</v>
      </c>
      <c r="AM86" s="309" t="s">
        <v>2370</v>
      </c>
      <c r="AS86" s="309" t="s">
        <v>2033</v>
      </c>
      <c r="AT86" s="309" t="s">
        <v>2033</v>
      </c>
      <c r="AU86" s="309" t="s">
        <v>2033</v>
      </c>
      <c r="AV86" s="309" t="s">
        <v>2033</v>
      </c>
      <c r="AW86" s="309" t="s">
        <v>2033</v>
      </c>
      <c r="AX86" s="309" t="s">
        <v>2033</v>
      </c>
      <c r="AY86" s="309" t="s">
        <v>2033</v>
      </c>
      <c r="AZ86" s="309" t="s">
        <v>2033</v>
      </c>
      <c r="BA86" s="309" t="s">
        <v>2034</v>
      </c>
      <c r="BB86" s="309" t="s">
        <v>2034</v>
      </c>
      <c r="BC86" s="309" t="s">
        <v>2034</v>
      </c>
      <c r="BD86" s="309" t="s">
        <v>2034</v>
      </c>
      <c r="BE86" s="309" t="s">
        <v>2034</v>
      </c>
      <c r="BF86" s="309" t="s">
        <v>2034</v>
      </c>
      <c r="BG86" s="309" t="s">
        <v>2034</v>
      </c>
      <c r="BY86" s="309" t="s">
        <v>2372</v>
      </c>
      <c r="BZ86" s="309" t="s">
        <v>2372</v>
      </c>
      <c r="CA86" s="309" t="s">
        <v>2036</v>
      </c>
      <c r="CB86" s="309" t="s">
        <v>2036</v>
      </c>
      <c r="CC86" s="309" t="s">
        <v>2036</v>
      </c>
      <c r="CD86" s="309" t="s">
        <v>2359</v>
      </c>
      <c r="CE86" s="309" t="s">
        <v>2359</v>
      </c>
      <c r="CF86" s="309" t="s">
        <v>2359</v>
      </c>
      <c r="CG86" s="309" t="s">
        <v>2359</v>
      </c>
    </row>
    <row r="87" spans="1:89" x14ac:dyDescent="0.25">
      <c r="A87" s="373">
        <v>4</v>
      </c>
      <c r="B87" s="373">
        <v>7</v>
      </c>
      <c r="C87" s="373">
        <v>8</v>
      </c>
      <c r="D87" s="373" t="s">
        <v>2774</v>
      </c>
      <c r="E87" s="373" t="s">
        <v>2435</v>
      </c>
      <c r="F87" s="373" t="s">
        <v>2435</v>
      </c>
      <c r="G87" s="373" t="s">
        <v>2392</v>
      </c>
      <c r="H87" s="373" t="s">
        <v>2435</v>
      </c>
      <c r="I87" s="373">
        <v>0</v>
      </c>
      <c r="J87" s="373">
        <v>2</v>
      </c>
      <c r="K87" s="373">
        <v>0</v>
      </c>
      <c r="L87" s="373">
        <v>4</v>
      </c>
      <c r="M87" s="366">
        <v>86</v>
      </c>
      <c r="N87" s="398" t="s">
        <v>949</v>
      </c>
      <c r="O87" s="237" t="s">
        <v>2776</v>
      </c>
      <c r="P87" s="374"/>
      <c r="Q87" s="375" t="s">
        <v>950</v>
      </c>
      <c r="R87" s="396">
        <v>117281</v>
      </c>
      <c r="S87" s="381" t="s">
        <v>578</v>
      </c>
      <c r="T87" s="382">
        <v>41</v>
      </c>
      <c r="U87" s="379" t="s">
        <v>951</v>
      </c>
      <c r="AH87" s="309" t="s">
        <v>2037</v>
      </c>
      <c r="AI87" s="309" t="s">
        <v>2037</v>
      </c>
      <c r="AJ87" s="309" t="s">
        <v>2037</v>
      </c>
      <c r="AK87" s="309" t="s">
        <v>2370</v>
      </c>
      <c r="AL87" s="309" t="s">
        <v>2370</v>
      </c>
      <c r="AS87" s="309" t="s">
        <v>2033</v>
      </c>
      <c r="AT87" s="309" t="s">
        <v>2033</v>
      </c>
      <c r="AU87" s="309" t="s">
        <v>2033</v>
      </c>
      <c r="AV87" s="309" t="s">
        <v>2033</v>
      </c>
      <c r="AW87" s="309" t="s">
        <v>2033</v>
      </c>
      <c r="AX87" s="309" t="s">
        <v>2033</v>
      </c>
      <c r="AY87" s="309" t="s">
        <v>2033</v>
      </c>
      <c r="AZ87" s="309" t="s">
        <v>2033</v>
      </c>
      <c r="BA87" s="309" t="s">
        <v>2034</v>
      </c>
      <c r="BB87" s="309" t="s">
        <v>2034</v>
      </c>
      <c r="BC87" s="309" t="s">
        <v>2034</v>
      </c>
      <c r="BD87" s="309" t="s">
        <v>2034</v>
      </c>
      <c r="BE87" s="309" t="s">
        <v>2034</v>
      </c>
      <c r="BF87" s="309" t="s">
        <v>2034</v>
      </c>
      <c r="BG87" s="309" t="s">
        <v>2034</v>
      </c>
      <c r="BY87" s="309" t="s">
        <v>2372</v>
      </c>
      <c r="BZ87" s="309" t="s">
        <v>2372</v>
      </c>
      <c r="CA87" s="309" t="s">
        <v>2036</v>
      </c>
      <c r="CB87" s="309" t="s">
        <v>2036</v>
      </c>
      <c r="CC87" s="309" t="s">
        <v>2036</v>
      </c>
      <c r="CD87" s="309" t="s">
        <v>2036</v>
      </c>
      <c r="CE87" s="309" t="s">
        <v>2359</v>
      </c>
      <c r="CF87" s="309" t="s">
        <v>2359</v>
      </c>
      <c r="CG87" s="309" t="s">
        <v>2359</v>
      </c>
      <c r="CH87" s="309" t="s">
        <v>2359</v>
      </c>
    </row>
    <row r="88" spans="1:89" x14ac:dyDescent="0.25">
      <c r="A88" s="372">
        <v>4</v>
      </c>
      <c r="B88" s="372">
        <v>7</v>
      </c>
      <c r="C88" s="372">
        <v>8</v>
      </c>
      <c r="D88" s="372" t="s">
        <v>2374</v>
      </c>
      <c r="E88" s="372" t="s">
        <v>2435</v>
      </c>
      <c r="F88" s="372" t="s">
        <v>2435</v>
      </c>
      <c r="G88" s="372" t="s">
        <v>2389</v>
      </c>
      <c r="H88" s="372" t="s">
        <v>2435</v>
      </c>
      <c r="I88" s="372">
        <v>0</v>
      </c>
      <c r="J88" s="372">
        <v>2</v>
      </c>
      <c r="K88" s="372">
        <v>0</v>
      </c>
      <c r="L88" s="372">
        <v>4</v>
      </c>
      <c r="M88" s="359">
        <v>84</v>
      </c>
      <c r="N88" s="399" t="s">
        <v>931</v>
      </c>
      <c r="O88" s="237" t="s">
        <v>1515</v>
      </c>
      <c r="P88" s="237"/>
      <c r="Q88" s="360" t="s">
        <v>2261</v>
      </c>
      <c r="R88" s="361">
        <v>117399</v>
      </c>
      <c r="S88" s="369" t="s">
        <v>578</v>
      </c>
      <c r="T88" s="380">
        <v>41</v>
      </c>
      <c r="U88" s="364" t="s">
        <v>2262</v>
      </c>
      <c r="AH88" s="309" t="s">
        <v>2037</v>
      </c>
      <c r="AI88" s="309" t="s">
        <v>2037</v>
      </c>
      <c r="AJ88" s="309" t="s">
        <v>2037</v>
      </c>
      <c r="AK88" s="309" t="s">
        <v>2370</v>
      </c>
      <c r="AS88" s="309" t="s">
        <v>2033</v>
      </c>
      <c r="AT88" s="309" t="s">
        <v>2033</v>
      </c>
      <c r="AU88" s="309" t="s">
        <v>2033</v>
      </c>
      <c r="AV88" s="309" t="s">
        <v>2033</v>
      </c>
      <c r="AW88" s="309" t="s">
        <v>2033</v>
      </c>
      <c r="AX88" s="309" t="s">
        <v>2033</v>
      </c>
      <c r="AY88" s="309" t="s">
        <v>2033</v>
      </c>
      <c r="AZ88" s="309" t="s">
        <v>2033</v>
      </c>
      <c r="BA88" s="309" t="s">
        <v>2034</v>
      </c>
      <c r="BB88" s="309" t="s">
        <v>2034</v>
      </c>
      <c r="BC88" s="309" t="s">
        <v>2034</v>
      </c>
      <c r="BD88" s="309" t="s">
        <v>2034</v>
      </c>
      <c r="BE88" s="309" t="s">
        <v>2034</v>
      </c>
      <c r="BF88" s="309" t="s">
        <v>2034</v>
      </c>
      <c r="BG88" s="309" t="s">
        <v>2034</v>
      </c>
      <c r="BY88" s="309" t="s">
        <v>2372</v>
      </c>
      <c r="BZ88" s="309" t="s">
        <v>2372</v>
      </c>
      <c r="CA88" s="309" t="s">
        <v>2036</v>
      </c>
      <c r="CB88" s="309" t="s">
        <v>2036</v>
      </c>
      <c r="CC88" s="309" t="s">
        <v>2036</v>
      </c>
      <c r="CD88" s="309" t="s">
        <v>2036</v>
      </c>
      <c r="CE88" s="309" t="s">
        <v>2359</v>
      </c>
      <c r="CF88" s="309" t="s">
        <v>2359</v>
      </c>
      <c r="CG88" s="309" t="s">
        <v>2359</v>
      </c>
      <c r="CH88" s="309" t="s">
        <v>2359</v>
      </c>
    </row>
    <row r="89" spans="1:89" x14ac:dyDescent="0.25">
      <c r="A89" s="373">
        <v>5</v>
      </c>
      <c r="B89" s="373">
        <v>11</v>
      </c>
      <c r="C89" s="373">
        <v>12</v>
      </c>
      <c r="D89" s="373" t="s">
        <v>2775</v>
      </c>
      <c r="E89" s="373" t="s">
        <v>2435</v>
      </c>
      <c r="F89" s="373" t="s">
        <v>2435</v>
      </c>
      <c r="G89" s="373" t="s">
        <v>2394</v>
      </c>
      <c r="H89" s="373" t="s">
        <v>2435</v>
      </c>
      <c r="I89" s="373">
        <v>0</v>
      </c>
      <c r="J89" s="373">
        <v>3</v>
      </c>
      <c r="K89" s="373">
        <v>0</v>
      </c>
      <c r="L89" s="373">
        <v>5</v>
      </c>
      <c r="M89" s="366">
        <v>116</v>
      </c>
      <c r="N89" s="398" t="s">
        <v>891</v>
      </c>
      <c r="O89" s="237" t="s">
        <v>1519</v>
      </c>
      <c r="P89" s="374"/>
      <c r="Q89" s="375" t="s">
        <v>892</v>
      </c>
      <c r="R89" s="396">
        <v>118935</v>
      </c>
      <c r="S89" s="377" t="s">
        <v>795</v>
      </c>
      <c r="T89" s="378">
        <v>8.6999999999999993</v>
      </c>
      <c r="U89" s="379" t="s">
        <v>893</v>
      </c>
      <c r="AH89" s="309" t="s">
        <v>2037</v>
      </c>
      <c r="AI89" s="309" t="s">
        <v>2037</v>
      </c>
      <c r="AJ89" s="309" t="s">
        <v>2037</v>
      </c>
      <c r="AK89" s="309" t="s">
        <v>2037</v>
      </c>
      <c r="AL89" s="309" t="s">
        <v>2370</v>
      </c>
      <c r="AM89" s="309" t="s">
        <v>2370</v>
      </c>
      <c r="AN89" s="309" t="s">
        <v>2370</v>
      </c>
      <c r="AS89" s="309" t="s">
        <v>2033</v>
      </c>
      <c r="AT89" s="309" t="s">
        <v>2033</v>
      </c>
      <c r="AU89" s="309" t="s">
        <v>2033</v>
      </c>
      <c r="AV89" s="309" t="s">
        <v>2033</v>
      </c>
      <c r="AW89" s="309" t="s">
        <v>2033</v>
      </c>
      <c r="AX89" s="309" t="s">
        <v>2033</v>
      </c>
      <c r="AY89" s="309" t="s">
        <v>2033</v>
      </c>
      <c r="AZ89" s="309" t="s">
        <v>2033</v>
      </c>
      <c r="BA89" s="309" t="s">
        <v>2033</v>
      </c>
      <c r="BB89" s="309" t="s">
        <v>2033</v>
      </c>
      <c r="BC89" s="309" t="s">
        <v>2033</v>
      </c>
      <c r="BD89" s="309" t="s">
        <v>2033</v>
      </c>
      <c r="BE89" s="309" t="s">
        <v>2034</v>
      </c>
      <c r="BF89" s="309" t="s">
        <v>2034</v>
      </c>
      <c r="BG89" s="309" t="s">
        <v>2034</v>
      </c>
      <c r="BH89" s="309" t="s">
        <v>2034</v>
      </c>
      <c r="BI89" s="309" t="s">
        <v>2034</v>
      </c>
      <c r="BJ89" s="309" t="s">
        <v>2034</v>
      </c>
      <c r="BK89" s="309" t="s">
        <v>2034</v>
      </c>
      <c r="BL89" s="309" t="s">
        <v>2034</v>
      </c>
      <c r="BM89" s="309" t="s">
        <v>2034</v>
      </c>
      <c r="BN89" s="309" t="s">
        <v>2034</v>
      </c>
      <c r="BO89" s="309" t="s">
        <v>2034</v>
      </c>
      <c r="BY89" s="309" t="s">
        <v>2372</v>
      </c>
      <c r="BZ89" s="309" t="s">
        <v>2372</v>
      </c>
      <c r="CA89" s="309" t="s">
        <v>2372</v>
      </c>
      <c r="CB89" s="309" t="s">
        <v>2036</v>
      </c>
      <c r="CC89" s="309" t="s">
        <v>2036</v>
      </c>
      <c r="CD89" s="309" t="s">
        <v>2036</v>
      </c>
      <c r="CE89" s="309" t="s">
        <v>2036</v>
      </c>
      <c r="CF89" s="309" t="s">
        <v>2036</v>
      </c>
      <c r="CG89" s="309" t="s">
        <v>2359</v>
      </c>
      <c r="CH89" s="309" t="s">
        <v>2359</v>
      </c>
      <c r="CI89" s="309" t="s">
        <v>2359</v>
      </c>
      <c r="CJ89" s="309" t="s">
        <v>2359</v>
      </c>
      <c r="CK89" s="309" t="s">
        <v>2359</v>
      </c>
    </row>
    <row r="90" spans="1:89" x14ac:dyDescent="0.25">
      <c r="A90" s="373">
        <v>4</v>
      </c>
      <c r="B90" s="373">
        <v>7</v>
      </c>
      <c r="C90" s="373">
        <v>8</v>
      </c>
      <c r="D90" s="373" t="s">
        <v>2774</v>
      </c>
      <c r="E90" s="373" t="s">
        <v>2435</v>
      </c>
      <c r="F90" s="373" t="s">
        <v>2435</v>
      </c>
      <c r="G90" s="373" t="s">
        <v>2389</v>
      </c>
      <c r="H90" s="373" t="s">
        <v>2435</v>
      </c>
      <c r="I90" s="373">
        <v>0</v>
      </c>
      <c r="J90" s="373">
        <v>2</v>
      </c>
      <c r="K90" s="373">
        <v>0</v>
      </c>
      <c r="L90" s="373">
        <v>4</v>
      </c>
      <c r="M90" s="366">
        <v>101</v>
      </c>
      <c r="N90" s="398" t="s">
        <v>952</v>
      </c>
      <c r="O90" s="237" t="s">
        <v>2776</v>
      </c>
      <c r="P90" s="374"/>
      <c r="Q90" s="375" t="s">
        <v>953</v>
      </c>
      <c r="R90" s="396">
        <v>119639</v>
      </c>
      <c r="S90" s="381" t="s">
        <v>578</v>
      </c>
      <c r="T90" s="382">
        <v>41</v>
      </c>
      <c r="U90" s="379" t="s">
        <v>954</v>
      </c>
      <c r="AH90" s="309" t="s">
        <v>2037</v>
      </c>
      <c r="AI90" s="309" t="s">
        <v>2037</v>
      </c>
      <c r="AJ90" s="309" t="s">
        <v>2037</v>
      </c>
      <c r="AK90" s="309" t="s">
        <v>2370</v>
      </c>
      <c r="AL90" s="309" t="s">
        <v>2370</v>
      </c>
      <c r="AS90" s="309" t="s">
        <v>2033</v>
      </c>
      <c r="AT90" s="309" t="s">
        <v>2033</v>
      </c>
      <c r="AU90" s="309" t="s">
        <v>2033</v>
      </c>
      <c r="AV90" s="309" t="s">
        <v>2033</v>
      </c>
      <c r="AW90" s="309" t="s">
        <v>2033</v>
      </c>
      <c r="AX90" s="309" t="s">
        <v>2033</v>
      </c>
      <c r="AY90" s="309" t="s">
        <v>2033</v>
      </c>
      <c r="AZ90" s="309" t="s">
        <v>2033</v>
      </c>
      <c r="BA90" s="309" t="s">
        <v>2034</v>
      </c>
      <c r="BB90" s="309" t="s">
        <v>2034</v>
      </c>
      <c r="BC90" s="309" t="s">
        <v>2034</v>
      </c>
      <c r="BD90" s="309" t="s">
        <v>2034</v>
      </c>
      <c r="BE90" s="309" t="s">
        <v>2034</v>
      </c>
      <c r="BF90" s="309" t="s">
        <v>2034</v>
      </c>
      <c r="BG90" s="309" t="s">
        <v>2034</v>
      </c>
      <c r="BY90" s="309" t="s">
        <v>2372</v>
      </c>
      <c r="BZ90" s="309" t="s">
        <v>2372</v>
      </c>
      <c r="CA90" s="309" t="s">
        <v>2036</v>
      </c>
      <c r="CB90" s="309" t="s">
        <v>2036</v>
      </c>
      <c r="CC90" s="309" t="s">
        <v>2036</v>
      </c>
      <c r="CD90" s="309" t="s">
        <v>2036</v>
      </c>
      <c r="CE90" s="309" t="s">
        <v>2359</v>
      </c>
      <c r="CF90" s="309" t="s">
        <v>2359</v>
      </c>
      <c r="CG90" s="309" t="s">
        <v>2359</v>
      </c>
      <c r="CH90" s="309" t="s">
        <v>2359</v>
      </c>
    </row>
    <row r="91" spans="1:89" x14ac:dyDescent="0.25">
      <c r="A91" s="373">
        <v>5</v>
      </c>
      <c r="B91" s="373">
        <v>11</v>
      </c>
      <c r="C91" s="373">
        <v>12</v>
      </c>
      <c r="D91" s="373" t="s">
        <v>2775</v>
      </c>
      <c r="E91" s="373" t="s">
        <v>2435</v>
      </c>
      <c r="F91" s="373" t="s">
        <v>2435</v>
      </c>
      <c r="G91" s="373" t="s">
        <v>2395</v>
      </c>
      <c r="H91" s="373" t="s">
        <v>2435</v>
      </c>
      <c r="I91" s="373">
        <v>0</v>
      </c>
      <c r="J91" s="373">
        <v>3</v>
      </c>
      <c r="K91" s="373">
        <v>0</v>
      </c>
      <c r="L91" s="373">
        <v>5</v>
      </c>
      <c r="M91" s="366">
        <v>136</v>
      </c>
      <c r="N91" s="398" t="s">
        <v>894</v>
      </c>
      <c r="O91" s="237" t="s">
        <v>1519</v>
      </c>
      <c r="P91" s="374"/>
      <c r="Q91" s="375" t="s">
        <v>895</v>
      </c>
      <c r="R91" s="396">
        <v>120044</v>
      </c>
      <c r="S91" s="377" t="s">
        <v>795</v>
      </c>
      <c r="T91" s="378">
        <v>8.9</v>
      </c>
      <c r="U91" s="379" t="s">
        <v>896</v>
      </c>
      <c r="AH91" s="309" t="s">
        <v>2037</v>
      </c>
      <c r="AI91" s="309" t="s">
        <v>2037</v>
      </c>
      <c r="AJ91" s="309" t="s">
        <v>2037</v>
      </c>
      <c r="AK91" s="309" t="s">
        <v>2037</v>
      </c>
      <c r="AL91" s="309" t="s">
        <v>2370</v>
      </c>
      <c r="AM91" s="309" t="s">
        <v>2370</v>
      </c>
      <c r="AN91" s="309" t="s">
        <v>2370</v>
      </c>
      <c r="AS91" s="309" t="s">
        <v>2033</v>
      </c>
      <c r="AT91" s="309" t="s">
        <v>2033</v>
      </c>
      <c r="AU91" s="309" t="s">
        <v>2033</v>
      </c>
      <c r="AV91" s="309" t="s">
        <v>2033</v>
      </c>
      <c r="AW91" s="309" t="s">
        <v>2033</v>
      </c>
      <c r="AX91" s="309" t="s">
        <v>2033</v>
      </c>
      <c r="AY91" s="309" t="s">
        <v>2033</v>
      </c>
      <c r="AZ91" s="309" t="s">
        <v>2033</v>
      </c>
      <c r="BA91" s="309" t="s">
        <v>2033</v>
      </c>
      <c r="BB91" s="309" t="s">
        <v>2033</v>
      </c>
      <c r="BC91" s="309" t="s">
        <v>2033</v>
      </c>
      <c r="BD91" s="309" t="s">
        <v>2033</v>
      </c>
      <c r="BE91" s="309" t="s">
        <v>2034</v>
      </c>
      <c r="BF91" s="309" t="s">
        <v>2034</v>
      </c>
      <c r="BG91" s="309" t="s">
        <v>2034</v>
      </c>
      <c r="BH91" s="309" t="s">
        <v>2034</v>
      </c>
      <c r="BI91" s="309" t="s">
        <v>2034</v>
      </c>
      <c r="BJ91" s="309" t="s">
        <v>2034</v>
      </c>
      <c r="BK91" s="309" t="s">
        <v>2034</v>
      </c>
      <c r="BL91" s="309" t="s">
        <v>2034</v>
      </c>
      <c r="BM91" s="309" t="s">
        <v>2034</v>
      </c>
      <c r="BN91" s="309" t="s">
        <v>2034</v>
      </c>
      <c r="BO91" s="309" t="s">
        <v>2034</v>
      </c>
      <c r="BY91" s="309" t="s">
        <v>2372</v>
      </c>
      <c r="BZ91" s="309" t="s">
        <v>2372</v>
      </c>
      <c r="CA91" s="309" t="s">
        <v>2372</v>
      </c>
      <c r="CB91" s="309" t="s">
        <v>2036</v>
      </c>
      <c r="CC91" s="309" t="s">
        <v>2036</v>
      </c>
      <c r="CD91" s="309" t="s">
        <v>2036</v>
      </c>
      <c r="CE91" s="309" t="s">
        <v>2036</v>
      </c>
      <c r="CF91" s="309" t="s">
        <v>2036</v>
      </c>
      <c r="CG91" s="309" t="s">
        <v>2359</v>
      </c>
      <c r="CH91" s="309" t="s">
        <v>2359</v>
      </c>
      <c r="CI91" s="309" t="s">
        <v>2359</v>
      </c>
      <c r="CJ91" s="309" t="s">
        <v>2359</v>
      </c>
      <c r="CK91" s="309" t="s">
        <v>2359</v>
      </c>
    </row>
    <row r="92" spans="1:89" x14ac:dyDescent="0.25">
      <c r="A92" s="373">
        <v>4</v>
      </c>
      <c r="B92" s="373">
        <v>7</v>
      </c>
      <c r="C92" s="373">
        <v>8</v>
      </c>
      <c r="D92" s="373" t="s">
        <v>2775</v>
      </c>
      <c r="E92" s="373" t="s">
        <v>2435</v>
      </c>
      <c r="F92" s="373" t="s">
        <v>2435</v>
      </c>
      <c r="G92" s="373" t="s">
        <v>2392</v>
      </c>
      <c r="H92" s="373" t="s">
        <v>2435</v>
      </c>
      <c r="I92" s="373">
        <v>0</v>
      </c>
      <c r="J92" s="373">
        <v>2</v>
      </c>
      <c r="K92" s="373">
        <v>0</v>
      </c>
      <c r="L92" s="373">
        <v>3</v>
      </c>
      <c r="M92" s="366">
        <v>96</v>
      </c>
      <c r="N92" s="398" t="s">
        <v>970</v>
      </c>
      <c r="O92" s="237" t="s">
        <v>2776</v>
      </c>
      <c r="P92" s="374"/>
      <c r="Q92" s="375" t="s">
        <v>971</v>
      </c>
      <c r="R92" s="396">
        <v>120344</v>
      </c>
      <c r="S92" s="381" t="s">
        <v>578</v>
      </c>
      <c r="T92" s="382">
        <v>41</v>
      </c>
      <c r="U92" s="379" t="s">
        <v>972</v>
      </c>
      <c r="AH92" s="309" t="s">
        <v>2037</v>
      </c>
      <c r="AI92" s="309" t="s">
        <v>2037</v>
      </c>
      <c r="AJ92" s="309" t="s">
        <v>2037</v>
      </c>
      <c r="AK92" s="309" t="s">
        <v>2370</v>
      </c>
      <c r="AL92" s="309" t="s">
        <v>2370</v>
      </c>
      <c r="AM92" s="309" t="s">
        <v>2370</v>
      </c>
      <c r="AS92" s="309" t="s">
        <v>2033</v>
      </c>
      <c r="AT92" s="309" t="s">
        <v>2033</v>
      </c>
      <c r="AU92" s="309" t="s">
        <v>2033</v>
      </c>
      <c r="AV92" s="309" t="s">
        <v>2033</v>
      </c>
      <c r="AW92" s="309" t="s">
        <v>2033</v>
      </c>
      <c r="AX92" s="309" t="s">
        <v>2033</v>
      </c>
      <c r="AY92" s="309" t="s">
        <v>2033</v>
      </c>
      <c r="AZ92" s="309" t="s">
        <v>2033</v>
      </c>
      <c r="BA92" s="309" t="s">
        <v>2034</v>
      </c>
      <c r="BB92" s="309" t="s">
        <v>2034</v>
      </c>
      <c r="BC92" s="309" t="s">
        <v>2034</v>
      </c>
      <c r="BD92" s="309" t="s">
        <v>2034</v>
      </c>
      <c r="BE92" s="309" t="s">
        <v>2034</v>
      </c>
      <c r="BF92" s="309" t="s">
        <v>2034</v>
      </c>
      <c r="BG92" s="309" t="s">
        <v>2034</v>
      </c>
      <c r="BY92" s="309" t="s">
        <v>2372</v>
      </c>
      <c r="BZ92" s="309" t="s">
        <v>2372</v>
      </c>
      <c r="CA92" s="309" t="s">
        <v>2036</v>
      </c>
      <c r="CB92" s="309" t="s">
        <v>2036</v>
      </c>
      <c r="CC92" s="309" t="s">
        <v>2036</v>
      </c>
      <c r="CD92" s="309" t="s">
        <v>2359</v>
      </c>
      <c r="CE92" s="309" t="s">
        <v>2359</v>
      </c>
      <c r="CF92" s="309" t="s">
        <v>2359</v>
      </c>
      <c r="CG92" s="309" t="s">
        <v>2359</v>
      </c>
    </row>
    <row r="93" spans="1:89" x14ac:dyDescent="0.25">
      <c r="A93" s="372">
        <v>4</v>
      </c>
      <c r="B93" s="372">
        <v>7</v>
      </c>
      <c r="C93" s="372">
        <v>8</v>
      </c>
      <c r="D93" s="372" t="s">
        <v>2374</v>
      </c>
      <c r="E93" s="372" t="s">
        <v>2435</v>
      </c>
      <c r="F93" s="372" t="s">
        <v>2435</v>
      </c>
      <c r="G93" s="372" t="s">
        <v>2390</v>
      </c>
      <c r="H93" s="372" t="s">
        <v>2435</v>
      </c>
      <c r="I93" s="372">
        <v>0</v>
      </c>
      <c r="J93" s="372">
        <v>2</v>
      </c>
      <c r="K93" s="372">
        <v>0</v>
      </c>
      <c r="L93" s="372">
        <v>4</v>
      </c>
      <c r="M93" s="359">
        <v>105</v>
      </c>
      <c r="N93" s="399" t="s">
        <v>934</v>
      </c>
      <c r="O93" s="237" t="s">
        <v>1515</v>
      </c>
      <c r="P93" s="237"/>
      <c r="Q93" s="360" t="s">
        <v>2263</v>
      </c>
      <c r="R93" s="361">
        <v>122160</v>
      </c>
      <c r="S93" s="369" t="s">
        <v>578</v>
      </c>
      <c r="T93" s="380">
        <v>41</v>
      </c>
      <c r="U93" s="364" t="s">
        <v>2264</v>
      </c>
      <c r="AH93" s="309" t="s">
        <v>2037</v>
      </c>
      <c r="AI93" s="309" t="s">
        <v>2037</v>
      </c>
      <c r="AJ93" s="309" t="s">
        <v>2037</v>
      </c>
      <c r="AK93" s="309" t="s">
        <v>2370</v>
      </c>
      <c r="AS93" s="309" t="s">
        <v>2033</v>
      </c>
      <c r="AT93" s="309" t="s">
        <v>2033</v>
      </c>
      <c r="AU93" s="309" t="s">
        <v>2033</v>
      </c>
      <c r="AV93" s="309" t="s">
        <v>2033</v>
      </c>
      <c r="AW93" s="309" t="s">
        <v>2033</v>
      </c>
      <c r="AX93" s="309" t="s">
        <v>2033</v>
      </c>
      <c r="AY93" s="309" t="s">
        <v>2033</v>
      </c>
      <c r="AZ93" s="309" t="s">
        <v>2033</v>
      </c>
      <c r="BA93" s="309" t="s">
        <v>2034</v>
      </c>
      <c r="BB93" s="309" t="s">
        <v>2034</v>
      </c>
      <c r="BC93" s="309" t="s">
        <v>2034</v>
      </c>
      <c r="BD93" s="309" t="s">
        <v>2034</v>
      </c>
      <c r="BE93" s="309" t="s">
        <v>2034</v>
      </c>
      <c r="BF93" s="309" t="s">
        <v>2034</v>
      </c>
      <c r="BG93" s="309" t="s">
        <v>2034</v>
      </c>
      <c r="BY93" s="309" t="s">
        <v>2372</v>
      </c>
      <c r="BZ93" s="309" t="s">
        <v>2372</v>
      </c>
      <c r="CA93" s="309" t="s">
        <v>2036</v>
      </c>
      <c r="CB93" s="309" t="s">
        <v>2036</v>
      </c>
      <c r="CC93" s="309" t="s">
        <v>2036</v>
      </c>
      <c r="CD93" s="309" t="s">
        <v>2036</v>
      </c>
      <c r="CE93" s="309" t="s">
        <v>2359</v>
      </c>
      <c r="CF93" s="309" t="s">
        <v>2359</v>
      </c>
      <c r="CG93" s="309" t="s">
        <v>2359</v>
      </c>
      <c r="CH93" s="309" t="s">
        <v>2359</v>
      </c>
    </row>
    <row r="94" spans="1:89" x14ac:dyDescent="0.25">
      <c r="A94" s="373">
        <v>5</v>
      </c>
      <c r="B94" s="373">
        <v>11</v>
      </c>
      <c r="C94" s="373">
        <v>12</v>
      </c>
      <c r="D94" s="373" t="s">
        <v>2774</v>
      </c>
      <c r="E94" s="373" t="s">
        <v>2435</v>
      </c>
      <c r="F94" s="373" t="s">
        <v>2435</v>
      </c>
      <c r="G94" s="373" t="s">
        <v>2396</v>
      </c>
      <c r="H94" s="373" t="s">
        <v>2435</v>
      </c>
      <c r="I94" s="373">
        <v>0</v>
      </c>
      <c r="J94" s="373">
        <v>3</v>
      </c>
      <c r="K94" s="373">
        <v>0</v>
      </c>
      <c r="L94" s="373">
        <v>5</v>
      </c>
      <c r="M94" s="366">
        <v>154</v>
      </c>
      <c r="N94" s="398" t="s">
        <v>885</v>
      </c>
      <c r="O94" s="237" t="s">
        <v>1519</v>
      </c>
      <c r="P94" s="374"/>
      <c r="Q94" s="375" t="s">
        <v>886</v>
      </c>
      <c r="R94" s="396">
        <v>122322</v>
      </c>
      <c r="S94" s="377" t="s">
        <v>795</v>
      </c>
      <c r="T94" s="378">
        <v>8.9</v>
      </c>
      <c r="U94" s="379" t="s">
        <v>887</v>
      </c>
      <c r="AH94" s="309" t="s">
        <v>2037</v>
      </c>
      <c r="AI94" s="309" t="s">
        <v>2037</v>
      </c>
      <c r="AJ94" s="309" t="s">
        <v>2037</v>
      </c>
      <c r="AK94" s="309" t="s">
        <v>2037</v>
      </c>
      <c r="AL94" s="309" t="s">
        <v>2370</v>
      </c>
      <c r="AM94" s="309" t="s">
        <v>2370</v>
      </c>
      <c r="AS94" s="309" t="s">
        <v>2033</v>
      </c>
      <c r="AT94" s="309" t="s">
        <v>2033</v>
      </c>
      <c r="AU94" s="309" t="s">
        <v>2033</v>
      </c>
      <c r="AV94" s="309" t="s">
        <v>2033</v>
      </c>
      <c r="AW94" s="309" t="s">
        <v>2033</v>
      </c>
      <c r="AX94" s="309" t="s">
        <v>2033</v>
      </c>
      <c r="AY94" s="309" t="s">
        <v>2033</v>
      </c>
      <c r="AZ94" s="309" t="s">
        <v>2033</v>
      </c>
      <c r="BA94" s="309" t="s">
        <v>2033</v>
      </c>
      <c r="BB94" s="309" t="s">
        <v>2033</v>
      </c>
      <c r="BC94" s="309" t="s">
        <v>2033</v>
      </c>
      <c r="BD94" s="309" t="s">
        <v>2033</v>
      </c>
      <c r="BE94" s="309" t="s">
        <v>2034</v>
      </c>
      <c r="BF94" s="309" t="s">
        <v>2034</v>
      </c>
      <c r="BG94" s="309" t="s">
        <v>2034</v>
      </c>
      <c r="BH94" s="309" t="s">
        <v>2034</v>
      </c>
      <c r="BI94" s="309" t="s">
        <v>2034</v>
      </c>
      <c r="BJ94" s="309" t="s">
        <v>2034</v>
      </c>
      <c r="BK94" s="309" t="s">
        <v>2034</v>
      </c>
      <c r="BL94" s="309" t="s">
        <v>2034</v>
      </c>
      <c r="BM94" s="309" t="s">
        <v>2034</v>
      </c>
      <c r="BN94" s="309" t="s">
        <v>2034</v>
      </c>
      <c r="BO94" s="309" t="s">
        <v>2034</v>
      </c>
      <c r="BY94" s="309" t="s">
        <v>2372</v>
      </c>
      <c r="BZ94" s="309" t="s">
        <v>2372</v>
      </c>
      <c r="CA94" s="309" t="s">
        <v>2372</v>
      </c>
      <c r="CB94" s="309" t="s">
        <v>2036</v>
      </c>
      <c r="CC94" s="309" t="s">
        <v>2036</v>
      </c>
      <c r="CD94" s="309" t="s">
        <v>2036</v>
      </c>
      <c r="CE94" s="309" t="s">
        <v>2036</v>
      </c>
      <c r="CF94" s="309" t="s">
        <v>2036</v>
      </c>
      <c r="CG94" s="309" t="s">
        <v>2359</v>
      </c>
      <c r="CH94" s="309" t="s">
        <v>2359</v>
      </c>
      <c r="CI94" s="309" t="s">
        <v>2359</v>
      </c>
      <c r="CJ94" s="309" t="s">
        <v>2359</v>
      </c>
      <c r="CK94" s="309" t="s">
        <v>2359</v>
      </c>
    </row>
    <row r="95" spans="1:89" x14ac:dyDescent="0.25">
      <c r="A95" s="373">
        <v>4</v>
      </c>
      <c r="B95" s="373">
        <v>7</v>
      </c>
      <c r="C95" s="373">
        <v>8</v>
      </c>
      <c r="D95" s="373" t="s">
        <v>2775</v>
      </c>
      <c r="E95" s="373" t="s">
        <v>2435</v>
      </c>
      <c r="F95" s="373" t="s">
        <v>2435</v>
      </c>
      <c r="G95" s="373" t="s">
        <v>2389</v>
      </c>
      <c r="H95" s="373" t="s">
        <v>2435</v>
      </c>
      <c r="I95" s="373">
        <v>0</v>
      </c>
      <c r="J95" s="373">
        <v>2</v>
      </c>
      <c r="K95" s="373">
        <v>0</v>
      </c>
      <c r="L95" s="373">
        <v>3</v>
      </c>
      <c r="M95" s="366">
        <v>111</v>
      </c>
      <c r="N95" s="398" t="s">
        <v>973</v>
      </c>
      <c r="O95" s="237" t="s">
        <v>2776</v>
      </c>
      <c r="P95" s="374"/>
      <c r="Q95" s="375" t="s">
        <v>974</v>
      </c>
      <c r="R95" s="396">
        <v>122702</v>
      </c>
      <c r="S95" s="381" t="s">
        <v>578</v>
      </c>
      <c r="T95" s="382">
        <v>41</v>
      </c>
      <c r="U95" s="379" t="s">
        <v>975</v>
      </c>
      <c r="AH95" s="309" t="s">
        <v>2037</v>
      </c>
      <c r="AI95" s="309" t="s">
        <v>2037</v>
      </c>
      <c r="AJ95" s="309" t="s">
        <v>2037</v>
      </c>
      <c r="AK95" s="309" t="s">
        <v>2370</v>
      </c>
      <c r="AL95" s="309" t="s">
        <v>2370</v>
      </c>
      <c r="AM95" s="309" t="s">
        <v>2370</v>
      </c>
      <c r="AS95" s="309" t="s">
        <v>2033</v>
      </c>
      <c r="AT95" s="309" t="s">
        <v>2033</v>
      </c>
      <c r="AU95" s="309" t="s">
        <v>2033</v>
      </c>
      <c r="AV95" s="309" t="s">
        <v>2033</v>
      </c>
      <c r="AW95" s="309" t="s">
        <v>2033</v>
      </c>
      <c r="AX95" s="309" t="s">
        <v>2033</v>
      </c>
      <c r="AY95" s="309" t="s">
        <v>2033</v>
      </c>
      <c r="AZ95" s="309" t="s">
        <v>2033</v>
      </c>
      <c r="BA95" s="309" t="s">
        <v>2034</v>
      </c>
      <c r="BB95" s="309" t="s">
        <v>2034</v>
      </c>
      <c r="BC95" s="309" t="s">
        <v>2034</v>
      </c>
      <c r="BD95" s="309" t="s">
        <v>2034</v>
      </c>
      <c r="BE95" s="309" t="s">
        <v>2034</v>
      </c>
      <c r="BF95" s="309" t="s">
        <v>2034</v>
      </c>
      <c r="BG95" s="309" t="s">
        <v>2034</v>
      </c>
      <c r="BY95" s="309" t="s">
        <v>2372</v>
      </c>
      <c r="BZ95" s="309" t="s">
        <v>2372</v>
      </c>
      <c r="CA95" s="309" t="s">
        <v>2036</v>
      </c>
      <c r="CB95" s="309" t="s">
        <v>2036</v>
      </c>
      <c r="CC95" s="309" t="s">
        <v>2036</v>
      </c>
      <c r="CD95" s="309" t="s">
        <v>2359</v>
      </c>
      <c r="CE95" s="309" t="s">
        <v>2359</v>
      </c>
      <c r="CF95" s="309" t="s">
        <v>2359</v>
      </c>
      <c r="CG95" s="309" t="s">
        <v>2359</v>
      </c>
    </row>
    <row r="96" spans="1:89" x14ac:dyDescent="0.25">
      <c r="A96" s="372">
        <v>4</v>
      </c>
      <c r="B96" s="372">
        <v>7</v>
      </c>
      <c r="C96" s="372">
        <v>8</v>
      </c>
      <c r="D96" s="372" t="s">
        <v>2396</v>
      </c>
      <c r="E96" s="372" t="s">
        <v>2435</v>
      </c>
      <c r="F96" s="372" t="s">
        <v>2435</v>
      </c>
      <c r="G96" s="372" t="s">
        <v>2435</v>
      </c>
      <c r="H96" s="372" t="s">
        <v>2435</v>
      </c>
      <c r="I96" s="372">
        <v>4</v>
      </c>
      <c r="J96" s="372">
        <v>0</v>
      </c>
      <c r="K96" s="372">
        <v>0</v>
      </c>
      <c r="L96" s="372">
        <v>0</v>
      </c>
      <c r="M96" s="359">
        <v>148</v>
      </c>
      <c r="N96" s="399" t="s">
        <v>916</v>
      </c>
      <c r="O96" s="237" t="s">
        <v>1515</v>
      </c>
      <c r="P96" s="237"/>
      <c r="Q96" s="360" t="s">
        <v>2251</v>
      </c>
      <c r="R96" s="361">
        <v>123496</v>
      </c>
      <c r="S96" s="368" t="s">
        <v>902</v>
      </c>
      <c r="T96" s="370">
        <v>10.7</v>
      </c>
      <c r="U96" s="364" t="s">
        <v>2252</v>
      </c>
      <c r="AH96" s="309" t="s">
        <v>2370</v>
      </c>
      <c r="AI96" s="309" t="s">
        <v>2370</v>
      </c>
      <c r="AJ96" s="309" t="s">
        <v>2370</v>
      </c>
      <c r="AK96" s="309" t="s">
        <v>2370</v>
      </c>
      <c r="AS96" s="309" t="s">
        <v>2033</v>
      </c>
      <c r="AT96" s="309" t="s">
        <v>2033</v>
      </c>
      <c r="AU96" s="309" t="s">
        <v>2033</v>
      </c>
      <c r="AV96" s="309" t="s">
        <v>2033</v>
      </c>
      <c r="AW96" s="309" t="s">
        <v>2033</v>
      </c>
      <c r="AX96" s="309" t="s">
        <v>2033</v>
      </c>
      <c r="AY96" s="309" t="s">
        <v>2033</v>
      </c>
      <c r="AZ96" s="309" t="s">
        <v>2033</v>
      </c>
      <c r="BA96" s="309" t="s">
        <v>2034</v>
      </c>
      <c r="BB96" s="309" t="s">
        <v>2034</v>
      </c>
      <c r="BC96" s="309" t="s">
        <v>2034</v>
      </c>
      <c r="BD96" s="309" t="s">
        <v>2034</v>
      </c>
      <c r="BE96" s="309" t="s">
        <v>2034</v>
      </c>
      <c r="BF96" s="309" t="s">
        <v>2034</v>
      </c>
      <c r="BG96" s="309" t="s">
        <v>2034</v>
      </c>
      <c r="BY96" s="309" t="s">
        <v>2361</v>
      </c>
      <c r="BZ96" s="309" t="s">
        <v>2361</v>
      </c>
      <c r="CA96" s="309" t="s">
        <v>2361</v>
      </c>
      <c r="CB96" s="309" t="s">
        <v>2361</v>
      </c>
      <c r="CC96" s="309" t="s">
        <v>2359</v>
      </c>
      <c r="CD96" s="309" t="s">
        <v>2359</v>
      </c>
      <c r="CE96" s="309" t="s">
        <v>2359</v>
      </c>
      <c r="CF96" s="309" t="s">
        <v>2359</v>
      </c>
    </row>
    <row r="97" spans="1:92" x14ac:dyDescent="0.25">
      <c r="A97" s="373">
        <v>4</v>
      </c>
      <c r="B97" s="373">
        <v>7</v>
      </c>
      <c r="C97" s="373">
        <v>8</v>
      </c>
      <c r="D97" s="373" t="s">
        <v>2774</v>
      </c>
      <c r="E97" s="373" t="s">
        <v>2435</v>
      </c>
      <c r="F97" s="373" t="s">
        <v>2435</v>
      </c>
      <c r="G97" s="373" t="s">
        <v>2390</v>
      </c>
      <c r="H97" s="373" t="s">
        <v>2435</v>
      </c>
      <c r="I97" s="373">
        <v>0</v>
      </c>
      <c r="J97" s="373">
        <v>2</v>
      </c>
      <c r="K97" s="373">
        <v>0</v>
      </c>
      <c r="L97" s="373">
        <v>4</v>
      </c>
      <c r="M97" s="366">
        <v>122</v>
      </c>
      <c r="N97" s="398" t="s">
        <v>955</v>
      </c>
      <c r="O97" s="237" t="s">
        <v>2776</v>
      </c>
      <c r="P97" s="374"/>
      <c r="Q97" s="375" t="s">
        <v>956</v>
      </c>
      <c r="R97" s="396">
        <v>123588</v>
      </c>
      <c r="S97" s="381" t="s">
        <v>578</v>
      </c>
      <c r="T97" s="382">
        <v>41</v>
      </c>
      <c r="U97" s="379" t="s">
        <v>957</v>
      </c>
      <c r="AH97" s="309" t="s">
        <v>2037</v>
      </c>
      <c r="AI97" s="309" t="s">
        <v>2037</v>
      </c>
      <c r="AJ97" s="309" t="s">
        <v>2037</v>
      </c>
      <c r="AK97" s="309" t="s">
        <v>2370</v>
      </c>
      <c r="AL97" s="309" t="s">
        <v>2370</v>
      </c>
      <c r="AS97" s="309" t="s">
        <v>2033</v>
      </c>
      <c r="AT97" s="309" t="s">
        <v>2033</v>
      </c>
      <c r="AU97" s="309" t="s">
        <v>2033</v>
      </c>
      <c r="AV97" s="309" t="s">
        <v>2033</v>
      </c>
      <c r="AW97" s="309" t="s">
        <v>2033</v>
      </c>
      <c r="AX97" s="309" t="s">
        <v>2033</v>
      </c>
      <c r="AY97" s="309" t="s">
        <v>2033</v>
      </c>
      <c r="AZ97" s="309" t="s">
        <v>2033</v>
      </c>
      <c r="BA97" s="309" t="s">
        <v>2034</v>
      </c>
      <c r="BB97" s="309" t="s">
        <v>2034</v>
      </c>
      <c r="BC97" s="309" t="s">
        <v>2034</v>
      </c>
      <c r="BD97" s="309" t="s">
        <v>2034</v>
      </c>
      <c r="BE97" s="309" t="s">
        <v>2034</v>
      </c>
      <c r="BF97" s="309" t="s">
        <v>2034</v>
      </c>
      <c r="BG97" s="309" t="s">
        <v>2034</v>
      </c>
      <c r="BY97" s="309" t="s">
        <v>2372</v>
      </c>
      <c r="BZ97" s="309" t="s">
        <v>2372</v>
      </c>
      <c r="CA97" s="309" t="s">
        <v>2036</v>
      </c>
      <c r="CB97" s="309" t="s">
        <v>2036</v>
      </c>
      <c r="CC97" s="309" t="s">
        <v>2036</v>
      </c>
      <c r="CD97" s="309" t="s">
        <v>2036</v>
      </c>
      <c r="CE97" s="309" t="s">
        <v>2359</v>
      </c>
      <c r="CF97" s="309" t="s">
        <v>2359</v>
      </c>
      <c r="CG97" s="309" t="s">
        <v>2359</v>
      </c>
      <c r="CH97" s="309" t="s">
        <v>2359</v>
      </c>
    </row>
    <row r="98" spans="1:92" x14ac:dyDescent="0.25">
      <c r="A98" s="373">
        <v>5</v>
      </c>
      <c r="B98" s="373">
        <v>11</v>
      </c>
      <c r="C98" s="373">
        <v>12</v>
      </c>
      <c r="D98" s="373" t="s">
        <v>2775</v>
      </c>
      <c r="E98" s="373" t="s">
        <v>2435</v>
      </c>
      <c r="F98" s="373" t="s">
        <v>2435</v>
      </c>
      <c r="G98" s="373" t="s">
        <v>2396</v>
      </c>
      <c r="H98" s="373" t="s">
        <v>2435</v>
      </c>
      <c r="I98" s="373">
        <v>0</v>
      </c>
      <c r="J98" s="373">
        <v>3</v>
      </c>
      <c r="K98" s="373">
        <v>0</v>
      </c>
      <c r="L98" s="373">
        <v>5</v>
      </c>
      <c r="M98" s="366">
        <v>164</v>
      </c>
      <c r="N98" s="398" t="s">
        <v>897</v>
      </c>
      <c r="O98" s="237" t="s">
        <v>1519</v>
      </c>
      <c r="P98" s="374"/>
      <c r="Q98" s="375" t="s">
        <v>898</v>
      </c>
      <c r="R98" s="396">
        <v>125507</v>
      </c>
      <c r="S98" s="377" t="s">
        <v>795</v>
      </c>
      <c r="T98" s="378">
        <v>8.9</v>
      </c>
      <c r="U98" s="379" t="s">
        <v>899</v>
      </c>
      <c r="AH98" s="309" t="s">
        <v>2037</v>
      </c>
      <c r="AI98" s="309" t="s">
        <v>2037</v>
      </c>
      <c r="AJ98" s="309" t="s">
        <v>2037</v>
      </c>
      <c r="AK98" s="309" t="s">
        <v>2037</v>
      </c>
      <c r="AL98" s="309" t="s">
        <v>2370</v>
      </c>
      <c r="AM98" s="309" t="s">
        <v>2370</v>
      </c>
      <c r="AN98" s="309" t="s">
        <v>2370</v>
      </c>
      <c r="AS98" s="309" t="s">
        <v>2033</v>
      </c>
      <c r="AT98" s="309" t="s">
        <v>2033</v>
      </c>
      <c r="AU98" s="309" t="s">
        <v>2033</v>
      </c>
      <c r="AV98" s="309" t="s">
        <v>2033</v>
      </c>
      <c r="AW98" s="309" t="s">
        <v>2033</v>
      </c>
      <c r="AX98" s="309" t="s">
        <v>2033</v>
      </c>
      <c r="AY98" s="309" t="s">
        <v>2033</v>
      </c>
      <c r="AZ98" s="309" t="s">
        <v>2033</v>
      </c>
      <c r="BA98" s="309" t="s">
        <v>2033</v>
      </c>
      <c r="BB98" s="309" t="s">
        <v>2033</v>
      </c>
      <c r="BC98" s="309" t="s">
        <v>2033</v>
      </c>
      <c r="BD98" s="309" t="s">
        <v>2033</v>
      </c>
      <c r="BE98" s="309" t="s">
        <v>2034</v>
      </c>
      <c r="BF98" s="309" t="s">
        <v>2034</v>
      </c>
      <c r="BG98" s="309" t="s">
        <v>2034</v>
      </c>
      <c r="BH98" s="309" t="s">
        <v>2034</v>
      </c>
      <c r="BI98" s="309" t="s">
        <v>2034</v>
      </c>
      <c r="BJ98" s="309" t="s">
        <v>2034</v>
      </c>
      <c r="BK98" s="309" t="s">
        <v>2034</v>
      </c>
      <c r="BL98" s="309" t="s">
        <v>2034</v>
      </c>
      <c r="BM98" s="309" t="s">
        <v>2034</v>
      </c>
      <c r="BN98" s="309" t="s">
        <v>2034</v>
      </c>
      <c r="BO98" s="309" t="s">
        <v>2034</v>
      </c>
      <c r="BY98" s="309" t="s">
        <v>2372</v>
      </c>
      <c r="BZ98" s="309" t="s">
        <v>2372</v>
      </c>
      <c r="CA98" s="309" t="s">
        <v>2372</v>
      </c>
      <c r="CB98" s="309" t="s">
        <v>2036</v>
      </c>
      <c r="CC98" s="309" t="s">
        <v>2036</v>
      </c>
      <c r="CD98" s="309" t="s">
        <v>2036</v>
      </c>
      <c r="CE98" s="309" t="s">
        <v>2036</v>
      </c>
      <c r="CF98" s="309" t="s">
        <v>2036</v>
      </c>
      <c r="CG98" s="309" t="s">
        <v>2359</v>
      </c>
      <c r="CH98" s="309" t="s">
        <v>2359</v>
      </c>
      <c r="CI98" s="309" t="s">
        <v>2359</v>
      </c>
      <c r="CJ98" s="309" t="s">
        <v>2359</v>
      </c>
      <c r="CK98" s="309" t="s">
        <v>2359</v>
      </c>
    </row>
    <row r="99" spans="1:92" x14ac:dyDescent="0.25">
      <c r="A99" s="373">
        <v>4</v>
      </c>
      <c r="B99" s="373">
        <v>7</v>
      </c>
      <c r="C99" s="373">
        <v>8</v>
      </c>
      <c r="D99" s="373" t="s">
        <v>2775</v>
      </c>
      <c r="E99" s="373" t="s">
        <v>2435</v>
      </c>
      <c r="F99" s="373" t="s">
        <v>2435</v>
      </c>
      <c r="G99" s="373" t="s">
        <v>2390</v>
      </c>
      <c r="H99" s="373" t="s">
        <v>2435</v>
      </c>
      <c r="I99" s="373">
        <v>0</v>
      </c>
      <c r="J99" s="373">
        <v>2</v>
      </c>
      <c r="K99" s="373">
        <v>0</v>
      </c>
      <c r="L99" s="373">
        <v>3</v>
      </c>
      <c r="M99" s="366">
        <v>132</v>
      </c>
      <c r="N99" s="398" t="s">
        <v>976</v>
      </c>
      <c r="O99" s="237" t="s">
        <v>2776</v>
      </c>
      <c r="P99" s="374"/>
      <c r="Q99" s="375" t="s">
        <v>977</v>
      </c>
      <c r="R99" s="396">
        <v>126676</v>
      </c>
      <c r="S99" s="381" t="s">
        <v>578</v>
      </c>
      <c r="T99" s="382">
        <v>41</v>
      </c>
      <c r="U99" s="379" t="s">
        <v>978</v>
      </c>
      <c r="AH99" s="309" t="s">
        <v>2037</v>
      </c>
      <c r="AI99" s="309" t="s">
        <v>2037</v>
      </c>
      <c r="AJ99" s="309" t="s">
        <v>2037</v>
      </c>
      <c r="AK99" s="309" t="s">
        <v>2370</v>
      </c>
      <c r="AL99" s="309" t="s">
        <v>2370</v>
      </c>
      <c r="AM99" s="309" t="s">
        <v>2370</v>
      </c>
      <c r="AS99" s="309" t="s">
        <v>2033</v>
      </c>
      <c r="AT99" s="309" t="s">
        <v>2033</v>
      </c>
      <c r="AU99" s="309" t="s">
        <v>2033</v>
      </c>
      <c r="AV99" s="309" t="s">
        <v>2033</v>
      </c>
      <c r="AW99" s="309" t="s">
        <v>2033</v>
      </c>
      <c r="AX99" s="309" t="s">
        <v>2033</v>
      </c>
      <c r="AY99" s="309" t="s">
        <v>2033</v>
      </c>
      <c r="AZ99" s="309" t="s">
        <v>2033</v>
      </c>
      <c r="BA99" s="309" t="s">
        <v>2034</v>
      </c>
      <c r="BB99" s="309" t="s">
        <v>2034</v>
      </c>
      <c r="BC99" s="309" t="s">
        <v>2034</v>
      </c>
      <c r="BD99" s="309" t="s">
        <v>2034</v>
      </c>
      <c r="BE99" s="309" t="s">
        <v>2034</v>
      </c>
      <c r="BF99" s="309" t="s">
        <v>2034</v>
      </c>
      <c r="BG99" s="309" t="s">
        <v>2034</v>
      </c>
      <c r="BY99" s="309" t="s">
        <v>2372</v>
      </c>
      <c r="BZ99" s="309" t="s">
        <v>2372</v>
      </c>
      <c r="CA99" s="309" t="s">
        <v>2036</v>
      </c>
      <c r="CB99" s="309" t="s">
        <v>2036</v>
      </c>
      <c r="CC99" s="309" t="s">
        <v>2036</v>
      </c>
      <c r="CD99" s="309" t="s">
        <v>2359</v>
      </c>
      <c r="CE99" s="309" t="s">
        <v>2359</v>
      </c>
      <c r="CF99" s="309" t="s">
        <v>2359</v>
      </c>
      <c r="CG99" s="309" t="s">
        <v>2359</v>
      </c>
    </row>
    <row r="100" spans="1:92" x14ac:dyDescent="0.25">
      <c r="A100" s="372">
        <v>4</v>
      </c>
      <c r="B100" s="372">
        <v>7</v>
      </c>
      <c r="C100" s="372">
        <v>8</v>
      </c>
      <c r="D100" s="372" t="s">
        <v>2399</v>
      </c>
      <c r="E100" s="372" t="s">
        <v>2435</v>
      </c>
      <c r="F100" s="372" t="s">
        <v>2435</v>
      </c>
      <c r="G100" s="372" t="s">
        <v>2435</v>
      </c>
      <c r="H100" s="372" t="s">
        <v>2435</v>
      </c>
      <c r="I100" s="372">
        <v>4</v>
      </c>
      <c r="J100" s="372">
        <v>0</v>
      </c>
      <c r="K100" s="372">
        <v>0</v>
      </c>
      <c r="L100" s="372">
        <v>0</v>
      </c>
      <c r="M100" s="359">
        <v>68</v>
      </c>
      <c r="N100" s="399" t="s">
        <v>1115</v>
      </c>
      <c r="O100" s="237" t="s">
        <v>2776</v>
      </c>
      <c r="P100" s="237"/>
      <c r="Q100" s="360" t="s">
        <v>2299</v>
      </c>
      <c r="R100" s="361">
        <v>127496</v>
      </c>
      <c r="S100" s="369" t="s">
        <v>578</v>
      </c>
      <c r="T100" s="380">
        <v>44</v>
      </c>
      <c r="U100" s="364" t="s">
        <v>2300</v>
      </c>
      <c r="AH100" s="309" t="s">
        <v>2370</v>
      </c>
      <c r="AI100" s="309" t="s">
        <v>2370</v>
      </c>
      <c r="AJ100" s="309" t="s">
        <v>2370</v>
      </c>
      <c r="AK100" s="309" t="s">
        <v>2370</v>
      </c>
      <c r="AS100" s="309" t="s">
        <v>2033</v>
      </c>
      <c r="AT100" s="309" t="s">
        <v>2033</v>
      </c>
      <c r="AU100" s="309" t="s">
        <v>2033</v>
      </c>
      <c r="AV100" s="309" t="s">
        <v>2033</v>
      </c>
      <c r="AW100" s="309" t="s">
        <v>2033</v>
      </c>
      <c r="AX100" s="309" t="s">
        <v>2033</v>
      </c>
      <c r="AY100" s="309" t="s">
        <v>2033</v>
      </c>
      <c r="AZ100" s="309" t="s">
        <v>2033</v>
      </c>
      <c r="BA100" s="309" t="s">
        <v>2034</v>
      </c>
      <c r="BB100" s="309" t="s">
        <v>2034</v>
      </c>
      <c r="BC100" s="309" t="s">
        <v>2034</v>
      </c>
      <c r="BD100" s="309" t="s">
        <v>2034</v>
      </c>
      <c r="BE100" s="309" t="s">
        <v>2034</v>
      </c>
      <c r="BF100" s="309" t="s">
        <v>2034</v>
      </c>
      <c r="BG100" s="309" t="s">
        <v>2034</v>
      </c>
      <c r="BY100" s="309" t="s">
        <v>2361</v>
      </c>
      <c r="BZ100" s="309" t="s">
        <v>2361</v>
      </c>
      <c r="CA100" s="309" t="s">
        <v>2361</v>
      </c>
      <c r="CB100" s="309" t="s">
        <v>2361</v>
      </c>
      <c r="CC100" s="309" t="s">
        <v>2359</v>
      </c>
      <c r="CD100" s="309" t="s">
        <v>2359</v>
      </c>
      <c r="CE100" s="309" t="s">
        <v>2359</v>
      </c>
      <c r="CF100" s="309" t="s">
        <v>2359</v>
      </c>
    </row>
    <row r="101" spans="1:92" x14ac:dyDescent="0.25">
      <c r="A101" s="372">
        <v>6</v>
      </c>
      <c r="B101" s="372">
        <v>11</v>
      </c>
      <c r="C101" s="372">
        <v>16</v>
      </c>
      <c r="D101" s="372" t="s">
        <v>2374</v>
      </c>
      <c r="E101" s="372" t="s">
        <v>2435</v>
      </c>
      <c r="F101" s="372" t="s">
        <v>2435</v>
      </c>
      <c r="G101" s="372" t="s">
        <v>2397</v>
      </c>
      <c r="H101" s="372" t="s">
        <v>2435</v>
      </c>
      <c r="I101" s="372">
        <v>0</v>
      </c>
      <c r="J101" s="372">
        <v>3</v>
      </c>
      <c r="K101" s="372">
        <v>0</v>
      </c>
      <c r="L101" s="372">
        <v>7</v>
      </c>
      <c r="M101" s="359">
        <v>89</v>
      </c>
      <c r="N101" s="399" t="s">
        <v>900</v>
      </c>
      <c r="O101" s="237" t="s">
        <v>1519</v>
      </c>
      <c r="P101" s="237" t="s">
        <v>1497</v>
      </c>
      <c r="Q101" s="360" t="s">
        <v>2241</v>
      </c>
      <c r="R101" s="361">
        <v>128160</v>
      </c>
      <c r="S101" s="368" t="s">
        <v>902</v>
      </c>
      <c r="T101" s="370">
        <v>10.199999999999999</v>
      </c>
      <c r="U101" s="364" t="s">
        <v>2242</v>
      </c>
      <c r="AH101" s="309" t="s">
        <v>2037</v>
      </c>
      <c r="AI101" s="309" t="s">
        <v>2037</v>
      </c>
      <c r="AJ101" s="309" t="s">
        <v>2037</v>
      </c>
      <c r="AK101" s="309" t="s">
        <v>2037</v>
      </c>
      <c r="AL101" s="309" t="s">
        <v>2037</v>
      </c>
      <c r="AM101" s="309" t="s">
        <v>2370</v>
      </c>
      <c r="AS101" s="309" t="s">
        <v>2033</v>
      </c>
      <c r="AT101" s="309" t="s">
        <v>2033</v>
      </c>
      <c r="AU101" s="309" t="s">
        <v>2033</v>
      </c>
      <c r="AV101" s="309" t="s">
        <v>2033</v>
      </c>
      <c r="AW101" s="309" t="s">
        <v>2033</v>
      </c>
      <c r="AX101" s="309" t="s">
        <v>2033</v>
      </c>
      <c r="AY101" s="309" t="s">
        <v>2033</v>
      </c>
      <c r="AZ101" s="309" t="s">
        <v>2033</v>
      </c>
      <c r="BA101" s="309" t="s">
        <v>2033</v>
      </c>
      <c r="BB101" s="309" t="s">
        <v>2033</v>
      </c>
      <c r="BC101" s="309" t="s">
        <v>2033</v>
      </c>
      <c r="BD101" s="309" t="s">
        <v>2033</v>
      </c>
      <c r="BE101" s="309" t="s">
        <v>2033</v>
      </c>
      <c r="BF101" s="309" t="s">
        <v>2033</v>
      </c>
      <c r="BG101" s="309" t="s">
        <v>2033</v>
      </c>
      <c r="BH101" s="309" t="s">
        <v>2033</v>
      </c>
      <c r="BI101" s="309" t="s">
        <v>2034</v>
      </c>
      <c r="BJ101" s="309" t="s">
        <v>2034</v>
      </c>
      <c r="BK101" s="309" t="s">
        <v>2034</v>
      </c>
      <c r="BL101" s="309" t="s">
        <v>2034</v>
      </c>
      <c r="BM101" s="309" t="s">
        <v>2034</v>
      </c>
      <c r="BN101" s="309" t="s">
        <v>2034</v>
      </c>
      <c r="BO101" s="309" t="s">
        <v>2034</v>
      </c>
      <c r="BP101" s="309" t="s">
        <v>2034</v>
      </c>
      <c r="BQ101" s="309" t="s">
        <v>2034</v>
      </c>
      <c r="BR101" s="309" t="s">
        <v>2034</v>
      </c>
      <c r="BS101" s="309" t="s">
        <v>2034</v>
      </c>
      <c r="BY101" s="309" t="s">
        <v>2372</v>
      </c>
      <c r="BZ101" s="309" t="s">
        <v>2372</v>
      </c>
      <c r="CA101" s="309" t="s">
        <v>2372</v>
      </c>
      <c r="CB101" s="309" t="s">
        <v>2036</v>
      </c>
      <c r="CC101" s="309" t="s">
        <v>2036</v>
      </c>
      <c r="CD101" s="309" t="s">
        <v>2036</v>
      </c>
      <c r="CE101" s="309" t="s">
        <v>2036</v>
      </c>
      <c r="CF101" s="309" t="s">
        <v>2036</v>
      </c>
      <c r="CG101" s="309" t="s">
        <v>2036</v>
      </c>
      <c r="CH101" s="309" t="s">
        <v>2036</v>
      </c>
      <c r="CI101" s="309" t="s">
        <v>2359</v>
      </c>
      <c r="CJ101" s="309" t="s">
        <v>2359</v>
      </c>
      <c r="CK101" s="309" t="s">
        <v>2359</v>
      </c>
      <c r="CL101" s="309" t="s">
        <v>2359</v>
      </c>
      <c r="CM101" s="309" t="s">
        <v>2359</v>
      </c>
      <c r="CN101" s="309" t="s">
        <v>2359</v>
      </c>
    </row>
    <row r="102" spans="1:92" x14ac:dyDescent="0.25">
      <c r="A102" s="372">
        <v>6</v>
      </c>
      <c r="B102" s="372">
        <v>11</v>
      </c>
      <c r="C102" s="372">
        <v>16</v>
      </c>
      <c r="D102" s="372" t="s">
        <v>2374</v>
      </c>
      <c r="E102" s="372" t="s">
        <v>2435</v>
      </c>
      <c r="F102" s="372" t="s">
        <v>2435</v>
      </c>
      <c r="G102" s="372" t="s">
        <v>2398</v>
      </c>
      <c r="H102" s="372" t="s">
        <v>2435</v>
      </c>
      <c r="I102" s="372">
        <v>0</v>
      </c>
      <c r="J102" s="372">
        <v>3</v>
      </c>
      <c r="K102" s="372">
        <v>0</v>
      </c>
      <c r="L102" s="372">
        <v>7</v>
      </c>
      <c r="M102" s="359">
        <v>109</v>
      </c>
      <c r="N102" s="399" t="s">
        <v>904</v>
      </c>
      <c r="O102" s="237" t="s">
        <v>1519</v>
      </c>
      <c r="P102" s="237" t="s">
        <v>1497</v>
      </c>
      <c r="Q102" s="360" t="s">
        <v>2243</v>
      </c>
      <c r="R102" s="361">
        <v>131469</v>
      </c>
      <c r="S102" s="368" t="s">
        <v>902</v>
      </c>
      <c r="T102" s="370">
        <v>10.199999999999999</v>
      </c>
      <c r="U102" s="364" t="s">
        <v>2244</v>
      </c>
      <c r="AH102" s="309" t="s">
        <v>2037</v>
      </c>
      <c r="AI102" s="309" t="s">
        <v>2037</v>
      </c>
      <c r="AJ102" s="309" t="s">
        <v>2037</v>
      </c>
      <c r="AK102" s="309" t="s">
        <v>2037</v>
      </c>
      <c r="AL102" s="309" t="s">
        <v>2037</v>
      </c>
      <c r="AM102" s="309" t="s">
        <v>2370</v>
      </c>
      <c r="AS102" s="309" t="s">
        <v>2033</v>
      </c>
      <c r="AT102" s="309" t="s">
        <v>2033</v>
      </c>
      <c r="AU102" s="309" t="s">
        <v>2033</v>
      </c>
      <c r="AV102" s="309" t="s">
        <v>2033</v>
      </c>
      <c r="AW102" s="309" t="s">
        <v>2033</v>
      </c>
      <c r="AX102" s="309" t="s">
        <v>2033</v>
      </c>
      <c r="AY102" s="309" t="s">
        <v>2033</v>
      </c>
      <c r="AZ102" s="309" t="s">
        <v>2033</v>
      </c>
      <c r="BA102" s="309" t="s">
        <v>2033</v>
      </c>
      <c r="BB102" s="309" t="s">
        <v>2033</v>
      </c>
      <c r="BC102" s="309" t="s">
        <v>2033</v>
      </c>
      <c r="BD102" s="309" t="s">
        <v>2033</v>
      </c>
      <c r="BE102" s="309" t="s">
        <v>2033</v>
      </c>
      <c r="BF102" s="309" t="s">
        <v>2033</v>
      </c>
      <c r="BG102" s="309" t="s">
        <v>2033</v>
      </c>
      <c r="BH102" s="309" t="s">
        <v>2033</v>
      </c>
      <c r="BI102" s="309" t="s">
        <v>2034</v>
      </c>
      <c r="BJ102" s="309" t="s">
        <v>2034</v>
      </c>
      <c r="BK102" s="309" t="s">
        <v>2034</v>
      </c>
      <c r="BL102" s="309" t="s">
        <v>2034</v>
      </c>
      <c r="BM102" s="309" t="s">
        <v>2034</v>
      </c>
      <c r="BN102" s="309" t="s">
        <v>2034</v>
      </c>
      <c r="BO102" s="309" t="s">
        <v>2034</v>
      </c>
      <c r="BP102" s="309" t="s">
        <v>2034</v>
      </c>
      <c r="BQ102" s="309" t="s">
        <v>2034</v>
      </c>
      <c r="BR102" s="309" t="s">
        <v>2034</v>
      </c>
      <c r="BS102" s="309" t="s">
        <v>2034</v>
      </c>
      <c r="BY102" s="309" t="s">
        <v>2372</v>
      </c>
      <c r="BZ102" s="309" t="s">
        <v>2372</v>
      </c>
      <c r="CA102" s="309" t="s">
        <v>2372</v>
      </c>
      <c r="CB102" s="309" t="s">
        <v>2036</v>
      </c>
      <c r="CC102" s="309" t="s">
        <v>2036</v>
      </c>
      <c r="CD102" s="309" t="s">
        <v>2036</v>
      </c>
      <c r="CE102" s="309" t="s">
        <v>2036</v>
      </c>
      <c r="CF102" s="309" t="s">
        <v>2036</v>
      </c>
      <c r="CG102" s="309" t="s">
        <v>2036</v>
      </c>
      <c r="CH102" s="309" t="s">
        <v>2036</v>
      </c>
      <c r="CI102" s="309" t="s">
        <v>2359</v>
      </c>
      <c r="CJ102" s="309" t="s">
        <v>2359</v>
      </c>
      <c r="CK102" s="309" t="s">
        <v>2359</v>
      </c>
      <c r="CL102" s="309" t="s">
        <v>2359</v>
      </c>
      <c r="CM102" s="309" t="s">
        <v>2359</v>
      </c>
      <c r="CN102" s="309" t="s">
        <v>2359</v>
      </c>
    </row>
    <row r="103" spans="1:92" x14ac:dyDescent="0.25">
      <c r="A103" s="372">
        <v>4</v>
      </c>
      <c r="B103" s="372">
        <v>7</v>
      </c>
      <c r="C103" s="372">
        <v>8</v>
      </c>
      <c r="D103" s="372" t="s">
        <v>2400</v>
      </c>
      <c r="E103" s="372" t="s">
        <v>2435</v>
      </c>
      <c r="F103" s="372" t="s">
        <v>2435</v>
      </c>
      <c r="G103" s="372" t="s">
        <v>2435</v>
      </c>
      <c r="H103" s="372" t="s">
        <v>2435</v>
      </c>
      <c r="I103" s="372">
        <v>4</v>
      </c>
      <c r="J103" s="372">
        <v>0</v>
      </c>
      <c r="K103" s="372">
        <v>0</v>
      </c>
      <c r="L103" s="372">
        <v>0</v>
      </c>
      <c r="M103" s="359">
        <v>92</v>
      </c>
      <c r="N103" s="399" t="s">
        <v>1118</v>
      </c>
      <c r="O103" s="237" t="s">
        <v>2776</v>
      </c>
      <c r="P103" s="237"/>
      <c r="Q103" s="360" t="s">
        <v>2301</v>
      </c>
      <c r="R103" s="361">
        <v>132087</v>
      </c>
      <c r="S103" s="369" t="s">
        <v>578</v>
      </c>
      <c r="T103" s="380">
        <v>44</v>
      </c>
      <c r="U103" s="364" t="s">
        <v>2302</v>
      </c>
      <c r="AH103" s="309" t="s">
        <v>2370</v>
      </c>
      <c r="AI103" s="309" t="s">
        <v>2370</v>
      </c>
      <c r="AJ103" s="309" t="s">
        <v>2370</v>
      </c>
      <c r="AK103" s="309" t="s">
        <v>2370</v>
      </c>
      <c r="AS103" s="309" t="s">
        <v>2033</v>
      </c>
      <c r="AT103" s="309" t="s">
        <v>2033</v>
      </c>
      <c r="AU103" s="309" t="s">
        <v>2033</v>
      </c>
      <c r="AV103" s="309" t="s">
        <v>2033</v>
      </c>
      <c r="AW103" s="309" t="s">
        <v>2033</v>
      </c>
      <c r="AX103" s="309" t="s">
        <v>2033</v>
      </c>
      <c r="AY103" s="309" t="s">
        <v>2033</v>
      </c>
      <c r="AZ103" s="309" t="s">
        <v>2033</v>
      </c>
      <c r="BA103" s="309" t="s">
        <v>2034</v>
      </c>
      <c r="BB103" s="309" t="s">
        <v>2034</v>
      </c>
      <c r="BC103" s="309" t="s">
        <v>2034</v>
      </c>
      <c r="BD103" s="309" t="s">
        <v>2034</v>
      </c>
      <c r="BE103" s="309" t="s">
        <v>2034</v>
      </c>
      <c r="BF103" s="309" t="s">
        <v>2034</v>
      </c>
      <c r="BG103" s="309" t="s">
        <v>2034</v>
      </c>
      <c r="BY103" s="309" t="s">
        <v>2361</v>
      </c>
      <c r="BZ103" s="309" t="s">
        <v>2361</v>
      </c>
      <c r="CA103" s="309" t="s">
        <v>2361</v>
      </c>
      <c r="CB103" s="309" t="s">
        <v>2361</v>
      </c>
      <c r="CC103" s="309" t="s">
        <v>2359</v>
      </c>
      <c r="CD103" s="309" t="s">
        <v>2359</v>
      </c>
      <c r="CE103" s="309" t="s">
        <v>2359</v>
      </c>
      <c r="CF103" s="309" t="s">
        <v>2359</v>
      </c>
    </row>
    <row r="104" spans="1:92" x14ac:dyDescent="0.25">
      <c r="A104" s="372">
        <v>5</v>
      </c>
      <c r="B104" s="372">
        <v>11</v>
      </c>
      <c r="C104" s="372">
        <v>12</v>
      </c>
      <c r="D104" s="372" t="s">
        <v>2374</v>
      </c>
      <c r="E104" s="372" t="s">
        <v>2435</v>
      </c>
      <c r="F104" s="372" t="s">
        <v>2435</v>
      </c>
      <c r="G104" s="372" t="s">
        <v>2393</v>
      </c>
      <c r="H104" s="372" t="s">
        <v>2435</v>
      </c>
      <c r="I104" s="372">
        <v>0</v>
      </c>
      <c r="J104" s="372">
        <v>3</v>
      </c>
      <c r="K104" s="372">
        <v>0</v>
      </c>
      <c r="L104" s="372">
        <v>5</v>
      </c>
      <c r="M104" s="359">
        <v>73</v>
      </c>
      <c r="N104" s="399" t="s">
        <v>988</v>
      </c>
      <c r="O104" s="237" t="s">
        <v>2777</v>
      </c>
      <c r="P104" s="237"/>
      <c r="Q104" s="360" t="s">
        <v>2271</v>
      </c>
      <c r="R104" s="361">
        <v>133724</v>
      </c>
      <c r="S104" s="369" t="s">
        <v>578</v>
      </c>
      <c r="T104" s="380">
        <v>42</v>
      </c>
      <c r="U104" s="364" t="s">
        <v>2272</v>
      </c>
      <c r="AH104" s="309" t="s">
        <v>2037</v>
      </c>
      <c r="AI104" s="309" t="s">
        <v>2037</v>
      </c>
      <c r="AJ104" s="309" t="s">
        <v>2037</v>
      </c>
      <c r="AK104" s="309" t="s">
        <v>2037</v>
      </c>
      <c r="AL104" s="309" t="s">
        <v>2370</v>
      </c>
      <c r="AS104" s="309" t="s">
        <v>2033</v>
      </c>
      <c r="AT104" s="309" t="s">
        <v>2033</v>
      </c>
      <c r="AU104" s="309" t="s">
        <v>2033</v>
      </c>
      <c r="AV104" s="309" t="s">
        <v>2033</v>
      </c>
      <c r="AW104" s="309" t="s">
        <v>2033</v>
      </c>
      <c r="AX104" s="309" t="s">
        <v>2033</v>
      </c>
      <c r="AY104" s="309" t="s">
        <v>2033</v>
      </c>
      <c r="AZ104" s="309" t="s">
        <v>2033</v>
      </c>
      <c r="BA104" s="309" t="s">
        <v>2033</v>
      </c>
      <c r="BB104" s="309" t="s">
        <v>2033</v>
      </c>
      <c r="BC104" s="309" t="s">
        <v>2033</v>
      </c>
      <c r="BD104" s="309" t="s">
        <v>2033</v>
      </c>
      <c r="BE104" s="309" t="s">
        <v>2034</v>
      </c>
      <c r="BF104" s="309" t="s">
        <v>2034</v>
      </c>
      <c r="BG104" s="309" t="s">
        <v>2034</v>
      </c>
      <c r="BH104" s="309" t="s">
        <v>2034</v>
      </c>
      <c r="BI104" s="309" t="s">
        <v>2034</v>
      </c>
      <c r="BJ104" s="309" t="s">
        <v>2034</v>
      </c>
      <c r="BK104" s="309" t="s">
        <v>2034</v>
      </c>
      <c r="BL104" s="309" t="s">
        <v>2034</v>
      </c>
      <c r="BM104" s="309" t="s">
        <v>2034</v>
      </c>
      <c r="BN104" s="309" t="s">
        <v>2034</v>
      </c>
      <c r="BO104" s="309" t="s">
        <v>2034</v>
      </c>
      <c r="BY104" s="309" t="s">
        <v>2372</v>
      </c>
      <c r="BZ104" s="309" t="s">
        <v>2372</v>
      </c>
      <c r="CA104" s="309" t="s">
        <v>2372</v>
      </c>
      <c r="CB104" s="309" t="s">
        <v>2036</v>
      </c>
      <c r="CC104" s="309" t="s">
        <v>2036</v>
      </c>
      <c r="CD104" s="309" t="s">
        <v>2036</v>
      </c>
      <c r="CE104" s="309" t="s">
        <v>2036</v>
      </c>
      <c r="CF104" s="309" t="s">
        <v>2036</v>
      </c>
      <c r="CG104" s="309" t="s">
        <v>2359</v>
      </c>
      <c r="CH104" s="309" t="s">
        <v>2359</v>
      </c>
      <c r="CI104" s="309" t="s">
        <v>2359</v>
      </c>
      <c r="CJ104" s="309" t="s">
        <v>2359</v>
      </c>
      <c r="CK104" s="309" t="s">
        <v>2359</v>
      </c>
    </row>
    <row r="105" spans="1:92" x14ac:dyDescent="0.25">
      <c r="A105" s="372">
        <v>5</v>
      </c>
      <c r="B105" s="372">
        <v>7</v>
      </c>
      <c r="C105" s="372">
        <v>12</v>
      </c>
      <c r="D105" s="372" t="s">
        <v>2401</v>
      </c>
      <c r="E105" s="372" t="s">
        <v>2435</v>
      </c>
      <c r="F105" s="372" t="s">
        <v>2435</v>
      </c>
      <c r="G105" s="372" t="s">
        <v>2435</v>
      </c>
      <c r="H105" s="372" t="s">
        <v>2435</v>
      </c>
      <c r="I105" s="372">
        <v>5</v>
      </c>
      <c r="J105" s="372">
        <v>0</v>
      </c>
      <c r="K105" s="372">
        <v>0</v>
      </c>
      <c r="L105" s="372">
        <v>0</v>
      </c>
      <c r="M105" s="359">
        <v>85</v>
      </c>
      <c r="N105" s="399" t="s">
        <v>919</v>
      </c>
      <c r="O105" s="237" t="s">
        <v>1519</v>
      </c>
      <c r="P105" s="237"/>
      <c r="Q105" s="360" t="s">
        <v>2253</v>
      </c>
      <c r="R105" s="361">
        <v>133758</v>
      </c>
      <c r="S105" s="368" t="s">
        <v>902</v>
      </c>
      <c r="T105" s="370">
        <v>11.4</v>
      </c>
      <c r="U105" s="364" t="s">
        <v>2254</v>
      </c>
      <c r="AH105" s="309" t="s">
        <v>2370</v>
      </c>
      <c r="AI105" s="309" t="s">
        <v>2370</v>
      </c>
      <c r="AJ105" s="309" t="s">
        <v>2370</v>
      </c>
      <c r="AK105" s="309" t="s">
        <v>2370</v>
      </c>
      <c r="AL105" s="309" t="s">
        <v>2370</v>
      </c>
      <c r="AS105" s="309" t="s">
        <v>2033</v>
      </c>
      <c r="AT105" s="309" t="s">
        <v>2033</v>
      </c>
      <c r="AU105" s="309" t="s">
        <v>2033</v>
      </c>
      <c r="AV105" s="309" t="s">
        <v>2033</v>
      </c>
      <c r="AW105" s="309" t="s">
        <v>2033</v>
      </c>
      <c r="AX105" s="309" t="s">
        <v>2033</v>
      </c>
      <c r="AY105" s="309" t="s">
        <v>2033</v>
      </c>
      <c r="AZ105" s="309" t="s">
        <v>2033</v>
      </c>
      <c r="BA105" s="309" t="s">
        <v>2033</v>
      </c>
      <c r="BB105" s="309" t="s">
        <v>2033</v>
      </c>
      <c r="BC105" s="309" t="s">
        <v>2033</v>
      </c>
      <c r="BD105" s="309" t="s">
        <v>2033</v>
      </c>
      <c r="BE105" s="309" t="s">
        <v>2034</v>
      </c>
      <c r="BF105" s="309" t="s">
        <v>2034</v>
      </c>
      <c r="BG105" s="309" t="s">
        <v>2034</v>
      </c>
      <c r="BH105" s="309" t="s">
        <v>2034</v>
      </c>
      <c r="BI105" s="309" t="s">
        <v>2034</v>
      </c>
      <c r="BJ105" s="309" t="s">
        <v>2034</v>
      </c>
      <c r="BK105" s="309" t="s">
        <v>2034</v>
      </c>
      <c r="BY105" s="309" t="s">
        <v>2361</v>
      </c>
      <c r="BZ105" s="309" t="s">
        <v>2361</v>
      </c>
      <c r="CA105" s="309" t="s">
        <v>2361</v>
      </c>
      <c r="CB105" s="309" t="s">
        <v>2361</v>
      </c>
      <c r="CC105" s="309" t="s">
        <v>2361</v>
      </c>
      <c r="CD105" s="309" t="s">
        <v>2359</v>
      </c>
      <c r="CE105" s="309" t="s">
        <v>2359</v>
      </c>
      <c r="CF105" s="309" t="s">
        <v>2359</v>
      </c>
      <c r="CG105" s="309" t="s">
        <v>2359</v>
      </c>
      <c r="CH105" s="309" t="s">
        <v>2359</v>
      </c>
    </row>
    <row r="106" spans="1:92" x14ac:dyDescent="0.25">
      <c r="A106" s="372">
        <v>5</v>
      </c>
      <c r="B106" s="372">
        <v>7</v>
      </c>
      <c r="C106" s="372">
        <v>12</v>
      </c>
      <c r="D106" s="372" t="s">
        <v>2402</v>
      </c>
      <c r="E106" s="372" t="s">
        <v>2435</v>
      </c>
      <c r="F106" s="372" t="s">
        <v>2435</v>
      </c>
      <c r="G106" s="372" t="s">
        <v>2435</v>
      </c>
      <c r="H106" s="372" t="s">
        <v>2435</v>
      </c>
      <c r="I106" s="372">
        <v>5</v>
      </c>
      <c r="J106" s="372">
        <v>0</v>
      </c>
      <c r="K106" s="372">
        <v>0</v>
      </c>
      <c r="L106" s="372">
        <v>0</v>
      </c>
      <c r="M106" s="359">
        <v>115</v>
      </c>
      <c r="N106" s="399" t="s">
        <v>922</v>
      </c>
      <c r="O106" s="237" t="s">
        <v>1519</v>
      </c>
      <c r="P106" s="237"/>
      <c r="Q106" s="360" t="s">
        <v>2255</v>
      </c>
      <c r="R106" s="361">
        <v>138766</v>
      </c>
      <c r="S106" s="368" t="s">
        <v>902</v>
      </c>
      <c r="T106" s="370">
        <v>11.4</v>
      </c>
      <c r="U106" s="364" t="s">
        <v>2256</v>
      </c>
      <c r="AH106" s="309" t="s">
        <v>2370</v>
      </c>
      <c r="AI106" s="309" t="s">
        <v>2370</v>
      </c>
      <c r="AJ106" s="309" t="s">
        <v>2370</v>
      </c>
      <c r="AK106" s="309" t="s">
        <v>2370</v>
      </c>
      <c r="AL106" s="309" t="s">
        <v>2370</v>
      </c>
      <c r="AS106" s="309" t="s">
        <v>2033</v>
      </c>
      <c r="AT106" s="309" t="s">
        <v>2033</v>
      </c>
      <c r="AU106" s="309" t="s">
        <v>2033</v>
      </c>
      <c r="AV106" s="309" t="s">
        <v>2033</v>
      </c>
      <c r="AW106" s="309" t="s">
        <v>2033</v>
      </c>
      <c r="AX106" s="309" t="s">
        <v>2033</v>
      </c>
      <c r="AY106" s="309" t="s">
        <v>2033</v>
      </c>
      <c r="AZ106" s="309" t="s">
        <v>2033</v>
      </c>
      <c r="BA106" s="309" t="s">
        <v>2033</v>
      </c>
      <c r="BB106" s="309" t="s">
        <v>2033</v>
      </c>
      <c r="BC106" s="309" t="s">
        <v>2033</v>
      </c>
      <c r="BD106" s="309" t="s">
        <v>2033</v>
      </c>
      <c r="BE106" s="309" t="s">
        <v>2034</v>
      </c>
      <c r="BF106" s="309" t="s">
        <v>2034</v>
      </c>
      <c r="BG106" s="309" t="s">
        <v>2034</v>
      </c>
      <c r="BH106" s="309" t="s">
        <v>2034</v>
      </c>
      <c r="BI106" s="309" t="s">
        <v>2034</v>
      </c>
      <c r="BJ106" s="309" t="s">
        <v>2034</v>
      </c>
      <c r="BK106" s="309" t="s">
        <v>2034</v>
      </c>
      <c r="BY106" s="309" t="s">
        <v>2361</v>
      </c>
      <c r="BZ106" s="309" t="s">
        <v>2361</v>
      </c>
      <c r="CA106" s="309" t="s">
        <v>2361</v>
      </c>
      <c r="CB106" s="309" t="s">
        <v>2361</v>
      </c>
      <c r="CC106" s="309" t="s">
        <v>2361</v>
      </c>
      <c r="CD106" s="309" t="s">
        <v>2359</v>
      </c>
      <c r="CE106" s="309" t="s">
        <v>2359</v>
      </c>
      <c r="CF106" s="309" t="s">
        <v>2359</v>
      </c>
      <c r="CG106" s="309" t="s">
        <v>2359</v>
      </c>
      <c r="CH106" s="309" t="s">
        <v>2359</v>
      </c>
    </row>
    <row r="107" spans="1:92" x14ac:dyDescent="0.25">
      <c r="A107" s="372">
        <v>4</v>
      </c>
      <c r="B107" s="372">
        <v>7</v>
      </c>
      <c r="C107" s="372">
        <v>8</v>
      </c>
      <c r="D107" s="372" t="s">
        <v>2374</v>
      </c>
      <c r="E107" s="372" t="s">
        <v>2435</v>
      </c>
      <c r="F107" s="372" t="s">
        <v>2435</v>
      </c>
      <c r="G107" s="372" t="s">
        <v>2403</v>
      </c>
      <c r="H107" s="372" t="s">
        <v>2435</v>
      </c>
      <c r="I107" s="372">
        <v>0</v>
      </c>
      <c r="J107" s="372">
        <v>2</v>
      </c>
      <c r="K107" s="372">
        <v>0</v>
      </c>
      <c r="L107" s="372">
        <v>4</v>
      </c>
      <c r="M107" s="359">
        <v>129</v>
      </c>
      <c r="N107" s="399" t="s">
        <v>937</v>
      </c>
      <c r="O107" s="237" t="s">
        <v>1515</v>
      </c>
      <c r="P107" s="237"/>
      <c r="Q107" s="360" t="s">
        <v>2265</v>
      </c>
      <c r="R107" s="361">
        <v>139113</v>
      </c>
      <c r="S107" s="369" t="s">
        <v>578</v>
      </c>
      <c r="T107" s="380">
        <v>43</v>
      </c>
      <c r="U107" s="364" t="s">
        <v>2266</v>
      </c>
      <c r="AH107" s="309" t="s">
        <v>2037</v>
      </c>
      <c r="AI107" s="309" t="s">
        <v>2037</v>
      </c>
      <c r="AJ107" s="309" t="s">
        <v>2037</v>
      </c>
      <c r="AK107" s="309" t="s">
        <v>2370</v>
      </c>
      <c r="AS107" s="309" t="s">
        <v>2033</v>
      </c>
      <c r="AT107" s="309" t="s">
        <v>2033</v>
      </c>
      <c r="AU107" s="309" t="s">
        <v>2033</v>
      </c>
      <c r="AV107" s="309" t="s">
        <v>2033</v>
      </c>
      <c r="AW107" s="309" t="s">
        <v>2033</v>
      </c>
      <c r="AX107" s="309" t="s">
        <v>2033</v>
      </c>
      <c r="AY107" s="309" t="s">
        <v>2033</v>
      </c>
      <c r="AZ107" s="309" t="s">
        <v>2033</v>
      </c>
      <c r="BA107" s="309" t="s">
        <v>2034</v>
      </c>
      <c r="BB107" s="309" t="s">
        <v>2034</v>
      </c>
      <c r="BC107" s="309" t="s">
        <v>2034</v>
      </c>
      <c r="BD107" s="309" t="s">
        <v>2034</v>
      </c>
      <c r="BE107" s="309" t="s">
        <v>2034</v>
      </c>
      <c r="BF107" s="309" t="s">
        <v>2034</v>
      </c>
      <c r="BG107" s="309" t="s">
        <v>2034</v>
      </c>
      <c r="BY107" s="309" t="s">
        <v>2372</v>
      </c>
      <c r="BZ107" s="309" t="s">
        <v>2372</v>
      </c>
      <c r="CA107" s="309" t="s">
        <v>2036</v>
      </c>
      <c r="CB107" s="309" t="s">
        <v>2036</v>
      </c>
      <c r="CC107" s="309" t="s">
        <v>2036</v>
      </c>
      <c r="CD107" s="309" t="s">
        <v>2036</v>
      </c>
      <c r="CE107" s="309" t="s">
        <v>2359</v>
      </c>
      <c r="CF107" s="309" t="s">
        <v>2359</v>
      </c>
      <c r="CG107" s="309" t="s">
        <v>2359</v>
      </c>
      <c r="CH107" s="309" t="s">
        <v>2359</v>
      </c>
    </row>
    <row r="108" spans="1:92" x14ac:dyDescent="0.25">
      <c r="A108" s="372">
        <v>5</v>
      </c>
      <c r="B108" s="372">
        <v>11</v>
      </c>
      <c r="C108" s="372">
        <v>12</v>
      </c>
      <c r="D108" s="372" t="s">
        <v>2374</v>
      </c>
      <c r="E108" s="372" t="s">
        <v>2435</v>
      </c>
      <c r="F108" s="372" t="s">
        <v>2435</v>
      </c>
      <c r="G108" s="372" t="s">
        <v>2394</v>
      </c>
      <c r="H108" s="372" t="s">
        <v>2435</v>
      </c>
      <c r="I108" s="372">
        <v>0</v>
      </c>
      <c r="J108" s="372">
        <v>3</v>
      </c>
      <c r="K108" s="372">
        <v>0</v>
      </c>
      <c r="L108" s="372">
        <v>5</v>
      </c>
      <c r="M108" s="359">
        <v>89</v>
      </c>
      <c r="N108" s="399" t="s">
        <v>991</v>
      </c>
      <c r="O108" s="237" t="s">
        <v>2777</v>
      </c>
      <c r="P108" s="237"/>
      <c r="Q108" s="360" t="s">
        <v>2273</v>
      </c>
      <c r="R108" s="361">
        <v>139426</v>
      </c>
      <c r="S108" s="369" t="s">
        <v>578</v>
      </c>
      <c r="T108" s="380">
        <v>42</v>
      </c>
      <c r="U108" s="364" t="s">
        <v>2274</v>
      </c>
      <c r="AH108" s="309" t="s">
        <v>2037</v>
      </c>
      <c r="AI108" s="309" t="s">
        <v>2037</v>
      </c>
      <c r="AJ108" s="309" t="s">
        <v>2037</v>
      </c>
      <c r="AK108" s="309" t="s">
        <v>2037</v>
      </c>
      <c r="AL108" s="309" t="s">
        <v>2370</v>
      </c>
      <c r="AS108" s="309" t="s">
        <v>2033</v>
      </c>
      <c r="AT108" s="309" t="s">
        <v>2033</v>
      </c>
      <c r="AU108" s="309" t="s">
        <v>2033</v>
      </c>
      <c r="AV108" s="309" t="s">
        <v>2033</v>
      </c>
      <c r="AW108" s="309" t="s">
        <v>2033</v>
      </c>
      <c r="AX108" s="309" t="s">
        <v>2033</v>
      </c>
      <c r="AY108" s="309" t="s">
        <v>2033</v>
      </c>
      <c r="AZ108" s="309" t="s">
        <v>2033</v>
      </c>
      <c r="BA108" s="309" t="s">
        <v>2033</v>
      </c>
      <c r="BB108" s="309" t="s">
        <v>2033</v>
      </c>
      <c r="BC108" s="309" t="s">
        <v>2033</v>
      </c>
      <c r="BD108" s="309" t="s">
        <v>2033</v>
      </c>
      <c r="BE108" s="309" t="s">
        <v>2034</v>
      </c>
      <c r="BF108" s="309" t="s">
        <v>2034</v>
      </c>
      <c r="BG108" s="309" t="s">
        <v>2034</v>
      </c>
      <c r="BH108" s="309" t="s">
        <v>2034</v>
      </c>
      <c r="BI108" s="309" t="s">
        <v>2034</v>
      </c>
      <c r="BJ108" s="309" t="s">
        <v>2034</v>
      </c>
      <c r="BK108" s="309" t="s">
        <v>2034</v>
      </c>
      <c r="BL108" s="309" t="s">
        <v>2034</v>
      </c>
      <c r="BM108" s="309" t="s">
        <v>2034</v>
      </c>
      <c r="BN108" s="309" t="s">
        <v>2034</v>
      </c>
      <c r="BO108" s="309" t="s">
        <v>2034</v>
      </c>
      <c r="BY108" s="309" t="s">
        <v>2372</v>
      </c>
      <c r="BZ108" s="309" t="s">
        <v>2372</v>
      </c>
      <c r="CA108" s="309" t="s">
        <v>2372</v>
      </c>
      <c r="CB108" s="309" t="s">
        <v>2036</v>
      </c>
      <c r="CC108" s="309" t="s">
        <v>2036</v>
      </c>
      <c r="CD108" s="309" t="s">
        <v>2036</v>
      </c>
      <c r="CE108" s="309" t="s">
        <v>2036</v>
      </c>
      <c r="CF108" s="309" t="s">
        <v>2036</v>
      </c>
      <c r="CG108" s="309" t="s">
        <v>2359</v>
      </c>
      <c r="CH108" s="309" t="s">
        <v>2359</v>
      </c>
      <c r="CI108" s="309" t="s">
        <v>2359</v>
      </c>
      <c r="CJ108" s="309" t="s">
        <v>2359</v>
      </c>
      <c r="CK108" s="309" t="s">
        <v>2359</v>
      </c>
    </row>
    <row r="109" spans="1:92" x14ac:dyDescent="0.25">
      <c r="A109" s="373">
        <v>5</v>
      </c>
      <c r="B109" s="373">
        <v>11</v>
      </c>
      <c r="C109" s="373">
        <v>12</v>
      </c>
      <c r="D109" s="373" t="s">
        <v>2774</v>
      </c>
      <c r="E109" s="373" t="s">
        <v>2435</v>
      </c>
      <c r="F109" s="373" t="s">
        <v>2435</v>
      </c>
      <c r="G109" s="373" t="s">
        <v>2392</v>
      </c>
      <c r="H109" s="373" t="s">
        <v>2435</v>
      </c>
      <c r="I109" s="373">
        <v>0</v>
      </c>
      <c r="J109" s="373">
        <v>3</v>
      </c>
      <c r="K109" s="373">
        <v>0</v>
      </c>
      <c r="L109" s="373">
        <v>5</v>
      </c>
      <c r="M109" s="366">
        <v>86</v>
      </c>
      <c r="N109" s="398" t="s">
        <v>1013</v>
      </c>
      <c r="O109" s="374" t="s">
        <v>2777</v>
      </c>
      <c r="P109" s="374"/>
      <c r="Q109" s="375" t="s">
        <v>1014</v>
      </c>
      <c r="R109" s="396">
        <v>140239</v>
      </c>
      <c r="S109" s="381" t="s">
        <v>578</v>
      </c>
      <c r="T109" s="382">
        <v>42</v>
      </c>
      <c r="U109" s="379" t="s">
        <v>1015</v>
      </c>
      <c r="AH109" s="309" t="s">
        <v>2037</v>
      </c>
      <c r="AI109" s="309" t="s">
        <v>2037</v>
      </c>
      <c r="AJ109" s="309" t="s">
        <v>2037</v>
      </c>
      <c r="AK109" s="309" t="s">
        <v>2370</v>
      </c>
      <c r="AL109" s="309" t="s">
        <v>2370</v>
      </c>
      <c r="AS109" s="309" t="s">
        <v>2033</v>
      </c>
      <c r="AT109" s="309" t="s">
        <v>2033</v>
      </c>
      <c r="AU109" s="309" t="s">
        <v>2033</v>
      </c>
      <c r="AV109" s="309" t="s">
        <v>2033</v>
      </c>
      <c r="AW109" s="309" t="s">
        <v>2033</v>
      </c>
      <c r="AX109" s="309" t="s">
        <v>2033</v>
      </c>
      <c r="AY109" s="309" t="s">
        <v>2033</v>
      </c>
      <c r="AZ109" s="309" t="s">
        <v>2033</v>
      </c>
      <c r="BA109" s="309" t="s">
        <v>2033</v>
      </c>
      <c r="BB109" s="309" t="s">
        <v>2033</v>
      </c>
      <c r="BC109" s="309" t="s">
        <v>2033</v>
      </c>
      <c r="BD109" s="309" t="s">
        <v>2033</v>
      </c>
      <c r="BE109" s="309" t="s">
        <v>2034</v>
      </c>
      <c r="BF109" s="309" t="s">
        <v>2034</v>
      </c>
      <c r="BG109" s="309" t="s">
        <v>2034</v>
      </c>
      <c r="BH109" s="309" t="s">
        <v>2034</v>
      </c>
      <c r="BI109" s="309" t="s">
        <v>2034</v>
      </c>
      <c r="BJ109" s="309" t="s">
        <v>2034</v>
      </c>
      <c r="BK109" s="309" t="s">
        <v>2034</v>
      </c>
      <c r="BL109" s="309" t="s">
        <v>2034</v>
      </c>
      <c r="BM109" s="309" t="s">
        <v>2034</v>
      </c>
      <c r="BN109" s="309" t="s">
        <v>2034</v>
      </c>
      <c r="BO109" s="309" t="s">
        <v>2034</v>
      </c>
      <c r="BY109" s="309" t="s">
        <v>2372</v>
      </c>
      <c r="BZ109" s="309" t="s">
        <v>2372</v>
      </c>
      <c r="CA109" s="309" t="s">
        <v>2372</v>
      </c>
      <c r="CB109" s="309" t="s">
        <v>2036</v>
      </c>
      <c r="CC109" s="309" t="s">
        <v>2036</v>
      </c>
      <c r="CD109" s="309" t="s">
        <v>2036</v>
      </c>
      <c r="CE109" s="309" t="s">
        <v>2036</v>
      </c>
      <c r="CF109" s="309" t="s">
        <v>2036</v>
      </c>
      <c r="CG109" s="309" t="s">
        <v>2359</v>
      </c>
      <c r="CH109" s="309" t="s">
        <v>2359</v>
      </c>
      <c r="CI109" s="309" t="s">
        <v>2359</v>
      </c>
      <c r="CJ109" s="309" t="s">
        <v>2359</v>
      </c>
      <c r="CK109" s="309" t="s">
        <v>2359</v>
      </c>
    </row>
    <row r="110" spans="1:92" x14ac:dyDescent="0.25">
      <c r="A110" s="373">
        <v>5</v>
      </c>
      <c r="B110" s="373">
        <v>11</v>
      </c>
      <c r="C110" s="373">
        <v>12</v>
      </c>
      <c r="D110" s="373" t="s">
        <v>2774</v>
      </c>
      <c r="E110" s="373" t="s">
        <v>2435</v>
      </c>
      <c r="F110" s="373" t="s">
        <v>2435</v>
      </c>
      <c r="G110" s="373" t="s">
        <v>2389</v>
      </c>
      <c r="H110" s="373" t="s">
        <v>2435</v>
      </c>
      <c r="I110" s="373">
        <v>0</v>
      </c>
      <c r="J110" s="373">
        <v>3</v>
      </c>
      <c r="K110" s="373">
        <v>0</v>
      </c>
      <c r="L110" s="373">
        <v>5</v>
      </c>
      <c r="M110" s="366">
        <v>101</v>
      </c>
      <c r="N110" s="398" t="s">
        <v>1016</v>
      </c>
      <c r="O110" s="374" t="s">
        <v>2777</v>
      </c>
      <c r="P110" s="374"/>
      <c r="Q110" s="375" t="s">
        <v>1017</v>
      </c>
      <c r="R110" s="396">
        <v>140757</v>
      </c>
      <c r="S110" s="381" t="s">
        <v>578</v>
      </c>
      <c r="T110" s="382">
        <v>42</v>
      </c>
      <c r="U110" s="379" t="s">
        <v>1018</v>
      </c>
      <c r="AH110" s="309" t="s">
        <v>2037</v>
      </c>
      <c r="AI110" s="309" t="s">
        <v>2037</v>
      </c>
      <c r="AJ110" s="309" t="s">
        <v>2037</v>
      </c>
      <c r="AK110" s="309" t="s">
        <v>2370</v>
      </c>
      <c r="AL110" s="309" t="s">
        <v>2370</v>
      </c>
      <c r="AS110" s="309" t="s">
        <v>2033</v>
      </c>
      <c r="AT110" s="309" t="s">
        <v>2033</v>
      </c>
      <c r="AU110" s="309" t="s">
        <v>2033</v>
      </c>
      <c r="AV110" s="309" t="s">
        <v>2033</v>
      </c>
      <c r="AW110" s="309" t="s">
        <v>2033</v>
      </c>
      <c r="AX110" s="309" t="s">
        <v>2033</v>
      </c>
      <c r="AY110" s="309" t="s">
        <v>2033</v>
      </c>
      <c r="AZ110" s="309" t="s">
        <v>2033</v>
      </c>
      <c r="BA110" s="309" t="s">
        <v>2033</v>
      </c>
      <c r="BB110" s="309" t="s">
        <v>2033</v>
      </c>
      <c r="BC110" s="309" t="s">
        <v>2033</v>
      </c>
      <c r="BD110" s="309" t="s">
        <v>2033</v>
      </c>
      <c r="BE110" s="309" t="s">
        <v>2034</v>
      </c>
      <c r="BF110" s="309" t="s">
        <v>2034</v>
      </c>
      <c r="BG110" s="309" t="s">
        <v>2034</v>
      </c>
      <c r="BH110" s="309" t="s">
        <v>2034</v>
      </c>
      <c r="BI110" s="309" t="s">
        <v>2034</v>
      </c>
      <c r="BJ110" s="309" t="s">
        <v>2034</v>
      </c>
      <c r="BK110" s="309" t="s">
        <v>2034</v>
      </c>
      <c r="BL110" s="309" t="s">
        <v>2034</v>
      </c>
      <c r="BM110" s="309" t="s">
        <v>2034</v>
      </c>
      <c r="BN110" s="309" t="s">
        <v>2034</v>
      </c>
      <c r="BO110" s="309" t="s">
        <v>2034</v>
      </c>
      <c r="BY110" s="309" t="s">
        <v>2372</v>
      </c>
      <c r="BZ110" s="309" t="s">
        <v>2372</v>
      </c>
      <c r="CA110" s="309" t="s">
        <v>2372</v>
      </c>
      <c r="CB110" s="309" t="s">
        <v>2036</v>
      </c>
      <c r="CC110" s="309" t="s">
        <v>2036</v>
      </c>
      <c r="CD110" s="309" t="s">
        <v>2036</v>
      </c>
      <c r="CE110" s="309" t="s">
        <v>2036</v>
      </c>
      <c r="CF110" s="309" t="s">
        <v>2036</v>
      </c>
      <c r="CG110" s="309" t="s">
        <v>2359</v>
      </c>
      <c r="CH110" s="309" t="s">
        <v>2359</v>
      </c>
      <c r="CI110" s="309" t="s">
        <v>2359</v>
      </c>
      <c r="CJ110" s="309" t="s">
        <v>2359</v>
      </c>
      <c r="CK110" s="309" t="s">
        <v>2359</v>
      </c>
    </row>
    <row r="111" spans="1:92" x14ac:dyDescent="0.25">
      <c r="A111" s="373">
        <v>4</v>
      </c>
      <c r="B111" s="373">
        <v>7</v>
      </c>
      <c r="C111" s="373">
        <v>8</v>
      </c>
      <c r="D111" s="373" t="s">
        <v>2774</v>
      </c>
      <c r="E111" s="373" t="s">
        <v>2435</v>
      </c>
      <c r="F111" s="373" t="s">
        <v>2435</v>
      </c>
      <c r="G111" s="373" t="s">
        <v>2403</v>
      </c>
      <c r="H111" s="373" t="s">
        <v>2435</v>
      </c>
      <c r="I111" s="373">
        <v>0</v>
      </c>
      <c r="J111" s="373">
        <v>2</v>
      </c>
      <c r="K111" s="373">
        <v>0</v>
      </c>
      <c r="L111" s="373">
        <v>4</v>
      </c>
      <c r="M111" s="366">
        <v>146</v>
      </c>
      <c r="N111" s="398" t="s">
        <v>958</v>
      </c>
      <c r="O111" s="237" t="s">
        <v>2776</v>
      </c>
      <c r="P111" s="374"/>
      <c r="Q111" s="375" t="s">
        <v>959</v>
      </c>
      <c r="R111" s="396">
        <v>140873</v>
      </c>
      <c r="S111" s="381" t="s">
        <v>578</v>
      </c>
      <c r="T111" s="382">
        <v>43</v>
      </c>
      <c r="U111" s="379" t="s">
        <v>960</v>
      </c>
      <c r="AH111" s="309" t="s">
        <v>2037</v>
      </c>
      <c r="AI111" s="309" t="s">
        <v>2037</v>
      </c>
      <c r="AJ111" s="309" t="s">
        <v>2037</v>
      </c>
      <c r="AK111" s="309" t="s">
        <v>2370</v>
      </c>
      <c r="AL111" s="309" t="s">
        <v>2370</v>
      </c>
      <c r="AS111" s="309" t="s">
        <v>2033</v>
      </c>
      <c r="AT111" s="309" t="s">
        <v>2033</v>
      </c>
      <c r="AU111" s="309" t="s">
        <v>2033</v>
      </c>
      <c r="AV111" s="309" t="s">
        <v>2033</v>
      </c>
      <c r="AW111" s="309" t="s">
        <v>2033</v>
      </c>
      <c r="AX111" s="309" t="s">
        <v>2033</v>
      </c>
      <c r="AY111" s="309" t="s">
        <v>2033</v>
      </c>
      <c r="AZ111" s="309" t="s">
        <v>2033</v>
      </c>
      <c r="BA111" s="309" t="s">
        <v>2034</v>
      </c>
      <c r="BB111" s="309" t="s">
        <v>2034</v>
      </c>
      <c r="BC111" s="309" t="s">
        <v>2034</v>
      </c>
      <c r="BD111" s="309" t="s">
        <v>2034</v>
      </c>
      <c r="BE111" s="309" t="s">
        <v>2034</v>
      </c>
      <c r="BF111" s="309" t="s">
        <v>2034</v>
      </c>
      <c r="BG111" s="309" t="s">
        <v>2034</v>
      </c>
      <c r="BY111" s="309" t="s">
        <v>2372</v>
      </c>
      <c r="BZ111" s="309" t="s">
        <v>2372</v>
      </c>
      <c r="CA111" s="309" t="s">
        <v>2036</v>
      </c>
      <c r="CB111" s="309" t="s">
        <v>2036</v>
      </c>
      <c r="CC111" s="309" t="s">
        <v>2036</v>
      </c>
      <c r="CD111" s="309" t="s">
        <v>2036</v>
      </c>
      <c r="CE111" s="309" t="s">
        <v>2359</v>
      </c>
      <c r="CF111" s="309" t="s">
        <v>2359</v>
      </c>
      <c r="CG111" s="309" t="s">
        <v>2359</v>
      </c>
      <c r="CH111" s="309" t="s">
        <v>2359</v>
      </c>
    </row>
    <row r="112" spans="1:92" x14ac:dyDescent="0.25">
      <c r="A112" s="372">
        <v>5</v>
      </c>
      <c r="B112" s="372">
        <v>11</v>
      </c>
      <c r="C112" s="372">
        <v>12</v>
      </c>
      <c r="D112" s="372" t="s">
        <v>2374</v>
      </c>
      <c r="E112" s="372" t="s">
        <v>2435</v>
      </c>
      <c r="F112" s="372" t="s">
        <v>2435</v>
      </c>
      <c r="G112" s="372" t="s">
        <v>2395</v>
      </c>
      <c r="H112" s="372" t="s">
        <v>2435</v>
      </c>
      <c r="I112" s="372">
        <v>0</v>
      </c>
      <c r="J112" s="372">
        <v>3</v>
      </c>
      <c r="K112" s="372">
        <v>0</v>
      </c>
      <c r="L112" s="372">
        <v>5</v>
      </c>
      <c r="M112" s="359">
        <v>109</v>
      </c>
      <c r="N112" s="399" t="s">
        <v>994</v>
      </c>
      <c r="O112" s="237" t="s">
        <v>2777</v>
      </c>
      <c r="P112" s="237"/>
      <c r="Q112" s="360" t="s">
        <v>2275</v>
      </c>
      <c r="R112" s="361">
        <v>141978</v>
      </c>
      <c r="S112" s="369" t="s">
        <v>578</v>
      </c>
      <c r="T112" s="380">
        <v>42</v>
      </c>
      <c r="U112" s="364" t="s">
        <v>2276</v>
      </c>
      <c r="AH112" s="309" t="s">
        <v>2037</v>
      </c>
      <c r="AI112" s="309" t="s">
        <v>2037</v>
      </c>
      <c r="AJ112" s="309" t="s">
        <v>2037</v>
      </c>
      <c r="AK112" s="309" t="s">
        <v>2037</v>
      </c>
      <c r="AL112" s="309" t="s">
        <v>2370</v>
      </c>
      <c r="AS112" s="309" t="s">
        <v>2033</v>
      </c>
      <c r="AT112" s="309" t="s">
        <v>2033</v>
      </c>
      <c r="AU112" s="309" t="s">
        <v>2033</v>
      </c>
      <c r="AV112" s="309" t="s">
        <v>2033</v>
      </c>
      <c r="AW112" s="309" t="s">
        <v>2033</v>
      </c>
      <c r="AX112" s="309" t="s">
        <v>2033</v>
      </c>
      <c r="AY112" s="309" t="s">
        <v>2033</v>
      </c>
      <c r="AZ112" s="309" t="s">
        <v>2033</v>
      </c>
      <c r="BA112" s="309" t="s">
        <v>2033</v>
      </c>
      <c r="BB112" s="309" t="s">
        <v>2033</v>
      </c>
      <c r="BC112" s="309" t="s">
        <v>2033</v>
      </c>
      <c r="BD112" s="309" t="s">
        <v>2033</v>
      </c>
      <c r="BE112" s="309" t="s">
        <v>2034</v>
      </c>
      <c r="BF112" s="309" t="s">
        <v>2034</v>
      </c>
      <c r="BG112" s="309" t="s">
        <v>2034</v>
      </c>
      <c r="BH112" s="309" t="s">
        <v>2034</v>
      </c>
      <c r="BI112" s="309" t="s">
        <v>2034</v>
      </c>
      <c r="BJ112" s="309" t="s">
        <v>2034</v>
      </c>
      <c r="BK112" s="309" t="s">
        <v>2034</v>
      </c>
      <c r="BL112" s="309" t="s">
        <v>2034</v>
      </c>
      <c r="BM112" s="309" t="s">
        <v>2034</v>
      </c>
      <c r="BN112" s="309" t="s">
        <v>2034</v>
      </c>
      <c r="BO112" s="309" t="s">
        <v>2034</v>
      </c>
      <c r="BY112" s="309" t="s">
        <v>2372</v>
      </c>
      <c r="BZ112" s="309" t="s">
        <v>2372</v>
      </c>
      <c r="CA112" s="309" t="s">
        <v>2372</v>
      </c>
      <c r="CB112" s="309" t="s">
        <v>2036</v>
      </c>
      <c r="CC112" s="309" t="s">
        <v>2036</v>
      </c>
      <c r="CD112" s="309" t="s">
        <v>2036</v>
      </c>
      <c r="CE112" s="309" t="s">
        <v>2036</v>
      </c>
      <c r="CF112" s="309" t="s">
        <v>2036</v>
      </c>
      <c r="CG112" s="309" t="s">
        <v>2359</v>
      </c>
      <c r="CH112" s="309" t="s">
        <v>2359</v>
      </c>
      <c r="CI112" s="309" t="s">
        <v>2359</v>
      </c>
      <c r="CJ112" s="309" t="s">
        <v>2359</v>
      </c>
      <c r="CK112" s="309" t="s">
        <v>2359</v>
      </c>
    </row>
    <row r="113" spans="1:89" x14ac:dyDescent="0.25">
      <c r="A113" s="373">
        <v>5</v>
      </c>
      <c r="B113" s="373">
        <v>11</v>
      </c>
      <c r="C113" s="373">
        <v>12</v>
      </c>
      <c r="D113" s="373" t="s">
        <v>2774</v>
      </c>
      <c r="E113" s="373" t="s">
        <v>2435</v>
      </c>
      <c r="F113" s="373" t="s">
        <v>2435</v>
      </c>
      <c r="G113" s="373" t="s">
        <v>2391</v>
      </c>
      <c r="H113" s="373" t="s">
        <v>2435</v>
      </c>
      <c r="I113" s="373">
        <v>0</v>
      </c>
      <c r="J113" s="373">
        <v>3</v>
      </c>
      <c r="K113" s="373">
        <v>0</v>
      </c>
      <c r="L113" s="373">
        <v>5</v>
      </c>
      <c r="M113" s="366">
        <v>74</v>
      </c>
      <c r="N113" s="398" t="s">
        <v>1010</v>
      </c>
      <c r="O113" s="374" t="s">
        <v>2777</v>
      </c>
      <c r="P113" s="374"/>
      <c r="Q113" s="375" t="s">
        <v>1011</v>
      </c>
      <c r="R113" s="396">
        <v>142816</v>
      </c>
      <c r="S113" s="381" t="s">
        <v>578</v>
      </c>
      <c r="T113" s="382">
        <v>42</v>
      </c>
      <c r="U113" s="379" t="s">
        <v>1012</v>
      </c>
      <c r="AH113" s="309" t="s">
        <v>2037</v>
      </c>
      <c r="AI113" s="309" t="s">
        <v>2037</v>
      </c>
      <c r="AJ113" s="309" t="s">
        <v>2037</v>
      </c>
      <c r="AK113" s="309" t="s">
        <v>2370</v>
      </c>
      <c r="AL113" s="309" t="s">
        <v>2370</v>
      </c>
      <c r="AS113" s="309" t="s">
        <v>2033</v>
      </c>
      <c r="AT113" s="309" t="s">
        <v>2033</v>
      </c>
      <c r="AU113" s="309" t="s">
        <v>2033</v>
      </c>
      <c r="AV113" s="309" t="s">
        <v>2033</v>
      </c>
      <c r="AW113" s="309" t="s">
        <v>2033</v>
      </c>
      <c r="AX113" s="309" t="s">
        <v>2033</v>
      </c>
      <c r="AY113" s="309" t="s">
        <v>2033</v>
      </c>
      <c r="AZ113" s="309" t="s">
        <v>2033</v>
      </c>
      <c r="BA113" s="309" t="s">
        <v>2033</v>
      </c>
      <c r="BB113" s="309" t="s">
        <v>2033</v>
      </c>
      <c r="BC113" s="309" t="s">
        <v>2033</v>
      </c>
      <c r="BD113" s="309" t="s">
        <v>2033</v>
      </c>
      <c r="BE113" s="309" t="s">
        <v>2034</v>
      </c>
      <c r="BF113" s="309" t="s">
        <v>2034</v>
      </c>
      <c r="BG113" s="309" t="s">
        <v>2034</v>
      </c>
      <c r="BH113" s="309" t="s">
        <v>2034</v>
      </c>
      <c r="BI113" s="309" t="s">
        <v>2034</v>
      </c>
      <c r="BJ113" s="309" t="s">
        <v>2034</v>
      </c>
      <c r="BK113" s="309" t="s">
        <v>2034</v>
      </c>
      <c r="BL113" s="309" t="s">
        <v>2034</v>
      </c>
      <c r="BM113" s="309" t="s">
        <v>2034</v>
      </c>
      <c r="BN113" s="309" t="s">
        <v>2034</v>
      </c>
      <c r="BO113" s="309" t="s">
        <v>2034</v>
      </c>
      <c r="BY113" s="309" t="s">
        <v>2372</v>
      </c>
      <c r="BZ113" s="309" t="s">
        <v>2372</v>
      </c>
      <c r="CA113" s="309" t="s">
        <v>2372</v>
      </c>
      <c r="CB113" s="309" t="s">
        <v>2036</v>
      </c>
      <c r="CC113" s="309" t="s">
        <v>2036</v>
      </c>
      <c r="CD113" s="309" t="s">
        <v>2036</v>
      </c>
      <c r="CE113" s="309" t="s">
        <v>2036</v>
      </c>
      <c r="CF113" s="309" t="s">
        <v>2036</v>
      </c>
      <c r="CG113" s="309" t="s">
        <v>2359</v>
      </c>
      <c r="CH113" s="309" t="s">
        <v>2359</v>
      </c>
      <c r="CI113" s="309" t="s">
        <v>2359</v>
      </c>
      <c r="CJ113" s="309" t="s">
        <v>2359</v>
      </c>
      <c r="CK113" s="309" t="s">
        <v>2359</v>
      </c>
    </row>
    <row r="114" spans="1:89" x14ac:dyDescent="0.25">
      <c r="A114" s="373">
        <v>5</v>
      </c>
      <c r="B114" s="373">
        <v>11</v>
      </c>
      <c r="C114" s="373">
        <v>12</v>
      </c>
      <c r="D114" s="373" t="s">
        <v>2775</v>
      </c>
      <c r="E114" s="373" t="s">
        <v>2435</v>
      </c>
      <c r="F114" s="373" t="s">
        <v>2435</v>
      </c>
      <c r="G114" s="373" t="s">
        <v>2394</v>
      </c>
      <c r="H114" s="373" t="s">
        <v>2435</v>
      </c>
      <c r="I114" s="373">
        <v>0</v>
      </c>
      <c r="J114" s="373">
        <v>3</v>
      </c>
      <c r="K114" s="373">
        <v>0</v>
      </c>
      <c r="L114" s="373">
        <v>5</v>
      </c>
      <c r="M114" s="366">
        <v>106</v>
      </c>
      <c r="N114" s="398" t="s">
        <v>1034</v>
      </c>
      <c r="O114" s="374" t="s">
        <v>2777</v>
      </c>
      <c r="P114" s="374"/>
      <c r="Q114" s="375" t="s">
        <v>1035</v>
      </c>
      <c r="R114" s="396">
        <v>143302</v>
      </c>
      <c r="S114" s="381" t="s">
        <v>578</v>
      </c>
      <c r="T114" s="382">
        <v>42</v>
      </c>
      <c r="U114" s="379" t="s">
        <v>1036</v>
      </c>
      <c r="AH114" s="309" t="s">
        <v>2037</v>
      </c>
      <c r="AI114" s="309" t="s">
        <v>2037</v>
      </c>
      <c r="AJ114" s="309" t="s">
        <v>2037</v>
      </c>
      <c r="AK114" s="309" t="s">
        <v>2037</v>
      </c>
      <c r="AL114" s="309" t="s">
        <v>2370</v>
      </c>
      <c r="AM114" s="309" t="s">
        <v>2370</v>
      </c>
      <c r="AN114" s="309" t="s">
        <v>2370</v>
      </c>
      <c r="AS114" s="309" t="s">
        <v>2033</v>
      </c>
      <c r="AT114" s="309" t="s">
        <v>2033</v>
      </c>
      <c r="AU114" s="309" t="s">
        <v>2033</v>
      </c>
      <c r="AV114" s="309" t="s">
        <v>2033</v>
      </c>
      <c r="AW114" s="309" t="s">
        <v>2033</v>
      </c>
      <c r="AX114" s="309" t="s">
        <v>2033</v>
      </c>
      <c r="AY114" s="309" t="s">
        <v>2033</v>
      </c>
      <c r="AZ114" s="309" t="s">
        <v>2033</v>
      </c>
      <c r="BA114" s="309" t="s">
        <v>2033</v>
      </c>
      <c r="BB114" s="309" t="s">
        <v>2033</v>
      </c>
      <c r="BC114" s="309" t="s">
        <v>2033</v>
      </c>
      <c r="BD114" s="309" t="s">
        <v>2033</v>
      </c>
      <c r="BE114" s="309" t="s">
        <v>2034</v>
      </c>
      <c r="BF114" s="309" t="s">
        <v>2034</v>
      </c>
      <c r="BG114" s="309" t="s">
        <v>2034</v>
      </c>
      <c r="BH114" s="309" t="s">
        <v>2034</v>
      </c>
      <c r="BI114" s="309" t="s">
        <v>2034</v>
      </c>
      <c r="BJ114" s="309" t="s">
        <v>2034</v>
      </c>
      <c r="BK114" s="309" t="s">
        <v>2034</v>
      </c>
      <c r="BL114" s="309" t="s">
        <v>2034</v>
      </c>
      <c r="BM114" s="309" t="s">
        <v>2034</v>
      </c>
      <c r="BN114" s="309" t="s">
        <v>2034</v>
      </c>
      <c r="BO114" s="309" t="s">
        <v>2034</v>
      </c>
      <c r="BY114" s="309" t="s">
        <v>2372</v>
      </c>
      <c r="BZ114" s="309" t="s">
        <v>2372</v>
      </c>
      <c r="CA114" s="309" t="s">
        <v>2372</v>
      </c>
      <c r="CB114" s="309" t="s">
        <v>2036</v>
      </c>
      <c r="CC114" s="309" t="s">
        <v>2036</v>
      </c>
      <c r="CD114" s="309" t="s">
        <v>2036</v>
      </c>
      <c r="CE114" s="309" t="s">
        <v>2036</v>
      </c>
      <c r="CF114" s="309" t="s">
        <v>2036</v>
      </c>
      <c r="CG114" s="309" t="s">
        <v>2359</v>
      </c>
      <c r="CH114" s="309" t="s">
        <v>2359</v>
      </c>
      <c r="CI114" s="309" t="s">
        <v>2359</v>
      </c>
      <c r="CJ114" s="309" t="s">
        <v>2359</v>
      </c>
      <c r="CK114" s="309" t="s">
        <v>2359</v>
      </c>
    </row>
    <row r="115" spans="1:89" x14ac:dyDescent="0.25">
      <c r="A115" s="373">
        <v>5</v>
      </c>
      <c r="B115" s="373">
        <v>11</v>
      </c>
      <c r="C115" s="373">
        <v>12</v>
      </c>
      <c r="D115" s="373" t="s">
        <v>2775</v>
      </c>
      <c r="E115" s="373" t="s">
        <v>2435</v>
      </c>
      <c r="F115" s="373" t="s">
        <v>2435</v>
      </c>
      <c r="G115" s="373" t="s">
        <v>2395</v>
      </c>
      <c r="H115" s="373" t="s">
        <v>2435</v>
      </c>
      <c r="I115" s="373">
        <v>0</v>
      </c>
      <c r="J115" s="373">
        <v>3</v>
      </c>
      <c r="K115" s="373">
        <v>0</v>
      </c>
      <c r="L115" s="373">
        <v>5</v>
      </c>
      <c r="M115" s="366">
        <v>126</v>
      </c>
      <c r="N115" s="398" t="s">
        <v>1037</v>
      </c>
      <c r="O115" s="374" t="s">
        <v>2777</v>
      </c>
      <c r="P115" s="374"/>
      <c r="Q115" s="375" t="s">
        <v>1038</v>
      </c>
      <c r="R115" s="396">
        <v>143819</v>
      </c>
      <c r="S115" s="381" t="s">
        <v>578</v>
      </c>
      <c r="T115" s="382">
        <v>42</v>
      </c>
      <c r="U115" s="379" t="s">
        <v>1039</v>
      </c>
      <c r="AH115" s="309" t="s">
        <v>2037</v>
      </c>
      <c r="AI115" s="309" t="s">
        <v>2037</v>
      </c>
      <c r="AJ115" s="309" t="s">
        <v>2037</v>
      </c>
      <c r="AK115" s="309" t="s">
        <v>2037</v>
      </c>
      <c r="AL115" s="309" t="s">
        <v>2370</v>
      </c>
      <c r="AM115" s="309" t="s">
        <v>2370</v>
      </c>
      <c r="AN115" s="309" t="s">
        <v>2370</v>
      </c>
      <c r="AS115" s="309" t="s">
        <v>2033</v>
      </c>
      <c r="AT115" s="309" t="s">
        <v>2033</v>
      </c>
      <c r="AU115" s="309" t="s">
        <v>2033</v>
      </c>
      <c r="AV115" s="309" t="s">
        <v>2033</v>
      </c>
      <c r="AW115" s="309" t="s">
        <v>2033</v>
      </c>
      <c r="AX115" s="309" t="s">
        <v>2033</v>
      </c>
      <c r="AY115" s="309" t="s">
        <v>2033</v>
      </c>
      <c r="AZ115" s="309" t="s">
        <v>2033</v>
      </c>
      <c r="BA115" s="309" t="s">
        <v>2033</v>
      </c>
      <c r="BB115" s="309" t="s">
        <v>2033</v>
      </c>
      <c r="BC115" s="309" t="s">
        <v>2033</v>
      </c>
      <c r="BD115" s="309" t="s">
        <v>2033</v>
      </c>
      <c r="BE115" s="309" t="s">
        <v>2034</v>
      </c>
      <c r="BF115" s="309" t="s">
        <v>2034</v>
      </c>
      <c r="BG115" s="309" t="s">
        <v>2034</v>
      </c>
      <c r="BH115" s="309" t="s">
        <v>2034</v>
      </c>
      <c r="BI115" s="309" t="s">
        <v>2034</v>
      </c>
      <c r="BJ115" s="309" t="s">
        <v>2034</v>
      </c>
      <c r="BK115" s="309" t="s">
        <v>2034</v>
      </c>
      <c r="BL115" s="309" t="s">
        <v>2034</v>
      </c>
      <c r="BM115" s="309" t="s">
        <v>2034</v>
      </c>
      <c r="BN115" s="309" t="s">
        <v>2034</v>
      </c>
      <c r="BO115" s="309" t="s">
        <v>2034</v>
      </c>
      <c r="BY115" s="309" t="s">
        <v>2372</v>
      </c>
      <c r="BZ115" s="309" t="s">
        <v>2372</v>
      </c>
      <c r="CA115" s="309" t="s">
        <v>2372</v>
      </c>
      <c r="CB115" s="309" t="s">
        <v>2036</v>
      </c>
      <c r="CC115" s="309" t="s">
        <v>2036</v>
      </c>
      <c r="CD115" s="309" t="s">
        <v>2036</v>
      </c>
      <c r="CE115" s="309" t="s">
        <v>2036</v>
      </c>
      <c r="CF115" s="309" t="s">
        <v>2036</v>
      </c>
      <c r="CG115" s="309" t="s">
        <v>2359</v>
      </c>
      <c r="CH115" s="309" t="s">
        <v>2359</v>
      </c>
      <c r="CI115" s="309" t="s">
        <v>2359</v>
      </c>
      <c r="CJ115" s="309" t="s">
        <v>2359</v>
      </c>
      <c r="CK115" s="309" t="s">
        <v>2359</v>
      </c>
    </row>
    <row r="116" spans="1:89" x14ac:dyDescent="0.25">
      <c r="A116" s="373">
        <v>4</v>
      </c>
      <c r="B116" s="373">
        <v>7</v>
      </c>
      <c r="C116" s="373">
        <v>8</v>
      </c>
      <c r="D116" s="373" t="s">
        <v>2775</v>
      </c>
      <c r="E116" s="373" t="s">
        <v>2435</v>
      </c>
      <c r="F116" s="373" t="s">
        <v>2435</v>
      </c>
      <c r="G116" s="373" t="s">
        <v>2403</v>
      </c>
      <c r="H116" s="373" t="s">
        <v>2435</v>
      </c>
      <c r="I116" s="373">
        <v>0</v>
      </c>
      <c r="J116" s="373">
        <v>2</v>
      </c>
      <c r="K116" s="373">
        <v>0</v>
      </c>
      <c r="L116" s="373">
        <v>3</v>
      </c>
      <c r="M116" s="366">
        <v>156</v>
      </c>
      <c r="N116" s="398" t="s">
        <v>979</v>
      </c>
      <c r="O116" s="237" t="s">
        <v>2776</v>
      </c>
      <c r="P116" s="374"/>
      <c r="Q116" s="375" t="s">
        <v>980</v>
      </c>
      <c r="R116" s="396">
        <v>143959</v>
      </c>
      <c r="S116" s="381" t="s">
        <v>578</v>
      </c>
      <c r="T116" s="382">
        <v>43</v>
      </c>
      <c r="U116" s="379" t="s">
        <v>981</v>
      </c>
      <c r="AH116" s="309" t="s">
        <v>2037</v>
      </c>
      <c r="AI116" s="309" t="s">
        <v>2037</v>
      </c>
      <c r="AJ116" s="309" t="s">
        <v>2037</v>
      </c>
      <c r="AK116" s="309" t="s">
        <v>2370</v>
      </c>
      <c r="AL116" s="309" t="s">
        <v>2370</v>
      </c>
      <c r="AM116" s="309" t="s">
        <v>2370</v>
      </c>
      <c r="AS116" s="309" t="s">
        <v>2033</v>
      </c>
      <c r="AT116" s="309" t="s">
        <v>2033</v>
      </c>
      <c r="AU116" s="309" t="s">
        <v>2033</v>
      </c>
      <c r="AV116" s="309" t="s">
        <v>2033</v>
      </c>
      <c r="AW116" s="309" t="s">
        <v>2033</v>
      </c>
      <c r="AX116" s="309" t="s">
        <v>2033</v>
      </c>
      <c r="AY116" s="309" t="s">
        <v>2033</v>
      </c>
      <c r="AZ116" s="309" t="s">
        <v>2033</v>
      </c>
      <c r="BA116" s="309" t="s">
        <v>2034</v>
      </c>
      <c r="BB116" s="309" t="s">
        <v>2034</v>
      </c>
      <c r="BC116" s="309" t="s">
        <v>2034</v>
      </c>
      <c r="BD116" s="309" t="s">
        <v>2034</v>
      </c>
      <c r="BE116" s="309" t="s">
        <v>2034</v>
      </c>
      <c r="BF116" s="309" t="s">
        <v>2034</v>
      </c>
      <c r="BG116" s="309" t="s">
        <v>2034</v>
      </c>
      <c r="BY116" s="309" t="s">
        <v>2372</v>
      </c>
      <c r="BZ116" s="309" t="s">
        <v>2372</v>
      </c>
      <c r="CA116" s="309" t="s">
        <v>2036</v>
      </c>
      <c r="CB116" s="309" t="s">
        <v>2036</v>
      </c>
      <c r="CC116" s="309" t="s">
        <v>2036</v>
      </c>
      <c r="CD116" s="309" t="s">
        <v>2359</v>
      </c>
      <c r="CE116" s="309" t="s">
        <v>2359</v>
      </c>
      <c r="CF116" s="309" t="s">
        <v>2359</v>
      </c>
      <c r="CG116" s="309" t="s">
        <v>2359</v>
      </c>
    </row>
    <row r="117" spans="1:89" x14ac:dyDescent="0.25">
      <c r="A117" s="372">
        <v>4</v>
      </c>
      <c r="B117" s="372">
        <v>7</v>
      </c>
      <c r="C117" s="372">
        <v>8</v>
      </c>
      <c r="D117" s="372" t="s">
        <v>2374</v>
      </c>
      <c r="E117" s="372" t="s">
        <v>2435</v>
      </c>
      <c r="F117" s="372" t="s">
        <v>2435</v>
      </c>
      <c r="G117" s="372" t="s">
        <v>2405</v>
      </c>
      <c r="H117" s="372" t="s">
        <v>2435</v>
      </c>
      <c r="I117" s="372">
        <v>0</v>
      </c>
      <c r="J117" s="372">
        <v>2</v>
      </c>
      <c r="K117" s="372">
        <v>0</v>
      </c>
      <c r="L117" s="372">
        <v>4</v>
      </c>
      <c r="M117" s="359">
        <v>198</v>
      </c>
      <c r="N117" s="399" t="s">
        <v>943</v>
      </c>
      <c r="O117" s="237" t="s">
        <v>1515</v>
      </c>
      <c r="P117" s="237"/>
      <c r="Q117" s="360" t="s">
        <v>2269</v>
      </c>
      <c r="R117" s="361">
        <v>144826</v>
      </c>
      <c r="S117" s="369" t="s">
        <v>578</v>
      </c>
      <c r="T117" s="380">
        <v>43</v>
      </c>
      <c r="U117" s="364" t="s">
        <v>2270</v>
      </c>
      <c r="AH117" s="309" t="s">
        <v>2037</v>
      </c>
      <c r="AI117" s="309" t="s">
        <v>2037</v>
      </c>
      <c r="AJ117" s="309" t="s">
        <v>2037</v>
      </c>
      <c r="AK117" s="309" t="s">
        <v>2370</v>
      </c>
      <c r="AS117" s="309" t="s">
        <v>2033</v>
      </c>
      <c r="AT117" s="309" t="s">
        <v>2033</v>
      </c>
      <c r="AU117" s="309" t="s">
        <v>2033</v>
      </c>
      <c r="AV117" s="309" t="s">
        <v>2033</v>
      </c>
      <c r="AW117" s="309" t="s">
        <v>2033</v>
      </c>
      <c r="AX117" s="309" t="s">
        <v>2033</v>
      </c>
      <c r="AY117" s="309" t="s">
        <v>2033</v>
      </c>
      <c r="AZ117" s="309" t="s">
        <v>2033</v>
      </c>
      <c r="BA117" s="309" t="s">
        <v>2034</v>
      </c>
      <c r="BB117" s="309" t="s">
        <v>2034</v>
      </c>
      <c r="BC117" s="309" t="s">
        <v>2034</v>
      </c>
      <c r="BD117" s="309" t="s">
        <v>2034</v>
      </c>
      <c r="BE117" s="309" t="s">
        <v>2034</v>
      </c>
      <c r="BF117" s="309" t="s">
        <v>2034</v>
      </c>
      <c r="BG117" s="309" t="s">
        <v>2034</v>
      </c>
      <c r="BY117" s="309" t="s">
        <v>2372</v>
      </c>
      <c r="BZ117" s="309" t="s">
        <v>2372</v>
      </c>
      <c r="CA117" s="309" t="s">
        <v>2036</v>
      </c>
      <c r="CB117" s="309" t="s">
        <v>2036</v>
      </c>
      <c r="CC117" s="309" t="s">
        <v>2036</v>
      </c>
      <c r="CD117" s="309" t="s">
        <v>2036</v>
      </c>
      <c r="CE117" s="309" t="s">
        <v>2359</v>
      </c>
      <c r="CF117" s="309" t="s">
        <v>2359</v>
      </c>
      <c r="CG117" s="309" t="s">
        <v>2359</v>
      </c>
      <c r="CH117" s="309" t="s">
        <v>2359</v>
      </c>
    </row>
    <row r="118" spans="1:89" x14ac:dyDescent="0.25">
      <c r="A118" s="372">
        <v>4</v>
      </c>
      <c r="B118" s="372">
        <v>7</v>
      </c>
      <c r="C118" s="372">
        <v>8</v>
      </c>
      <c r="D118" s="372" t="s">
        <v>2395</v>
      </c>
      <c r="E118" s="372" t="s">
        <v>2435</v>
      </c>
      <c r="F118" s="372" t="s">
        <v>2435</v>
      </c>
      <c r="G118" s="372" t="s">
        <v>2435</v>
      </c>
      <c r="H118" s="372" t="s">
        <v>2435</v>
      </c>
      <c r="I118" s="372">
        <v>4</v>
      </c>
      <c r="J118" s="372">
        <v>0</v>
      </c>
      <c r="K118" s="372">
        <v>0</v>
      </c>
      <c r="L118" s="372">
        <v>0</v>
      </c>
      <c r="M118" s="359">
        <v>120</v>
      </c>
      <c r="N118" s="399" t="s">
        <v>1121</v>
      </c>
      <c r="O118" s="237" t="s">
        <v>2776</v>
      </c>
      <c r="P118" s="237"/>
      <c r="Q118" s="360" t="s">
        <v>2303</v>
      </c>
      <c r="R118" s="361">
        <v>145425</v>
      </c>
      <c r="S118" s="369" t="s">
        <v>1002</v>
      </c>
      <c r="T118" s="380">
        <v>56</v>
      </c>
      <c r="U118" s="364" t="s">
        <v>2304</v>
      </c>
      <c r="AH118" s="309" t="s">
        <v>2370</v>
      </c>
      <c r="AI118" s="309" t="s">
        <v>2370</v>
      </c>
      <c r="AJ118" s="309" t="s">
        <v>2370</v>
      </c>
      <c r="AK118" s="309" t="s">
        <v>2370</v>
      </c>
      <c r="AS118" s="309" t="s">
        <v>2033</v>
      </c>
      <c r="AT118" s="309" t="s">
        <v>2033</v>
      </c>
      <c r="AU118" s="309" t="s">
        <v>2033</v>
      </c>
      <c r="AV118" s="309" t="s">
        <v>2033</v>
      </c>
      <c r="AW118" s="309" t="s">
        <v>2033</v>
      </c>
      <c r="AX118" s="309" t="s">
        <v>2033</v>
      </c>
      <c r="AY118" s="309" t="s">
        <v>2033</v>
      </c>
      <c r="AZ118" s="309" t="s">
        <v>2033</v>
      </c>
      <c r="BA118" s="309" t="s">
        <v>2034</v>
      </c>
      <c r="BB118" s="309" t="s">
        <v>2034</v>
      </c>
      <c r="BC118" s="309" t="s">
        <v>2034</v>
      </c>
      <c r="BD118" s="309" t="s">
        <v>2034</v>
      </c>
      <c r="BE118" s="309" t="s">
        <v>2034</v>
      </c>
      <c r="BF118" s="309" t="s">
        <v>2034</v>
      </c>
      <c r="BG118" s="309" t="s">
        <v>2034</v>
      </c>
      <c r="BY118" s="309" t="s">
        <v>2361</v>
      </c>
      <c r="BZ118" s="309" t="s">
        <v>2361</v>
      </c>
      <c r="CA118" s="309" t="s">
        <v>2361</v>
      </c>
      <c r="CB118" s="309" t="s">
        <v>2361</v>
      </c>
      <c r="CC118" s="309" t="s">
        <v>2359</v>
      </c>
      <c r="CD118" s="309" t="s">
        <v>2359</v>
      </c>
      <c r="CE118" s="309" t="s">
        <v>2359</v>
      </c>
      <c r="CF118" s="309" t="s">
        <v>2359</v>
      </c>
    </row>
    <row r="119" spans="1:89" x14ac:dyDescent="0.25">
      <c r="A119" s="372">
        <v>4</v>
      </c>
      <c r="B119" s="372">
        <v>7</v>
      </c>
      <c r="C119" s="372">
        <v>8</v>
      </c>
      <c r="D119" s="372" t="s">
        <v>2374</v>
      </c>
      <c r="E119" s="372" t="s">
        <v>2435</v>
      </c>
      <c r="F119" s="372" t="s">
        <v>2435</v>
      </c>
      <c r="G119" s="372" t="s">
        <v>2404</v>
      </c>
      <c r="H119" s="372" t="s">
        <v>2435</v>
      </c>
      <c r="I119" s="372">
        <v>0</v>
      </c>
      <c r="J119" s="372">
        <v>2</v>
      </c>
      <c r="K119" s="372">
        <v>0</v>
      </c>
      <c r="L119" s="372">
        <v>4</v>
      </c>
      <c r="M119" s="359">
        <v>159</v>
      </c>
      <c r="N119" s="399" t="s">
        <v>940</v>
      </c>
      <c r="O119" s="237" t="s">
        <v>1515</v>
      </c>
      <c r="P119" s="237"/>
      <c r="Q119" s="360" t="s">
        <v>2267</v>
      </c>
      <c r="R119" s="361">
        <v>145472</v>
      </c>
      <c r="S119" s="369" t="s">
        <v>578</v>
      </c>
      <c r="T119" s="380">
        <v>43</v>
      </c>
      <c r="U119" s="364" t="s">
        <v>2268</v>
      </c>
      <c r="AH119" s="309" t="s">
        <v>2037</v>
      </c>
      <c r="AI119" s="309" t="s">
        <v>2037</v>
      </c>
      <c r="AJ119" s="309" t="s">
        <v>2037</v>
      </c>
      <c r="AK119" s="309" t="s">
        <v>2370</v>
      </c>
      <c r="AS119" s="309" t="s">
        <v>2033</v>
      </c>
      <c r="AT119" s="309" t="s">
        <v>2033</v>
      </c>
      <c r="AU119" s="309" t="s">
        <v>2033</v>
      </c>
      <c r="AV119" s="309" t="s">
        <v>2033</v>
      </c>
      <c r="AW119" s="309" t="s">
        <v>2033</v>
      </c>
      <c r="AX119" s="309" t="s">
        <v>2033</v>
      </c>
      <c r="AY119" s="309" t="s">
        <v>2033</v>
      </c>
      <c r="AZ119" s="309" t="s">
        <v>2033</v>
      </c>
      <c r="BA119" s="309" t="s">
        <v>2034</v>
      </c>
      <c r="BB119" s="309" t="s">
        <v>2034</v>
      </c>
      <c r="BC119" s="309" t="s">
        <v>2034</v>
      </c>
      <c r="BD119" s="309" t="s">
        <v>2034</v>
      </c>
      <c r="BE119" s="309" t="s">
        <v>2034</v>
      </c>
      <c r="BF119" s="309" t="s">
        <v>2034</v>
      </c>
      <c r="BG119" s="309" t="s">
        <v>2034</v>
      </c>
      <c r="BY119" s="309" t="s">
        <v>2372</v>
      </c>
      <c r="BZ119" s="309" t="s">
        <v>2372</v>
      </c>
      <c r="CA119" s="309" t="s">
        <v>2036</v>
      </c>
      <c r="CB119" s="309" t="s">
        <v>2036</v>
      </c>
      <c r="CC119" s="309" t="s">
        <v>2036</v>
      </c>
      <c r="CD119" s="309" t="s">
        <v>2036</v>
      </c>
      <c r="CE119" s="309" t="s">
        <v>2359</v>
      </c>
      <c r="CF119" s="309" t="s">
        <v>2359</v>
      </c>
      <c r="CG119" s="309" t="s">
        <v>2359</v>
      </c>
      <c r="CH119" s="309" t="s">
        <v>2359</v>
      </c>
    </row>
    <row r="120" spans="1:89" x14ac:dyDescent="0.25">
      <c r="A120" s="373">
        <v>5</v>
      </c>
      <c r="B120" s="373">
        <v>11</v>
      </c>
      <c r="C120" s="373">
        <v>12</v>
      </c>
      <c r="D120" s="373" t="s">
        <v>2775</v>
      </c>
      <c r="E120" s="373" t="s">
        <v>2435</v>
      </c>
      <c r="F120" s="373" t="s">
        <v>2435</v>
      </c>
      <c r="G120" s="373" t="s">
        <v>2393</v>
      </c>
      <c r="H120" s="373" t="s">
        <v>2435</v>
      </c>
      <c r="I120" s="373">
        <v>0</v>
      </c>
      <c r="J120" s="373">
        <v>3</v>
      </c>
      <c r="K120" s="373">
        <v>0</v>
      </c>
      <c r="L120" s="373">
        <v>5</v>
      </c>
      <c r="M120" s="366">
        <v>90</v>
      </c>
      <c r="N120" s="398" t="s">
        <v>1031</v>
      </c>
      <c r="O120" s="374" t="s">
        <v>2777</v>
      </c>
      <c r="P120" s="374"/>
      <c r="Q120" s="375" t="s">
        <v>1032</v>
      </c>
      <c r="R120" s="396">
        <v>145879</v>
      </c>
      <c r="S120" s="381" t="s">
        <v>578</v>
      </c>
      <c r="T120" s="382">
        <v>42</v>
      </c>
      <c r="U120" s="379" t="s">
        <v>1033</v>
      </c>
      <c r="AH120" s="309" t="s">
        <v>2037</v>
      </c>
      <c r="AI120" s="309" t="s">
        <v>2037</v>
      </c>
      <c r="AJ120" s="309" t="s">
        <v>2037</v>
      </c>
      <c r="AK120" s="309" t="s">
        <v>2037</v>
      </c>
      <c r="AL120" s="309" t="s">
        <v>2370</v>
      </c>
      <c r="AM120" s="309" t="s">
        <v>2370</v>
      </c>
      <c r="AN120" s="309" t="s">
        <v>2370</v>
      </c>
      <c r="AS120" s="309" t="s">
        <v>2033</v>
      </c>
      <c r="AT120" s="309" t="s">
        <v>2033</v>
      </c>
      <c r="AU120" s="309" t="s">
        <v>2033</v>
      </c>
      <c r="AV120" s="309" t="s">
        <v>2033</v>
      </c>
      <c r="AW120" s="309" t="s">
        <v>2033</v>
      </c>
      <c r="AX120" s="309" t="s">
        <v>2033</v>
      </c>
      <c r="AY120" s="309" t="s">
        <v>2033</v>
      </c>
      <c r="AZ120" s="309" t="s">
        <v>2033</v>
      </c>
      <c r="BA120" s="309" t="s">
        <v>2033</v>
      </c>
      <c r="BB120" s="309" t="s">
        <v>2033</v>
      </c>
      <c r="BC120" s="309" t="s">
        <v>2033</v>
      </c>
      <c r="BD120" s="309" t="s">
        <v>2033</v>
      </c>
      <c r="BE120" s="309" t="s">
        <v>2034</v>
      </c>
      <c r="BF120" s="309" t="s">
        <v>2034</v>
      </c>
      <c r="BG120" s="309" t="s">
        <v>2034</v>
      </c>
      <c r="BH120" s="309" t="s">
        <v>2034</v>
      </c>
      <c r="BI120" s="309" t="s">
        <v>2034</v>
      </c>
      <c r="BJ120" s="309" t="s">
        <v>2034</v>
      </c>
      <c r="BK120" s="309" t="s">
        <v>2034</v>
      </c>
      <c r="BL120" s="309" t="s">
        <v>2034</v>
      </c>
      <c r="BM120" s="309" t="s">
        <v>2034</v>
      </c>
      <c r="BN120" s="309" t="s">
        <v>2034</v>
      </c>
      <c r="BO120" s="309" t="s">
        <v>2034</v>
      </c>
      <c r="BY120" s="309" t="s">
        <v>2372</v>
      </c>
      <c r="BZ120" s="309" t="s">
        <v>2372</v>
      </c>
      <c r="CA120" s="309" t="s">
        <v>2372</v>
      </c>
      <c r="CB120" s="309" t="s">
        <v>2036</v>
      </c>
      <c r="CC120" s="309" t="s">
        <v>2036</v>
      </c>
      <c r="CD120" s="309" t="s">
        <v>2036</v>
      </c>
      <c r="CE120" s="309" t="s">
        <v>2036</v>
      </c>
      <c r="CF120" s="309" t="s">
        <v>2036</v>
      </c>
      <c r="CG120" s="309" t="s">
        <v>2359</v>
      </c>
      <c r="CH120" s="309" t="s">
        <v>2359</v>
      </c>
      <c r="CI120" s="309" t="s">
        <v>2359</v>
      </c>
      <c r="CJ120" s="309" t="s">
        <v>2359</v>
      </c>
      <c r="CK120" s="309" t="s">
        <v>2359</v>
      </c>
    </row>
    <row r="121" spans="1:89" x14ac:dyDescent="0.25">
      <c r="A121" s="373">
        <v>5</v>
      </c>
      <c r="B121" s="373">
        <v>11</v>
      </c>
      <c r="C121" s="373">
        <v>12</v>
      </c>
      <c r="D121" s="373" t="s">
        <v>2774</v>
      </c>
      <c r="E121" s="373" t="s">
        <v>2435</v>
      </c>
      <c r="F121" s="373" t="s">
        <v>2435</v>
      </c>
      <c r="G121" s="373" t="s">
        <v>2390</v>
      </c>
      <c r="H121" s="373" t="s">
        <v>2435</v>
      </c>
      <c r="I121" s="373">
        <v>0</v>
      </c>
      <c r="J121" s="373">
        <v>3</v>
      </c>
      <c r="K121" s="373">
        <v>0</v>
      </c>
      <c r="L121" s="373">
        <v>5</v>
      </c>
      <c r="M121" s="366">
        <v>122</v>
      </c>
      <c r="N121" s="398" t="s">
        <v>1019</v>
      </c>
      <c r="O121" s="374" t="s">
        <v>2777</v>
      </c>
      <c r="P121" s="374"/>
      <c r="Q121" s="375" t="s">
        <v>1020</v>
      </c>
      <c r="R121" s="396">
        <v>149721</v>
      </c>
      <c r="S121" s="381" t="s">
        <v>578</v>
      </c>
      <c r="T121" s="382">
        <v>42</v>
      </c>
      <c r="U121" s="379" t="s">
        <v>1021</v>
      </c>
      <c r="AH121" s="309" t="s">
        <v>2037</v>
      </c>
      <c r="AI121" s="309" t="s">
        <v>2037</v>
      </c>
      <c r="AJ121" s="309" t="s">
        <v>2037</v>
      </c>
      <c r="AK121" s="309" t="s">
        <v>2370</v>
      </c>
      <c r="AL121" s="309" t="s">
        <v>2370</v>
      </c>
      <c r="AS121" s="309" t="s">
        <v>2033</v>
      </c>
      <c r="AT121" s="309" t="s">
        <v>2033</v>
      </c>
      <c r="AU121" s="309" t="s">
        <v>2033</v>
      </c>
      <c r="AV121" s="309" t="s">
        <v>2033</v>
      </c>
      <c r="AW121" s="309" t="s">
        <v>2033</v>
      </c>
      <c r="AX121" s="309" t="s">
        <v>2033</v>
      </c>
      <c r="AY121" s="309" t="s">
        <v>2033</v>
      </c>
      <c r="AZ121" s="309" t="s">
        <v>2033</v>
      </c>
      <c r="BA121" s="309" t="s">
        <v>2033</v>
      </c>
      <c r="BB121" s="309" t="s">
        <v>2033</v>
      </c>
      <c r="BC121" s="309" t="s">
        <v>2033</v>
      </c>
      <c r="BD121" s="309" t="s">
        <v>2033</v>
      </c>
      <c r="BE121" s="309" t="s">
        <v>2034</v>
      </c>
      <c r="BF121" s="309" t="s">
        <v>2034</v>
      </c>
      <c r="BG121" s="309" t="s">
        <v>2034</v>
      </c>
      <c r="BH121" s="309" t="s">
        <v>2034</v>
      </c>
      <c r="BI121" s="309" t="s">
        <v>2034</v>
      </c>
      <c r="BJ121" s="309" t="s">
        <v>2034</v>
      </c>
      <c r="BK121" s="309" t="s">
        <v>2034</v>
      </c>
      <c r="BL121" s="309" t="s">
        <v>2034</v>
      </c>
      <c r="BM121" s="309" t="s">
        <v>2034</v>
      </c>
      <c r="BN121" s="309" t="s">
        <v>2034</v>
      </c>
      <c r="BO121" s="309" t="s">
        <v>2034</v>
      </c>
      <c r="BY121" s="309" t="s">
        <v>2372</v>
      </c>
      <c r="BZ121" s="309" t="s">
        <v>2372</v>
      </c>
      <c r="CA121" s="309" t="s">
        <v>2372</v>
      </c>
      <c r="CB121" s="309" t="s">
        <v>2036</v>
      </c>
      <c r="CC121" s="309" t="s">
        <v>2036</v>
      </c>
      <c r="CD121" s="309" t="s">
        <v>2036</v>
      </c>
      <c r="CE121" s="309" t="s">
        <v>2036</v>
      </c>
      <c r="CF121" s="309" t="s">
        <v>2036</v>
      </c>
      <c r="CG121" s="309" t="s">
        <v>2359</v>
      </c>
      <c r="CH121" s="309" t="s">
        <v>2359</v>
      </c>
      <c r="CI121" s="309" t="s">
        <v>2359</v>
      </c>
      <c r="CJ121" s="309" t="s">
        <v>2359</v>
      </c>
      <c r="CK121" s="309" t="s">
        <v>2359</v>
      </c>
    </row>
    <row r="122" spans="1:89" x14ac:dyDescent="0.25">
      <c r="A122" s="373">
        <v>4</v>
      </c>
      <c r="B122" s="373">
        <v>7</v>
      </c>
      <c r="C122" s="373">
        <v>8</v>
      </c>
      <c r="D122" s="373" t="s">
        <v>2774</v>
      </c>
      <c r="E122" s="373" t="s">
        <v>2435</v>
      </c>
      <c r="F122" s="373" t="s">
        <v>2435</v>
      </c>
      <c r="G122" s="373" t="s">
        <v>2404</v>
      </c>
      <c r="H122" s="373" t="s">
        <v>2435</v>
      </c>
      <c r="I122" s="373">
        <v>0</v>
      </c>
      <c r="J122" s="373">
        <v>2</v>
      </c>
      <c r="K122" s="373">
        <v>0</v>
      </c>
      <c r="L122" s="373">
        <v>4</v>
      </c>
      <c r="M122" s="366">
        <v>176</v>
      </c>
      <c r="N122" s="398" t="s">
        <v>961</v>
      </c>
      <c r="O122" s="237" t="s">
        <v>2776</v>
      </c>
      <c r="P122" s="374"/>
      <c r="Q122" s="375" t="s">
        <v>962</v>
      </c>
      <c r="R122" s="396">
        <v>151804</v>
      </c>
      <c r="S122" s="381" t="s">
        <v>578</v>
      </c>
      <c r="T122" s="382">
        <v>43</v>
      </c>
      <c r="U122" s="379" t="s">
        <v>963</v>
      </c>
      <c r="AH122" s="309" t="s">
        <v>2037</v>
      </c>
      <c r="AI122" s="309" t="s">
        <v>2037</v>
      </c>
      <c r="AJ122" s="309" t="s">
        <v>2037</v>
      </c>
      <c r="AK122" s="309" t="s">
        <v>2370</v>
      </c>
      <c r="AL122" s="309" t="s">
        <v>2370</v>
      </c>
      <c r="AS122" s="309" t="s">
        <v>2033</v>
      </c>
      <c r="AT122" s="309" t="s">
        <v>2033</v>
      </c>
      <c r="AU122" s="309" t="s">
        <v>2033</v>
      </c>
      <c r="AV122" s="309" t="s">
        <v>2033</v>
      </c>
      <c r="AW122" s="309" t="s">
        <v>2033</v>
      </c>
      <c r="AX122" s="309" t="s">
        <v>2033</v>
      </c>
      <c r="AY122" s="309" t="s">
        <v>2033</v>
      </c>
      <c r="AZ122" s="309" t="s">
        <v>2033</v>
      </c>
      <c r="BA122" s="309" t="s">
        <v>2034</v>
      </c>
      <c r="BB122" s="309" t="s">
        <v>2034</v>
      </c>
      <c r="BC122" s="309" t="s">
        <v>2034</v>
      </c>
      <c r="BD122" s="309" t="s">
        <v>2034</v>
      </c>
      <c r="BE122" s="309" t="s">
        <v>2034</v>
      </c>
      <c r="BF122" s="309" t="s">
        <v>2034</v>
      </c>
      <c r="BG122" s="309" t="s">
        <v>2034</v>
      </c>
      <c r="BY122" s="309" t="s">
        <v>2372</v>
      </c>
      <c r="BZ122" s="309" t="s">
        <v>2372</v>
      </c>
      <c r="CA122" s="309" t="s">
        <v>2036</v>
      </c>
      <c r="CB122" s="309" t="s">
        <v>2036</v>
      </c>
      <c r="CC122" s="309" t="s">
        <v>2036</v>
      </c>
      <c r="CD122" s="309" t="s">
        <v>2036</v>
      </c>
      <c r="CE122" s="309" t="s">
        <v>2359</v>
      </c>
      <c r="CF122" s="309" t="s">
        <v>2359</v>
      </c>
      <c r="CG122" s="309" t="s">
        <v>2359</v>
      </c>
      <c r="CH122" s="309" t="s">
        <v>2359</v>
      </c>
    </row>
    <row r="123" spans="1:89" x14ac:dyDescent="0.25">
      <c r="A123" s="372">
        <v>5</v>
      </c>
      <c r="B123" s="372">
        <v>11</v>
      </c>
      <c r="C123" s="372">
        <v>12</v>
      </c>
      <c r="D123" s="372" t="s">
        <v>2374</v>
      </c>
      <c r="E123" s="372" t="s">
        <v>2435</v>
      </c>
      <c r="F123" s="372" t="s">
        <v>2435</v>
      </c>
      <c r="G123" s="372" t="s">
        <v>2396</v>
      </c>
      <c r="H123" s="372" t="s">
        <v>2435</v>
      </c>
      <c r="I123" s="372">
        <v>0</v>
      </c>
      <c r="J123" s="372">
        <v>3</v>
      </c>
      <c r="K123" s="372">
        <v>0</v>
      </c>
      <c r="L123" s="372">
        <v>5</v>
      </c>
      <c r="M123" s="359">
        <v>137</v>
      </c>
      <c r="N123" s="399" t="s">
        <v>997</v>
      </c>
      <c r="O123" s="237" t="s">
        <v>2777</v>
      </c>
      <c r="P123" s="237"/>
      <c r="Q123" s="360" t="s">
        <v>2277</v>
      </c>
      <c r="R123" s="361">
        <v>152122</v>
      </c>
      <c r="S123" s="369" t="s">
        <v>578</v>
      </c>
      <c r="T123" s="380">
        <v>42</v>
      </c>
      <c r="U123" s="364" t="s">
        <v>2278</v>
      </c>
      <c r="AH123" s="309" t="s">
        <v>2037</v>
      </c>
      <c r="AI123" s="309" t="s">
        <v>2037</v>
      </c>
      <c r="AJ123" s="309" t="s">
        <v>2037</v>
      </c>
      <c r="AK123" s="309" t="s">
        <v>2037</v>
      </c>
      <c r="AL123" s="309" t="s">
        <v>2370</v>
      </c>
      <c r="AS123" s="309" t="s">
        <v>2033</v>
      </c>
      <c r="AT123" s="309" t="s">
        <v>2033</v>
      </c>
      <c r="AU123" s="309" t="s">
        <v>2033</v>
      </c>
      <c r="AV123" s="309" t="s">
        <v>2033</v>
      </c>
      <c r="AW123" s="309" t="s">
        <v>2033</v>
      </c>
      <c r="AX123" s="309" t="s">
        <v>2033</v>
      </c>
      <c r="AY123" s="309" t="s">
        <v>2033</v>
      </c>
      <c r="AZ123" s="309" t="s">
        <v>2033</v>
      </c>
      <c r="BA123" s="309" t="s">
        <v>2033</v>
      </c>
      <c r="BB123" s="309" t="s">
        <v>2033</v>
      </c>
      <c r="BC123" s="309" t="s">
        <v>2033</v>
      </c>
      <c r="BD123" s="309" t="s">
        <v>2033</v>
      </c>
      <c r="BE123" s="309" t="s">
        <v>2034</v>
      </c>
      <c r="BF123" s="309" t="s">
        <v>2034</v>
      </c>
      <c r="BG123" s="309" t="s">
        <v>2034</v>
      </c>
      <c r="BH123" s="309" t="s">
        <v>2034</v>
      </c>
      <c r="BI123" s="309" t="s">
        <v>2034</v>
      </c>
      <c r="BJ123" s="309" t="s">
        <v>2034</v>
      </c>
      <c r="BK123" s="309" t="s">
        <v>2034</v>
      </c>
      <c r="BL123" s="309" t="s">
        <v>2034</v>
      </c>
      <c r="BM123" s="309" t="s">
        <v>2034</v>
      </c>
      <c r="BN123" s="309" t="s">
        <v>2034</v>
      </c>
      <c r="BO123" s="309" t="s">
        <v>2034</v>
      </c>
      <c r="BY123" s="309" t="s">
        <v>2372</v>
      </c>
      <c r="BZ123" s="309" t="s">
        <v>2372</v>
      </c>
      <c r="CA123" s="309" t="s">
        <v>2372</v>
      </c>
      <c r="CB123" s="309" t="s">
        <v>2036</v>
      </c>
      <c r="CC123" s="309" t="s">
        <v>2036</v>
      </c>
      <c r="CD123" s="309" t="s">
        <v>2036</v>
      </c>
      <c r="CE123" s="309" t="s">
        <v>2036</v>
      </c>
      <c r="CF123" s="309" t="s">
        <v>2036</v>
      </c>
      <c r="CG123" s="309" t="s">
        <v>2359</v>
      </c>
      <c r="CH123" s="309" t="s">
        <v>2359</v>
      </c>
      <c r="CI123" s="309" t="s">
        <v>2359</v>
      </c>
      <c r="CJ123" s="309" t="s">
        <v>2359</v>
      </c>
      <c r="CK123" s="309" t="s">
        <v>2359</v>
      </c>
    </row>
    <row r="124" spans="1:89" x14ac:dyDescent="0.25">
      <c r="A124" s="373">
        <v>5</v>
      </c>
      <c r="B124" s="373">
        <v>11</v>
      </c>
      <c r="C124" s="373">
        <v>12</v>
      </c>
      <c r="D124" s="373" t="s">
        <v>2775</v>
      </c>
      <c r="E124" s="373" t="s">
        <v>2435</v>
      </c>
      <c r="F124" s="373" t="s">
        <v>2435</v>
      </c>
      <c r="G124" s="373" t="s">
        <v>2396</v>
      </c>
      <c r="H124" s="373" t="s">
        <v>2435</v>
      </c>
      <c r="I124" s="373">
        <v>0</v>
      </c>
      <c r="J124" s="373">
        <v>3</v>
      </c>
      <c r="K124" s="373">
        <v>0</v>
      </c>
      <c r="L124" s="373">
        <v>5</v>
      </c>
      <c r="M124" s="366">
        <v>154</v>
      </c>
      <c r="N124" s="398" t="s">
        <v>1040</v>
      </c>
      <c r="O124" s="374" t="s">
        <v>2777</v>
      </c>
      <c r="P124" s="374"/>
      <c r="Q124" s="375" t="s">
        <v>1041</v>
      </c>
      <c r="R124" s="396">
        <v>152809</v>
      </c>
      <c r="S124" s="381" t="s">
        <v>578</v>
      </c>
      <c r="T124" s="382">
        <v>42</v>
      </c>
      <c r="U124" s="379" t="s">
        <v>1042</v>
      </c>
      <c r="AH124" s="309" t="s">
        <v>2037</v>
      </c>
      <c r="AI124" s="309" t="s">
        <v>2037</v>
      </c>
      <c r="AJ124" s="309" t="s">
        <v>2037</v>
      </c>
      <c r="AK124" s="309" t="s">
        <v>2037</v>
      </c>
      <c r="AL124" s="309" t="s">
        <v>2370</v>
      </c>
      <c r="AM124" s="309" t="s">
        <v>2370</v>
      </c>
      <c r="AN124" s="309" t="s">
        <v>2370</v>
      </c>
      <c r="AS124" s="309" t="s">
        <v>2033</v>
      </c>
      <c r="AT124" s="309" t="s">
        <v>2033</v>
      </c>
      <c r="AU124" s="309" t="s">
        <v>2033</v>
      </c>
      <c r="AV124" s="309" t="s">
        <v>2033</v>
      </c>
      <c r="AW124" s="309" t="s">
        <v>2033</v>
      </c>
      <c r="AX124" s="309" t="s">
        <v>2033</v>
      </c>
      <c r="AY124" s="309" t="s">
        <v>2033</v>
      </c>
      <c r="AZ124" s="309" t="s">
        <v>2033</v>
      </c>
      <c r="BA124" s="309" t="s">
        <v>2033</v>
      </c>
      <c r="BB124" s="309" t="s">
        <v>2033</v>
      </c>
      <c r="BC124" s="309" t="s">
        <v>2033</v>
      </c>
      <c r="BD124" s="309" t="s">
        <v>2033</v>
      </c>
      <c r="BE124" s="309" t="s">
        <v>2034</v>
      </c>
      <c r="BF124" s="309" t="s">
        <v>2034</v>
      </c>
      <c r="BG124" s="309" t="s">
        <v>2034</v>
      </c>
      <c r="BH124" s="309" t="s">
        <v>2034</v>
      </c>
      <c r="BI124" s="309" t="s">
        <v>2034</v>
      </c>
      <c r="BJ124" s="309" t="s">
        <v>2034</v>
      </c>
      <c r="BK124" s="309" t="s">
        <v>2034</v>
      </c>
      <c r="BL124" s="309" t="s">
        <v>2034</v>
      </c>
      <c r="BM124" s="309" t="s">
        <v>2034</v>
      </c>
      <c r="BN124" s="309" t="s">
        <v>2034</v>
      </c>
      <c r="BO124" s="309" t="s">
        <v>2034</v>
      </c>
      <c r="BY124" s="309" t="s">
        <v>2372</v>
      </c>
      <c r="BZ124" s="309" t="s">
        <v>2372</v>
      </c>
      <c r="CA124" s="309" t="s">
        <v>2372</v>
      </c>
      <c r="CB124" s="309" t="s">
        <v>2036</v>
      </c>
      <c r="CC124" s="309" t="s">
        <v>2036</v>
      </c>
      <c r="CD124" s="309" t="s">
        <v>2036</v>
      </c>
      <c r="CE124" s="309" t="s">
        <v>2036</v>
      </c>
      <c r="CF124" s="309" t="s">
        <v>2036</v>
      </c>
      <c r="CG124" s="309" t="s">
        <v>2359</v>
      </c>
      <c r="CH124" s="309" t="s">
        <v>2359</v>
      </c>
      <c r="CI124" s="309" t="s">
        <v>2359</v>
      </c>
      <c r="CJ124" s="309" t="s">
        <v>2359</v>
      </c>
      <c r="CK124" s="309" t="s">
        <v>2359</v>
      </c>
    </row>
    <row r="125" spans="1:89" x14ac:dyDescent="0.25">
      <c r="A125" s="373">
        <v>4</v>
      </c>
      <c r="B125" s="373">
        <v>7</v>
      </c>
      <c r="C125" s="373">
        <v>8</v>
      </c>
      <c r="D125" s="373" t="s">
        <v>2774</v>
      </c>
      <c r="E125" s="373" t="s">
        <v>2435</v>
      </c>
      <c r="F125" s="373" t="s">
        <v>2435</v>
      </c>
      <c r="G125" s="373" t="s">
        <v>2405</v>
      </c>
      <c r="H125" s="373" t="s">
        <v>2435</v>
      </c>
      <c r="I125" s="373">
        <v>0</v>
      </c>
      <c r="J125" s="373">
        <v>2</v>
      </c>
      <c r="K125" s="373">
        <v>0</v>
      </c>
      <c r="L125" s="373">
        <v>4</v>
      </c>
      <c r="M125" s="366">
        <v>215</v>
      </c>
      <c r="N125" s="398" t="s">
        <v>964</v>
      </c>
      <c r="O125" s="237" t="s">
        <v>2776</v>
      </c>
      <c r="P125" s="374"/>
      <c r="Q125" s="375" t="s">
        <v>965</v>
      </c>
      <c r="R125" s="396">
        <v>154514</v>
      </c>
      <c r="S125" s="381" t="s">
        <v>578</v>
      </c>
      <c r="T125" s="382">
        <v>43</v>
      </c>
      <c r="U125" s="379" t="s">
        <v>966</v>
      </c>
      <c r="AH125" s="309" t="s">
        <v>2037</v>
      </c>
      <c r="AI125" s="309" t="s">
        <v>2037</v>
      </c>
      <c r="AJ125" s="309" t="s">
        <v>2037</v>
      </c>
      <c r="AK125" s="309" t="s">
        <v>2370</v>
      </c>
      <c r="AL125" s="309" t="s">
        <v>2370</v>
      </c>
      <c r="AS125" s="309" t="s">
        <v>2033</v>
      </c>
      <c r="AT125" s="309" t="s">
        <v>2033</v>
      </c>
      <c r="AU125" s="309" t="s">
        <v>2033</v>
      </c>
      <c r="AV125" s="309" t="s">
        <v>2033</v>
      </c>
      <c r="AW125" s="309" t="s">
        <v>2033</v>
      </c>
      <c r="AX125" s="309" t="s">
        <v>2033</v>
      </c>
      <c r="AY125" s="309" t="s">
        <v>2033</v>
      </c>
      <c r="AZ125" s="309" t="s">
        <v>2033</v>
      </c>
      <c r="BA125" s="309" t="s">
        <v>2034</v>
      </c>
      <c r="BB125" s="309" t="s">
        <v>2034</v>
      </c>
      <c r="BC125" s="309" t="s">
        <v>2034</v>
      </c>
      <c r="BD125" s="309" t="s">
        <v>2034</v>
      </c>
      <c r="BE125" s="309" t="s">
        <v>2034</v>
      </c>
      <c r="BF125" s="309" t="s">
        <v>2034</v>
      </c>
      <c r="BG125" s="309" t="s">
        <v>2034</v>
      </c>
      <c r="BY125" s="309" t="s">
        <v>2372</v>
      </c>
      <c r="BZ125" s="309" t="s">
        <v>2372</v>
      </c>
      <c r="CA125" s="309" t="s">
        <v>2036</v>
      </c>
      <c r="CB125" s="309" t="s">
        <v>2036</v>
      </c>
      <c r="CC125" s="309" t="s">
        <v>2036</v>
      </c>
      <c r="CD125" s="309" t="s">
        <v>2036</v>
      </c>
      <c r="CE125" s="309" t="s">
        <v>2359</v>
      </c>
      <c r="CF125" s="309" t="s">
        <v>2359</v>
      </c>
      <c r="CG125" s="309" t="s">
        <v>2359</v>
      </c>
      <c r="CH125" s="309" t="s">
        <v>2359</v>
      </c>
    </row>
    <row r="126" spans="1:89" x14ac:dyDescent="0.25">
      <c r="A126" s="373">
        <v>4</v>
      </c>
      <c r="B126" s="373">
        <v>7</v>
      </c>
      <c r="C126" s="373">
        <v>8</v>
      </c>
      <c r="D126" s="373" t="s">
        <v>2774</v>
      </c>
      <c r="E126" s="373" t="s">
        <v>2716</v>
      </c>
      <c r="F126" s="373" t="s">
        <v>2435</v>
      </c>
      <c r="G126" s="373" t="s">
        <v>2804</v>
      </c>
      <c r="H126" s="373" t="s">
        <v>2435</v>
      </c>
      <c r="I126" s="373">
        <v>0</v>
      </c>
      <c r="J126" s="373">
        <v>2</v>
      </c>
      <c r="K126" s="373">
        <v>0</v>
      </c>
      <c r="L126" s="373">
        <v>4</v>
      </c>
      <c r="M126" s="366">
        <f>215+37</f>
        <v>252</v>
      </c>
      <c r="N126" s="415" t="s">
        <v>2805</v>
      </c>
      <c r="O126" s="237" t="s">
        <v>2776</v>
      </c>
      <c r="P126" s="374"/>
      <c r="Q126" s="375" t="s">
        <v>965</v>
      </c>
      <c r="R126" s="396">
        <f>154514+15000</f>
        <v>169514</v>
      </c>
      <c r="S126" s="381" t="s">
        <v>578</v>
      </c>
      <c r="T126" s="382">
        <v>43</v>
      </c>
      <c r="U126" s="379" t="s">
        <v>966</v>
      </c>
      <c r="AH126" s="309" t="s">
        <v>2037</v>
      </c>
      <c r="AI126" s="309" t="s">
        <v>2037</v>
      </c>
      <c r="AJ126" s="309" t="s">
        <v>2037</v>
      </c>
      <c r="AK126" s="309" t="s">
        <v>2370</v>
      </c>
      <c r="AL126" s="309" t="s">
        <v>2370</v>
      </c>
      <c r="AS126" s="309" t="s">
        <v>2033</v>
      </c>
      <c r="AT126" s="309" t="s">
        <v>2033</v>
      </c>
      <c r="AU126" s="309" t="s">
        <v>2033</v>
      </c>
      <c r="AV126" s="309" t="s">
        <v>2033</v>
      </c>
      <c r="AW126" s="309" t="s">
        <v>2033</v>
      </c>
      <c r="AX126" s="309" t="s">
        <v>2033</v>
      </c>
      <c r="AY126" s="309" t="s">
        <v>2033</v>
      </c>
      <c r="AZ126" s="309" t="s">
        <v>2033</v>
      </c>
      <c r="BA126" s="309" t="s">
        <v>2034</v>
      </c>
      <c r="BB126" s="309" t="s">
        <v>2034</v>
      </c>
      <c r="BC126" s="309" t="s">
        <v>2034</v>
      </c>
      <c r="BD126" s="309" t="s">
        <v>2034</v>
      </c>
      <c r="BE126" s="309" t="s">
        <v>2034</v>
      </c>
      <c r="BF126" s="309" t="s">
        <v>2034</v>
      </c>
      <c r="BG126" s="309" t="s">
        <v>2034</v>
      </c>
      <c r="BY126" s="309" t="s">
        <v>2372</v>
      </c>
      <c r="BZ126" s="309" t="s">
        <v>2372</v>
      </c>
      <c r="CA126" s="309" t="s">
        <v>2036</v>
      </c>
      <c r="CB126" s="309" t="s">
        <v>2036</v>
      </c>
      <c r="CC126" s="309" t="s">
        <v>2036</v>
      </c>
      <c r="CD126" s="309" t="s">
        <v>2036</v>
      </c>
      <c r="CE126" s="309" t="s">
        <v>2359</v>
      </c>
      <c r="CF126" s="309" t="s">
        <v>2359</v>
      </c>
      <c r="CG126" s="309" t="s">
        <v>2359</v>
      </c>
      <c r="CH126" s="309" t="s">
        <v>2359</v>
      </c>
    </row>
    <row r="127" spans="1:89" ht="15.75" customHeight="1" x14ac:dyDescent="0.25">
      <c r="A127" s="373">
        <v>4</v>
      </c>
      <c r="B127" s="373">
        <v>7</v>
      </c>
      <c r="C127" s="373">
        <v>8</v>
      </c>
      <c r="D127" s="373" t="s">
        <v>2775</v>
      </c>
      <c r="E127" s="373" t="s">
        <v>2435</v>
      </c>
      <c r="F127" s="373" t="s">
        <v>2435</v>
      </c>
      <c r="G127" s="373" t="s">
        <v>2404</v>
      </c>
      <c r="H127" s="373" t="s">
        <v>2435</v>
      </c>
      <c r="I127" s="373">
        <v>0</v>
      </c>
      <c r="J127" s="373">
        <v>2</v>
      </c>
      <c r="K127" s="373">
        <v>0</v>
      </c>
      <c r="L127" s="373">
        <v>3</v>
      </c>
      <c r="M127" s="366">
        <v>186</v>
      </c>
      <c r="N127" s="398" t="s">
        <v>982</v>
      </c>
      <c r="O127" s="237" t="s">
        <v>2776</v>
      </c>
      <c r="P127" s="374"/>
      <c r="Q127" s="375" t="s">
        <v>983</v>
      </c>
      <c r="R127" s="396">
        <v>154916</v>
      </c>
      <c r="S127" s="381" t="s">
        <v>578</v>
      </c>
      <c r="T127" s="382">
        <v>43</v>
      </c>
      <c r="U127" s="379" t="s">
        <v>984</v>
      </c>
      <c r="AH127" s="309" t="s">
        <v>2037</v>
      </c>
      <c r="AI127" s="309" t="s">
        <v>2037</v>
      </c>
      <c r="AJ127" s="309" t="s">
        <v>2037</v>
      </c>
      <c r="AK127" s="309" t="s">
        <v>2370</v>
      </c>
      <c r="AL127" s="309" t="s">
        <v>2370</v>
      </c>
      <c r="AM127" s="309" t="s">
        <v>2370</v>
      </c>
      <c r="AS127" s="309" t="s">
        <v>2033</v>
      </c>
      <c r="AT127" s="309" t="s">
        <v>2033</v>
      </c>
      <c r="AU127" s="309" t="s">
        <v>2033</v>
      </c>
      <c r="AV127" s="309" t="s">
        <v>2033</v>
      </c>
      <c r="AW127" s="309" t="s">
        <v>2033</v>
      </c>
      <c r="AX127" s="309" t="s">
        <v>2033</v>
      </c>
      <c r="AY127" s="309" t="s">
        <v>2033</v>
      </c>
      <c r="AZ127" s="309" t="s">
        <v>2033</v>
      </c>
      <c r="BA127" s="309" t="s">
        <v>2034</v>
      </c>
      <c r="BB127" s="309" t="s">
        <v>2034</v>
      </c>
      <c r="BC127" s="309" t="s">
        <v>2034</v>
      </c>
      <c r="BD127" s="309" t="s">
        <v>2034</v>
      </c>
      <c r="BE127" s="309" t="s">
        <v>2034</v>
      </c>
      <c r="BF127" s="309" t="s">
        <v>2034</v>
      </c>
      <c r="BG127" s="309" t="s">
        <v>2034</v>
      </c>
      <c r="BY127" s="309" t="s">
        <v>2372</v>
      </c>
      <c r="BZ127" s="309" t="s">
        <v>2372</v>
      </c>
      <c r="CA127" s="309" t="s">
        <v>2036</v>
      </c>
      <c r="CB127" s="309" t="s">
        <v>2036</v>
      </c>
      <c r="CC127" s="309" t="s">
        <v>2036</v>
      </c>
      <c r="CD127" s="309" t="s">
        <v>2359</v>
      </c>
      <c r="CE127" s="309" t="s">
        <v>2359</v>
      </c>
      <c r="CF127" s="309" t="s">
        <v>2359</v>
      </c>
      <c r="CG127" s="309" t="s">
        <v>2359</v>
      </c>
    </row>
    <row r="128" spans="1:89" x14ac:dyDescent="0.25">
      <c r="A128" s="373">
        <v>4</v>
      </c>
      <c r="B128" s="373">
        <v>7</v>
      </c>
      <c r="C128" s="373">
        <v>8</v>
      </c>
      <c r="D128" s="373" t="s">
        <v>2775</v>
      </c>
      <c r="E128" s="373" t="s">
        <v>2435</v>
      </c>
      <c r="F128" s="373" t="s">
        <v>2435</v>
      </c>
      <c r="G128" s="373" t="s">
        <v>2405</v>
      </c>
      <c r="H128" s="373" t="s">
        <v>2435</v>
      </c>
      <c r="I128" s="373">
        <v>0</v>
      </c>
      <c r="J128" s="373">
        <v>2</v>
      </c>
      <c r="K128" s="373">
        <v>0</v>
      </c>
      <c r="L128" s="373">
        <v>3</v>
      </c>
      <c r="M128" s="366">
        <v>225</v>
      </c>
      <c r="N128" s="398" t="s">
        <v>985</v>
      </c>
      <c r="O128" s="237" t="s">
        <v>2776</v>
      </c>
      <c r="P128" s="374"/>
      <c r="Q128" s="375" t="s">
        <v>986</v>
      </c>
      <c r="R128" s="396">
        <v>157650</v>
      </c>
      <c r="S128" s="381" t="s">
        <v>578</v>
      </c>
      <c r="T128" s="382">
        <v>43</v>
      </c>
      <c r="U128" s="379" t="s">
        <v>987</v>
      </c>
      <c r="AH128" s="309" t="s">
        <v>2037</v>
      </c>
      <c r="AI128" s="309" t="s">
        <v>2037</v>
      </c>
      <c r="AJ128" s="309" t="s">
        <v>2037</v>
      </c>
      <c r="AK128" s="309" t="s">
        <v>2370</v>
      </c>
      <c r="AL128" s="309" t="s">
        <v>2370</v>
      </c>
      <c r="AM128" s="309" t="s">
        <v>2370</v>
      </c>
      <c r="AS128" s="309" t="s">
        <v>2033</v>
      </c>
      <c r="AT128" s="309" t="s">
        <v>2033</v>
      </c>
      <c r="AU128" s="309" t="s">
        <v>2033</v>
      </c>
      <c r="AV128" s="309" t="s">
        <v>2033</v>
      </c>
      <c r="AW128" s="309" t="s">
        <v>2033</v>
      </c>
      <c r="AX128" s="309" t="s">
        <v>2033</v>
      </c>
      <c r="AY128" s="309" t="s">
        <v>2033</v>
      </c>
      <c r="AZ128" s="309" t="s">
        <v>2033</v>
      </c>
      <c r="BA128" s="309" t="s">
        <v>2034</v>
      </c>
      <c r="BB128" s="309" t="s">
        <v>2034</v>
      </c>
      <c r="BC128" s="309" t="s">
        <v>2034</v>
      </c>
      <c r="BD128" s="309" t="s">
        <v>2034</v>
      </c>
      <c r="BE128" s="309" t="s">
        <v>2034</v>
      </c>
      <c r="BF128" s="309" t="s">
        <v>2034</v>
      </c>
      <c r="BG128" s="309" t="s">
        <v>2034</v>
      </c>
      <c r="BY128" s="309" t="s">
        <v>2372</v>
      </c>
      <c r="BZ128" s="309" t="s">
        <v>2372</v>
      </c>
      <c r="CA128" s="309" t="s">
        <v>2036</v>
      </c>
      <c r="CB128" s="309" t="s">
        <v>2036</v>
      </c>
      <c r="CC128" s="309" t="s">
        <v>2036</v>
      </c>
      <c r="CD128" s="309" t="s">
        <v>2359</v>
      </c>
      <c r="CE128" s="309" t="s">
        <v>2359</v>
      </c>
      <c r="CF128" s="309" t="s">
        <v>2359</v>
      </c>
      <c r="CG128" s="309" t="s">
        <v>2359</v>
      </c>
    </row>
    <row r="129" spans="1:92" x14ac:dyDescent="0.25">
      <c r="A129" s="372">
        <v>6</v>
      </c>
      <c r="B129" s="372">
        <v>11</v>
      </c>
      <c r="C129" s="372">
        <v>16</v>
      </c>
      <c r="D129" s="372" t="s">
        <v>2374</v>
      </c>
      <c r="E129" s="372" t="s">
        <v>2435</v>
      </c>
      <c r="F129" s="372" t="s">
        <v>2435</v>
      </c>
      <c r="G129" s="372" t="s">
        <v>2397</v>
      </c>
      <c r="H129" s="372" t="s">
        <v>2435</v>
      </c>
      <c r="I129" s="372">
        <v>0</v>
      </c>
      <c r="J129" s="372">
        <v>3</v>
      </c>
      <c r="K129" s="372">
        <v>0</v>
      </c>
      <c r="L129" s="372">
        <v>7</v>
      </c>
      <c r="M129" s="359">
        <v>89</v>
      </c>
      <c r="N129" s="399" t="s">
        <v>1052</v>
      </c>
      <c r="O129" s="374" t="s">
        <v>2777</v>
      </c>
      <c r="P129" s="237" t="s">
        <v>1497</v>
      </c>
      <c r="Q129" s="360" t="s">
        <v>2285</v>
      </c>
      <c r="R129" s="361">
        <v>157816</v>
      </c>
      <c r="S129" s="369" t="s">
        <v>578</v>
      </c>
      <c r="T129" s="380">
        <v>43</v>
      </c>
      <c r="U129" s="364" t="s">
        <v>2286</v>
      </c>
      <c r="AH129" s="309" t="s">
        <v>2037</v>
      </c>
      <c r="AI129" s="309" t="s">
        <v>2037</v>
      </c>
      <c r="AJ129" s="309" t="s">
        <v>2037</v>
      </c>
      <c r="AK129" s="309" t="s">
        <v>2037</v>
      </c>
      <c r="AL129" s="309" t="s">
        <v>2037</v>
      </c>
      <c r="AM129" s="309" t="s">
        <v>2370</v>
      </c>
      <c r="AS129" s="309" t="s">
        <v>2033</v>
      </c>
      <c r="AT129" s="309" t="s">
        <v>2033</v>
      </c>
      <c r="AU129" s="309" t="s">
        <v>2033</v>
      </c>
      <c r="AV129" s="309" t="s">
        <v>2033</v>
      </c>
      <c r="AW129" s="309" t="s">
        <v>2033</v>
      </c>
      <c r="AX129" s="309" t="s">
        <v>2033</v>
      </c>
      <c r="AY129" s="309" t="s">
        <v>2033</v>
      </c>
      <c r="AZ129" s="309" t="s">
        <v>2033</v>
      </c>
      <c r="BA129" s="309" t="s">
        <v>2033</v>
      </c>
      <c r="BB129" s="309" t="s">
        <v>2033</v>
      </c>
      <c r="BC129" s="309" t="s">
        <v>2033</v>
      </c>
      <c r="BD129" s="309" t="s">
        <v>2033</v>
      </c>
      <c r="BE129" s="309" t="s">
        <v>2033</v>
      </c>
      <c r="BF129" s="309" t="s">
        <v>2033</v>
      </c>
      <c r="BG129" s="309" t="s">
        <v>2033</v>
      </c>
      <c r="BH129" s="309" t="s">
        <v>2033</v>
      </c>
      <c r="BI129" s="309" t="s">
        <v>2034</v>
      </c>
      <c r="BJ129" s="309" t="s">
        <v>2034</v>
      </c>
      <c r="BK129" s="309" t="s">
        <v>2034</v>
      </c>
      <c r="BL129" s="309" t="s">
        <v>2034</v>
      </c>
      <c r="BM129" s="309" t="s">
        <v>2034</v>
      </c>
      <c r="BN129" s="309" t="s">
        <v>2034</v>
      </c>
      <c r="BO129" s="309" t="s">
        <v>2034</v>
      </c>
      <c r="BP129" s="309" t="s">
        <v>2034</v>
      </c>
      <c r="BQ129" s="309" t="s">
        <v>2034</v>
      </c>
      <c r="BR129" s="309" t="s">
        <v>2034</v>
      </c>
      <c r="BS129" s="309" t="s">
        <v>2034</v>
      </c>
      <c r="BY129" s="309" t="s">
        <v>2372</v>
      </c>
      <c r="BZ129" s="309" t="s">
        <v>2372</v>
      </c>
      <c r="CA129" s="309" t="s">
        <v>2372</v>
      </c>
      <c r="CB129" s="309" t="s">
        <v>2036</v>
      </c>
      <c r="CC129" s="309" t="s">
        <v>2036</v>
      </c>
      <c r="CD129" s="309" t="s">
        <v>2036</v>
      </c>
      <c r="CE129" s="309" t="s">
        <v>2036</v>
      </c>
      <c r="CF129" s="309" t="s">
        <v>2036</v>
      </c>
      <c r="CG129" s="309" t="s">
        <v>2036</v>
      </c>
      <c r="CH129" s="309" t="s">
        <v>2036</v>
      </c>
      <c r="CI129" s="309" t="s">
        <v>2359</v>
      </c>
      <c r="CJ129" s="309" t="s">
        <v>2359</v>
      </c>
      <c r="CK129" s="309" t="s">
        <v>2359</v>
      </c>
      <c r="CL129" s="309" t="s">
        <v>2359</v>
      </c>
      <c r="CM129" s="309" t="s">
        <v>2359</v>
      </c>
      <c r="CN129" s="309" t="s">
        <v>2359</v>
      </c>
    </row>
    <row r="130" spans="1:92" x14ac:dyDescent="0.25">
      <c r="A130" s="372">
        <v>6</v>
      </c>
      <c r="B130" s="372">
        <v>11</v>
      </c>
      <c r="C130" s="372">
        <v>16</v>
      </c>
      <c r="D130" s="372" t="s">
        <v>2374</v>
      </c>
      <c r="E130" s="372" t="s">
        <v>2435</v>
      </c>
      <c r="F130" s="372" t="s">
        <v>2435</v>
      </c>
      <c r="G130" s="372" t="s">
        <v>2398</v>
      </c>
      <c r="H130" s="372" t="s">
        <v>2435</v>
      </c>
      <c r="I130" s="372">
        <v>0</v>
      </c>
      <c r="J130" s="372">
        <v>3</v>
      </c>
      <c r="K130" s="372">
        <v>0</v>
      </c>
      <c r="L130" s="372">
        <v>7</v>
      </c>
      <c r="M130" s="359">
        <v>109</v>
      </c>
      <c r="N130" s="399" t="s">
        <v>1055</v>
      </c>
      <c r="O130" s="374" t="s">
        <v>2777</v>
      </c>
      <c r="P130" s="237" t="s">
        <v>1497</v>
      </c>
      <c r="Q130" s="360" t="s">
        <v>2287</v>
      </c>
      <c r="R130" s="361">
        <v>162083</v>
      </c>
      <c r="S130" s="369" t="s">
        <v>578</v>
      </c>
      <c r="T130" s="380">
        <v>43</v>
      </c>
      <c r="U130" s="364" t="s">
        <v>2288</v>
      </c>
      <c r="AH130" s="309" t="s">
        <v>2037</v>
      </c>
      <c r="AI130" s="309" t="s">
        <v>2037</v>
      </c>
      <c r="AJ130" s="309" t="s">
        <v>2037</v>
      </c>
      <c r="AK130" s="309" t="s">
        <v>2037</v>
      </c>
      <c r="AL130" s="309" t="s">
        <v>2037</v>
      </c>
      <c r="AM130" s="309" t="s">
        <v>2370</v>
      </c>
      <c r="AS130" s="309" t="s">
        <v>2033</v>
      </c>
      <c r="AT130" s="309" t="s">
        <v>2033</v>
      </c>
      <c r="AU130" s="309" t="s">
        <v>2033</v>
      </c>
      <c r="AV130" s="309" t="s">
        <v>2033</v>
      </c>
      <c r="AW130" s="309" t="s">
        <v>2033</v>
      </c>
      <c r="AX130" s="309" t="s">
        <v>2033</v>
      </c>
      <c r="AY130" s="309" t="s">
        <v>2033</v>
      </c>
      <c r="AZ130" s="309" t="s">
        <v>2033</v>
      </c>
      <c r="BA130" s="309" t="s">
        <v>2033</v>
      </c>
      <c r="BB130" s="309" t="s">
        <v>2033</v>
      </c>
      <c r="BC130" s="309" t="s">
        <v>2033</v>
      </c>
      <c r="BD130" s="309" t="s">
        <v>2033</v>
      </c>
      <c r="BE130" s="309" t="s">
        <v>2033</v>
      </c>
      <c r="BF130" s="309" t="s">
        <v>2033</v>
      </c>
      <c r="BG130" s="309" t="s">
        <v>2033</v>
      </c>
      <c r="BH130" s="309" t="s">
        <v>2033</v>
      </c>
      <c r="BI130" s="309" t="s">
        <v>2034</v>
      </c>
      <c r="BJ130" s="309" t="s">
        <v>2034</v>
      </c>
      <c r="BK130" s="309" t="s">
        <v>2034</v>
      </c>
      <c r="BL130" s="309" t="s">
        <v>2034</v>
      </c>
      <c r="BM130" s="309" t="s">
        <v>2034</v>
      </c>
      <c r="BN130" s="309" t="s">
        <v>2034</v>
      </c>
      <c r="BO130" s="309" t="s">
        <v>2034</v>
      </c>
      <c r="BP130" s="309" t="s">
        <v>2034</v>
      </c>
      <c r="BQ130" s="309" t="s">
        <v>2034</v>
      </c>
      <c r="BR130" s="309" t="s">
        <v>2034</v>
      </c>
      <c r="BS130" s="309" t="s">
        <v>2034</v>
      </c>
      <c r="BY130" s="309" t="s">
        <v>2372</v>
      </c>
      <c r="BZ130" s="309" t="s">
        <v>2372</v>
      </c>
      <c r="CA130" s="309" t="s">
        <v>2372</v>
      </c>
      <c r="CB130" s="309" t="s">
        <v>2036</v>
      </c>
      <c r="CC130" s="309" t="s">
        <v>2036</v>
      </c>
      <c r="CD130" s="309" t="s">
        <v>2036</v>
      </c>
      <c r="CE130" s="309" t="s">
        <v>2036</v>
      </c>
      <c r="CF130" s="309" t="s">
        <v>2036</v>
      </c>
      <c r="CG130" s="309" t="s">
        <v>2036</v>
      </c>
      <c r="CH130" s="309" t="s">
        <v>2036</v>
      </c>
      <c r="CI130" s="309" t="s">
        <v>2359</v>
      </c>
      <c r="CJ130" s="309" t="s">
        <v>2359</v>
      </c>
      <c r="CK130" s="309" t="s">
        <v>2359</v>
      </c>
      <c r="CL130" s="309" t="s">
        <v>2359</v>
      </c>
      <c r="CM130" s="309" t="s">
        <v>2359</v>
      </c>
      <c r="CN130" s="309" t="s">
        <v>2359</v>
      </c>
    </row>
    <row r="131" spans="1:92" x14ac:dyDescent="0.25">
      <c r="A131" s="372">
        <v>5</v>
      </c>
      <c r="B131" s="372">
        <v>7</v>
      </c>
      <c r="C131" s="372">
        <v>12</v>
      </c>
      <c r="D131" s="372" t="s">
        <v>2401</v>
      </c>
      <c r="E131" s="372" t="s">
        <v>2435</v>
      </c>
      <c r="F131" s="372" t="s">
        <v>2435</v>
      </c>
      <c r="G131" s="372" t="s">
        <v>2435</v>
      </c>
      <c r="H131" s="372" t="s">
        <v>2435</v>
      </c>
      <c r="I131" s="372">
        <v>5</v>
      </c>
      <c r="J131" s="372">
        <v>0</v>
      </c>
      <c r="K131" s="372">
        <v>0</v>
      </c>
      <c r="L131" s="372">
        <v>0</v>
      </c>
      <c r="M131" s="359">
        <v>85</v>
      </c>
      <c r="N131" s="399" t="s">
        <v>1137</v>
      </c>
      <c r="O131" s="237" t="s">
        <v>2777</v>
      </c>
      <c r="P131" s="237"/>
      <c r="Q131" s="360" t="s">
        <v>2313</v>
      </c>
      <c r="R131" s="361">
        <v>162512</v>
      </c>
      <c r="S131" s="369" t="s">
        <v>1002</v>
      </c>
      <c r="T131" s="380">
        <v>61</v>
      </c>
      <c r="U131" s="364" t="s">
        <v>2314</v>
      </c>
      <c r="AH131" s="309" t="s">
        <v>2370</v>
      </c>
      <c r="AI131" s="309" t="s">
        <v>2370</v>
      </c>
      <c r="AJ131" s="309" t="s">
        <v>2370</v>
      </c>
      <c r="AK131" s="309" t="s">
        <v>2370</v>
      </c>
      <c r="AL131" s="309" t="s">
        <v>2370</v>
      </c>
      <c r="AS131" s="309" t="s">
        <v>2033</v>
      </c>
      <c r="AT131" s="309" t="s">
        <v>2033</v>
      </c>
      <c r="AU131" s="309" t="s">
        <v>2033</v>
      </c>
      <c r="AV131" s="309" t="s">
        <v>2033</v>
      </c>
      <c r="AW131" s="309" t="s">
        <v>2033</v>
      </c>
      <c r="AX131" s="309" t="s">
        <v>2033</v>
      </c>
      <c r="AY131" s="309" t="s">
        <v>2033</v>
      </c>
      <c r="AZ131" s="309" t="s">
        <v>2033</v>
      </c>
      <c r="BA131" s="309" t="s">
        <v>2033</v>
      </c>
      <c r="BB131" s="309" t="s">
        <v>2033</v>
      </c>
      <c r="BC131" s="309" t="s">
        <v>2033</v>
      </c>
      <c r="BD131" s="309" t="s">
        <v>2033</v>
      </c>
      <c r="BE131" s="309" t="s">
        <v>2034</v>
      </c>
      <c r="BF131" s="309" t="s">
        <v>2034</v>
      </c>
      <c r="BG131" s="309" t="s">
        <v>2034</v>
      </c>
      <c r="BH131" s="309" t="s">
        <v>2034</v>
      </c>
      <c r="BI131" s="309" t="s">
        <v>2034</v>
      </c>
      <c r="BJ131" s="309" t="s">
        <v>2034</v>
      </c>
      <c r="BK131" s="309" t="s">
        <v>2034</v>
      </c>
      <c r="BY131" s="309" t="s">
        <v>2361</v>
      </c>
      <c r="BZ131" s="309" t="s">
        <v>2361</v>
      </c>
      <c r="CA131" s="309" t="s">
        <v>2361</v>
      </c>
      <c r="CB131" s="309" t="s">
        <v>2361</v>
      </c>
      <c r="CC131" s="309" t="s">
        <v>2361</v>
      </c>
      <c r="CD131" s="309" t="s">
        <v>2359</v>
      </c>
      <c r="CE131" s="309" t="s">
        <v>2359</v>
      </c>
      <c r="CF131" s="309" t="s">
        <v>2359</v>
      </c>
      <c r="CG131" s="309" t="s">
        <v>2359</v>
      </c>
      <c r="CH131" s="309" t="s">
        <v>2359</v>
      </c>
    </row>
    <row r="132" spans="1:92" x14ac:dyDescent="0.25">
      <c r="A132" s="373">
        <v>6</v>
      </c>
      <c r="B132" s="373">
        <v>15</v>
      </c>
      <c r="C132" s="373">
        <v>16</v>
      </c>
      <c r="D132" s="373" t="s">
        <v>2774</v>
      </c>
      <c r="E132" s="373" t="s">
        <v>2435</v>
      </c>
      <c r="F132" s="373" t="s">
        <v>2435</v>
      </c>
      <c r="G132" s="373" t="s">
        <v>2398</v>
      </c>
      <c r="H132" s="373" t="s">
        <v>2435</v>
      </c>
      <c r="I132" s="373">
        <v>0</v>
      </c>
      <c r="J132" s="373">
        <v>3</v>
      </c>
      <c r="K132" s="373">
        <v>0</v>
      </c>
      <c r="L132" s="373">
        <v>7</v>
      </c>
      <c r="M132" s="366">
        <v>126</v>
      </c>
      <c r="N132" s="398" t="s">
        <v>1076</v>
      </c>
      <c r="O132" s="374" t="s">
        <v>2777</v>
      </c>
      <c r="P132" s="374" t="s">
        <v>1497</v>
      </c>
      <c r="Q132" s="375" t="s">
        <v>1077</v>
      </c>
      <c r="R132" s="396">
        <v>165541</v>
      </c>
      <c r="S132" s="381" t="s">
        <v>578</v>
      </c>
      <c r="T132" s="382">
        <v>43</v>
      </c>
      <c r="U132" s="379" t="s">
        <v>1078</v>
      </c>
      <c r="AH132" s="309" t="s">
        <v>2037</v>
      </c>
      <c r="AI132" s="309" t="s">
        <v>2037</v>
      </c>
      <c r="AJ132" s="309" t="s">
        <v>2037</v>
      </c>
      <c r="AK132" s="309" t="s">
        <v>2037</v>
      </c>
      <c r="AL132" s="309" t="s">
        <v>2037</v>
      </c>
      <c r="AM132" s="309" t="s">
        <v>2370</v>
      </c>
      <c r="AN132" s="309" t="s">
        <v>2370</v>
      </c>
      <c r="AS132" s="309" t="s">
        <v>2033</v>
      </c>
      <c r="AT132" s="309" t="s">
        <v>2033</v>
      </c>
      <c r="AU132" s="309" t="s">
        <v>2033</v>
      </c>
      <c r="AV132" s="309" t="s">
        <v>2033</v>
      </c>
      <c r="AW132" s="309" t="s">
        <v>2033</v>
      </c>
      <c r="AX132" s="309" t="s">
        <v>2033</v>
      </c>
      <c r="AY132" s="309" t="s">
        <v>2033</v>
      </c>
      <c r="AZ132" s="309" t="s">
        <v>2033</v>
      </c>
      <c r="BA132" s="309" t="s">
        <v>2033</v>
      </c>
      <c r="BB132" s="309" t="s">
        <v>2033</v>
      </c>
      <c r="BC132" s="309" t="s">
        <v>2033</v>
      </c>
      <c r="BD132" s="309" t="s">
        <v>2033</v>
      </c>
      <c r="BE132" s="309" t="s">
        <v>2033</v>
      </c>
      <c r="BF132" s="309" t="s">
        <v>2033</v>
      </c>
      <c r="BG132" s="309" t="s">
        <v>2033</v>
      </c>
      <c r="BH132" s="309" t="s">
        <v>2033</v>
      </c>
      <c r="BI132" s="309" t="s">
        <v>2034</v>
      </c>
      <c r="BJ132" s="309" t="s">
        <v>2034</v>
      </c>
      <c r="BK132" s="309" t="s">
        <v>2034</v>
      </c>
      <c r="BL132" s="309" t="s">
        <v>2034</v>
      </c>
      <c r="BM132" s="309" t="s">
        <v>2034</v>
      </c>
      <c r="BN132" s="309" t="s">
        <v>2034</v>
      </c>
      <c r="BO132" s="309" t="s">
        <v>2034</v>
      </c>
      <c r="BP132" s="309" t="s">
        <v>2034</v>
      </c>
      <c r="BQ132" s="309" t="s">
        <v>2034</v>
      </c>
      <c r="BR132" s="309" t="s">
        <v>2034</v>
      </c>
      <c r="BS132" s="309" t="s">
        <v>2034</v>
      </c>
      <c r="BT132" s="309" t="s">
        <v>2034</v>
      </c>
      <c r="BU132" s="309" t="s">
        <v>2034</v>
      </c>
      <c r="BV132" s="309" t="s">
        <v>2034</v>
      </c>
      <c r="BW132" s="309" t="s">
        <v>2034</v>
      </c>
      <c r="BY132" s="309" t="s">
        <v>2372</v>
      </c>
      <c r="BZ132" s="309" t="s">
        <v>2372</v>
      </c>
      <c r="CA132" s="309" t="s">
        <v>2372</v>
      </c>
      <c r="CB132" s="309" t="s">
        <v>2036</v>
      </c>
      <c r="CC132" s="309" t="s">
        <v>2036</v>
      </c>
      <c r="CD132" s="309" t="s">
        <v>2036</v>
      </c>
      <c r="CE132" s="309" t="s">
        <v>2036</v>
      </c>
      <c r="CF132" s="309" t="s">
        <v>2036</v>
      </c>
      <c r="CG132" s="309" t="s">
        <v>2036</v>
      </c>
      <c r="CH132" s="309" t="s">
        <v>2036</v>
      </c>
      <c r="CI132" s="309" t="s">
        <v>2359</v>
      </c>
      <c r="CJ132" s="309" t="s">
        <v>2359</v>
      </c>
      <c r="CK132" s="309" t="s">
        <v>2359</v>
      </c>
      <c r="CL132" s="309" t="s">
        <v>2359</v>
      </c>
      <c r="CM132" s="309" t="s">
        <v>2359</v>
      </c>
      <c r="CN132" s="309" t="s">
        <v>2359</v>
      </c>
    </row>
    <row r="133" spans="1:92" x14ac:dyDescent="0.25">
      <c r="A133" s="372">
        <v>5</v>
      </c>
      <c r="B133" s="372">
        <v>7</v>
      </c>
      <c r="C133" s="372">
        <v>12</v>
      </c>
      <c r="D133" s="372" t="s">
        <v>2402</v>
      </c>
      <c r="E133" s="372" t="s">
        <v>2435</v>
      </c>
      <c r="F133" s="372" t="s">
        <v>2435</v>
      </c>
      <c r="G133" s="372" t="s">
        <v>2435</v>
      </c>
      <c r="H133" s="372" t="s">
        <v>2435</v>
      </c>
      <c r="I133" s="372">
        <v>5</v>
      </c>
      <c r="J133" s="372">
        <v>0</v>
      </c>
      <c r="K133" s="372">
        <v>0</v>
      </c>
      <c r="L133" s="372">
        <v>0</v>
      </c>
      <c r="M133" s="359">
        <v>115</v>
      </c>
      <c r="N133" s="399" t="s">
        <v>1140</v>
      </c>
      <c r="O133" s="237" t="s">
        <v>2777</v>
      </c>
      <c r="P133" s="237"/>
      <c r="Q133" s="360" t="s">
        <v>2315</v>
      </c>
      <c r="R133" s="361">
        <v>166774</v>
      </c>
      <c r="S133" s="369" t="s">
        <v>1002</v>
      </c>
      <c r="T133" s="380">
        <v>61</v>
      </c>
      <c r="U133" s="364" t="s">
        <v>2316</v>
      </c>
      <c r="AH133" s="309" t="s">
        <v>2370</v>
      </c>
      <c r="AI133" s="309" t="s">
        <v>2370</v>
      </c>
      <c r="AJ133" s="309" t="s">
        <v>2370</v>
      </c>
      <c r="AK133" s="309" t="s">
        <v>2370</v>
      </c>
      <c r="AL133" s="309" t="s">
        <v>2370</v>
      </c>
      <c r="AS133" s="309" t="s">
        <v>2033</v>
      </c>
      <c r="AT133" s="309" t="s">
        <v>2033</v>
      </c>
      <c r="AU133" s="309" t="s">
        <v>2033</v>
      </c>
      <c r="AV133" s="309" t="s">
        <v>2033</v>
      </c>
      <c r="AW133" s="309" t="s">
        <v>2033</v>
      </c>
      <c r="AX133" s="309" t="s">
        <v>2033</v>
      </c>
      <c r="AY133" s="309" t="s">
        <v>2033</v>
      </c>
      <c r="AZ133" s="309" t="s">
        <v>2033</v>
      </c>
      <c r="BA133" s="309" t="s">
        <v>2033</v>
      </c>
      <c r="BB133" s="309" t="s">
        <v>2033</v>
      </c>
      <c r="BC133" s="309" t="s">
        <v>2033</v>
      </c>
      <c r="BD133" s="309" t="s">
        <v>2033</v>
      </c>
      <c r="BE133" s="309" t="s">
        <v>2034</v>
      </c>
      <c r="BF133" s="309" t="s">
        <v>2034</v>
      </c>
      <c r="BG133" s="309" t="s">
        <v>2034</v>
      </c>
      <c r="BH133" s="309" t="s">
        <v>2034</v>
      </c>
      <c r="BI133" s="309" t="s">
        <v>2034</v>
      </c>
      <c r="BJ133" s="309" t="s">
        <v>2034</v>
      </c>
      <c r="BK133" s="309" t="s">
        <v>2034</v>
      </c>
      <c r="BY133" s="309" t="s">
        <v>2361</v>
      </c>
      <c r="BZ133" s="309" t="s">
        <v>2361</v>
      </c>
      <c r="CA133" s="309" t="s">
        <v>2361</v>
      </c>
      <c r="CB133" s="309" t="s">
        <v>2361</v>
      </c>
      <c r="CC133" s="309" t="s">
        <v>2361</v>
      </c>
      <c r="CD133" s="309" t="s">
        <v>2359</v>
      </c>
      <c r="CE133" s="309" t="s">
        <v>2359</v>
      </c>
      <c r="CF133" s="309" t="s">
        <v>2359</v>
      </c>
      <c r="CG133" s="309" t="s">
        <v>2359</v>
      </c>
      <c r="CH133" s="309" t="s">
        <v>2359</v>
      </c>
    </row>
    <row r="134" spans="1:92" x14ac:dyDescent="0.25">
      <c r="A134" s="373">
        <v>6</v>
      </c>
      <c r="B134" s="373">
        <v>15</v>
      </c>
      <c r="C134" s="373">
        <v>16</v>
      </c>
      <c r="D134" s="373" t="s">
        <v>2774</v>
      </c>
      <c r="E134" s="373" t="s">
        <v>2435</v>
      </c>
      <c r="F134" s="373" t="s">
        <v>2435</v>
      </c>
      <c r="G134" s="373" t="s">
        <v>2397</v>
      </c>
      <c r="H134" s="373" t="s">
        <v>2435</v>
      </c>
      <c r="I134" s="373">
        <v>0</v>
      </c>
      <c r="J134" s="373">
        <v>3</v>
      </c>
      <c r="K134" s="373">
        <v>0</v>
      </c>
      <c r="L134" s="373">
        <v>7</v>
      </c>
      <c r="M134" s="366">
        <v>106</v>
      </c>
      <c r="N134" s="398" t="s">
        <v>1073</v>
      </c>
      <c r="O134" s="374" t="s">
        <v>2777</v>
      </c>
      <c r="P134" s="374" t="s">
        <v>1497</v>
      </c>
      <c r="Q134" s="375" t="s">
        <v>1074</v>
      </c>
      <c r="R134" s="396">
        <v>168464</v>
      </c>
      <c r="S134" s="381" t="s">
        <v>578</v>
      </c>
      <c r="T134" s="382">
        <v>43</v>
      </c>
      <c r="U134" s="379" t="s">
        <v>1075</v>
      </c>
      <c r="AH134" s="309" t="s">
        <v>2037</v>
      </c>
      <c r="AI134" s="309" t="s">
        <v>2037</v>
      </c>
      <c r="AJ134" s="309" t="s">
        <v>2037</v>
      </c>
      <c r="AK134" s="309" t="s">
        <v>2037</v>
      </c>
      <c r="AL134" s="309" t="s">
        <v>2037</v>
      </c>
      <c r="AM134" s="309" t="s">
        <v>2370</v>
      </c>
      <c r="AN134" s="309" t="s">
        <v>2370</v>
      </c>
      <c r="AS134" s="309" t="s">
        <v>2033</v>
      </c>
      <c r="AT134" s="309" t="s">
        <v>2033</v>
      </c>
      <c r="AU134" s="309" t="s">
        <v>2033</v>
      </c>
      <c r="AV134" s="309" t="s">
        <v>2033</v>
      </c>
      <c r="AW134" s="309" t="s">
        <v>2033</v>
      </c>
      <c r="AX134" s="309" t="s">
        <v>2033</v>
      </c>
      <c r="AY134" s="309" t="s">
        <v>2033</v>
      </c>
      <c r="AZ134" s="309" t="s">
        <v>2033</v>
      </c>
      <c r="BA134" s="309" t="s">
        <v>2033</v>
      </c>
      <c r="BB134" s="309" t="s">
        <v>2033</v>
      </c>
      <c r="BC134" s="309" t="s">
        <v>2033</v>
      </c>
      <c r="BD134" s="309" t="s">
        <v>2033</v>
      </c>
      <c r="BE134" s="309" t="s">
        <v>2033</v>
      </c>
      <c r="BF134" s="309" t="s">
        <v>2033</v>
      </c>
      <c r="BG134" s="309" t="s">
        <v>2033</v>
      </c>
      <c r="BH134" s="309" t="s">
        <v>2033</v>
      </c>
      <c r="BI134" s="309" t="s">
        <v>2034</v>
      </c>
      <c r="BJ134" s="309" t="s">
        <v>2034</v>
      </c>
      <c r="BK134" s="309" t="s">
        <v>2034</v>
      </c>
      <c r="BL134" s="309" t="s">
        <v>2034</v>
      </c>
      <c r="BM134" s="309" t="s">
        <v>2034</v>
      </c>
      <c r="BN134" s="309" t="s">
        <v>2034</v>
      </c>
      <c r="BO134" s="309" t="s">
        <v>2034</v>
      </c>
      <c r="BP134" s="309" t="s">
        <v>2034</v>
      </c>
      <c r="BQ134" s="309" t="s">
        <v>2034</v>
      </c>
      <c r="BR134" s="309" t="s">
        <v>2034</v>
      </c>
      <c r="BS134" s="309" t="s">
        <v>2034</v>
      </c>
      <c r="BT134" s="309" t="s">
        <v>2034</v>
      </c>
      <c r="BU134" s="309" t="s">
        <v>2034</v>
      </c>
      <c r="BV134" s="309" t="s">
        <v>2034</v>
      </c>
      <c r="BW134" s="309" t="s">
        <v>2034</v>
      </c>
      <c r="BY134" s="309" t="s">
        <v>2372</v>
      </c>
      <c r="BZ134" s="309" t="s">
        <v>2372</v>
      </c>
      <c r="CA134" s="309" t="s">
        <v>2372</v>
      </c>
      <c r="CB134" s="309" t="s">
        <v>2036</v>
      </c>
      <c r="CC134" s="309" t="s">
        <v>2036</v>
      </c>
      <c r="CD134" s="309" t="s">
        <v>2036</v>
      </c>
      <c r="CE134" s="309" t="s">
        <v>2036</v>
      </c>
      <c r="CF134" s="309" t="s">
        <v>2036</v>
      </c>
      <c r="CG134" s="309" t="s">
        <v>2036</v>
      </c>
      <c r="CH134" s="309" t="s">
        <v>2036</v>
      </c>
      <c r="CI134" s="309" t="s">
        <v>2359</v>
      </c>
      <c r="CJ134" s="309" t="s">
        <v>2359</v>
      </c>
      <c r="CK134" s="309" t="s">
        <v>2359</v>
      </c>
      <c r="CL134" s="309" t="s">
        <v>2359</v>
      </c>
      <c r="CM134" s="309" t="s">
        <v>2359</v>
      </c>
      <c r="CN134" s="309" t="s">
        <v>2359</v>
      </c>
    </row>
    <row r="135" spans="1:92" x14ac:dyDescent="0.25">
      <c r="A135" s="373">
        <v>6</v>
      </c>
      <c r="B135" s="373">
        <v>15</v>
      </c>
      <c r="C135" s="373">
        <v>16</v>
      </c>
      <c r="D135" s="373" t="s">
        <v>2775</v>
      </c>
      <c r="E135" s="373" t="s">
        <v>2435</v>
      </c>
      <c r="F135" s="373" t="s">
        <v>2435</v>
      </c>
      <c r="G135" s="373" t="s">
        <v>2398</v>
      </c>
      <c r="H135" s="373" t="s">
        <v>2435</v>
      </c>
      <c r="I135" s="373">
        <v>0</v>
      </c>
      <c r="J135" s="373">
        <v>3</v>
      </c>
      <c r="K135" s="373">
        <v>0</v>
      </c>
      <c r="L135" s="373">
        <v>5</v>
      </c>
      <c r="M135" s="366">
        <v>136</v>
      </c>
      <c r="N135" s="398" t="s">
        <v>1097</v>
      </c>
      <c r="O135" s="374" t="s">
        <v>2777</v>
      </c>
      <c r="P135" s="374" t="s">
        <v>1497</v>
      </c>
      <c r="Q135" s="375" t="s">
        <v>1098</v>
      </c>
      <c r="R135" s="396">
        <v>168483</v>
      </c>
      <c r="S135" s="381" t="s">
        <v>578</v>
      </c>
      <c r="T135" s="382">
        <v>43</v>
      </c>
      <c r="U135" s="379" t="s">
        <v>1099</v>
      </c>
      <c r="AH135" s="309" t="s">
        <v>2037</v>
      </c>
      <c r="AI135" s="309" t="s">
        <v>2037</v>
      </c>
      <c r="AJ135" s="309" t="s">
        <v>2037</v>
      </c>
      <c r="AK135" s="309" t="s">
        <v>2037</v>
      </c>
      <c r="AL135" s="309" t="s">
        <v>2037</v>
      </c>
      <c r="AM135" s="309" t="s">
        <v>2370</v>
      </c>
      <c r="AN135" s="309" t="s">
        <v>2370</v>
      </c>
      <c r="AO135" s="309" t="s">
        <v>2370</v>
      </c>
      <c r="AS135" s="309" t="s">
        <v>2033</v>
      </c>
      <c r="AT135" s="309" t="s">
        <v>2033</v>
      </c>
      <c r="AU135" s="309" t="s">
        <v>2033</v>
      </c>
      <c r="AV135" s="309" t="s">
        <v>2033</v>
      </c>
      <c r="AW135" s="309" t="s">
        <v>2033</v>
      </c>
      <c r="AX135" s="309" t="s">
        <v>2033</v>
      </c>
      <c r="AY135" s="309" t="s">
        <v>2033</v>
      </c>
      <c r="AZ135" s="309" t="s">
        <v>2033</v>
      </c>
      <c r="BA135" s="309" t="s">
        <v>2033</v>
      </c>
      <c r="BB135" s="309" t="s">
        <v>2033</v>
      </c>
      <c r="BC135" s="309" t="s">
        <v>2033</v>
      </c>
      <c r="BD135" s="309" t="s">
        <v>2033</v>
      </c>
      <c r="BE135" s="309" t="s">
        <v>2033</v>
      </c>
      <c r="BF135" s="309" t="s">
        <v>2033</v>
      </c>
      <c r="BG135" s="309" t="s">
        <v>2033</v>
      </c>
      <c r="BH135" s="309" t="s">
        <v>2033</v>
      </c>
      <c r="BI135" s="309" t="s">
        <v>2034</v>
      </c>
      <c r="BJ135" s="309" t="s">
        <v>2034</v>
      </c>
      <c r="BK135" s="309" t="s">
        <v>2034</v>
      </c>
      <c r="BL135" s="309" t="s">
        <v>2034</v>
      </c>
      <c r="BM135" s="309" t="s">
        <v>2034</v>
      </c>
      <c r="BN135" s="309" t="s">
        <v>2034</v>
      </c>
      <c r="BO135" s="309" t="s">
        <v>2034</v>
      </c>
      <c r="BP135" s="309" t="s">
        <v>2034</v>
      </c>
      <c r="BQ135" s="309" t="s">
        <v>2034</v>
      </c>
      <c r="BR135" s="309" t="s">
        <v>2034</v>
      </c>
      <c r="BS135" s="309" t="s">
        <v>2034</v>
      </c>
      <c r="BT135" s="309" t="s">
        <v>2034</v>
      </c>
      <c r="BU135" s="309" t="s">
        <v>2034</v>
      </c>
      <c r="BV135" s="309" t="s">
        <v>2034</v>
      </c>
      <c r="BW135" s="309" t="s">
        <v>2034</v>
      </c>
      <c r="BY135" s="309" t="s">
        <v>2372</v>
      </c>
      <c r="BZ135" s="309" t="s">
        <v>2372</v>
      </c>
      <c r="CA135" s="309" t="s">
        <v>2372</v>
      </c>
      <c r="CB135" s="309" t="s">
        <v>2036</v>
      </c>
      <c r="CC135" s="309" t="s">
        <v>2036</v>
      </c>
      <c r="CD135" s="309" t="s">
        <v>2036</v>
      </c>
      <c r="CE135" s="309" t="s">
        <v>2036</v>
      </c>
      <c r="CF135" s="309" t="s">
        <v>2036</v>
      </c>
      <c r="CG135" s="309" t="s">
        <v>2359</v>
      </c>
      <c r="CH135" s="309" t="s">
        <v>2359</v>
      </c>
      <c r="CI135" s="309" t="s">
        <v>2359</v>
      </c>
      <c r="CJ135" s="309" t="s">
        <v>2359</v>
      </c>
      <c r="CK135" s="309" t="s">
        <v>2359</v>
      </c>
      <c r="CL135" s="309" t="s">
        <v>2359</v>
      </c>
    </row>
    <row r="136" spans="1:92" x14ac:dyDescent="0.25">
      <c r="A136" s="372">
        <v>4</v>
      </c>
      <c r="B136" s="372">
        <v>7</v>
      </c>
      <c r="C136" s="372">
        <v>8</v>
      </c>
      <c r="D136" s="372" t="s">
        <v>2396</v>
      </c>
      <c r="E136" s="372" t="s">
        <v>2435</v>
      </c>
      <c r="F136" s="372" t="s">
        <v>2435</v>
      </c>
      <c r="G136" s="372" t="s">
        <v>2435</v>
      </c>
      <c r="H136" s="372" t="s">
        <v>2435</v>
      </c>
      <c r="I136" s="372">
        <v>4</v>
      </c>
      <c r="J136" s="372">
        <v>0</v>
      </c>
      <c r="K136" s="372">
        <v>0</v>
      </c>
      <c r="L136" s="372">
        <v>0</v>
      </c>
      <c r="M136" s="359">
        <v>148</v>
      </c>
      <c r="N136" s="399" t="s">
        <v>1124</v>
      </c>
      <c r="O136" s="237" t="s">
        <v>2776</v>
      </c>
      <c r="P136" s="237"/>
      <c r="Q136" s="360" t="s">
        <v>2305</v>
      </c>
      <c r="R136" s="361">
        <v>169257</v>
      </c>
      <c r="S136" s="369" t="s">
        <v>1002</v>
      </c>
      <c r="T136" s="380">
        <v>56</v>
      </c>
      <c r="U136" s="364" t="s">
        <v>2306</v>
      </c>
      <c r="AH136" s="309" t="s">
        <v>2370</v>
      </c>
      <c r="AI136" s="309" t="s">
        <v>2370</v>
      </c>
      <c r="AJ136" s="309" t="s">
        <v>2370</v>
      </c>
      <c r="AK136" s="309" t="s">
        <v>2370</v>
      </c>
      <c r="AS136" s="309" t="s">
        <v>2033</v>
      </c>
      <c r="AT136" s="309" t="s">
        <v>2033</v>
      </c>
      <c r="AU136" s="309" t="s">
        <v>2033</v>
      </c>
      <c r="AV136" s="309" t="s">
        <v>2033</v>
      </c>
      <c r="AW136" s="309" t="s">
        <v>2033</v>
      </c>
      <c r="AX136" s="309" t="s">
        <v>2033</v>
      </c>
      <c r="AY136" s="309" t="s">
        <v>2033</v>
      </c>
      <c r="AZ136" s="309" t="s">
        <v>2033</v>
      </c>
      <c r="BA136" s="309" t="s">
        <v>2034</v>
      </c>
      <c r="BB136" s="309" t="s">
        <v>2034</v>
      </c>
      <c r="BC136" s="309" t="s">
        <v>2034</v>
      </c>
      <c r="BD136" s="309" t="s">
        <v>2034</v>
      </c>
      <c r="BE136" s="309" t="s">
        <v>2034</v>
      </c>
      <c r="BF136" s="309" t="s">
        <v>2034</v>
      </c>
      <c r="BG136" s="309" t="s">
        <v>2034</v>
      </c>
      <c r="BY136" s="309" t="s">
        <v>2361</v>
      </c>
      <c r="BZ136" s="309" t="s">
        <v>2361</v>
      </c>
      <c r="CA136" s="309" t="s">
        <v>2361</v>
      </c>
      <c r="CB136" s="309" t="s">
        <v>2361</v>
      </c>
      <c r="CC136" s="309" t="s">
        <v>2359</v>
      </c>
      <c r="CD136" s="309" t="s">
        <v>2359</v>
      </c>
      <c r="CE136" s="309" t="s">
        <v>2359</v>
      </c>
      <c r="CF136" s="309" t="s">
        <v>2359</v>
      </c>
    </row>
    <row r="137" spans="1:92" x14ac:dyDescent="0.25">
      <c r="A137" s="372">
        <v>6</v>
      </c>
      <c r="B137" s="372">
        <v>11</v>
      </c>
      <c r="C137" s="372">
        <v>16</v>
      </c>
      <c r="D137" s="372" t="s">
        <v>2374</v>
      </c>
      <c r="E137" s="372" t="s">
        <v>2435</v>
      </c>
      <c r="F137" s="372" t="s">
        <v>2435</v>
      </c>
      <c r="G137" s="372" t="s">
        <v>2409</v>
      </c>
      <c r="H137" s="372" t="s">
        <v>2435</v>
      </c>
      <c r="I137" s="372">
        <v>0</v>
      </c>
      <c r="J137" s="372">
        <v>3</v>
      </c>
      <c r="K137" s="372">
        <v>0</v>
      </c>
      <c r="L137" s="372">
        <v>7</v>
      </c>
      <c r="M137" s="359">
        <v>134</v>
      </c>
      <c r="N137" s="399" t="s">
        <v>1058</v>
      </c>
      <c r="O137" s="374" t="s">
        <v>2777</v>
      </c>
      <c r="P137" s="237" t="s">
        <v>1497</v>
      </c>
      <c r="Q137" s="360" t="s">
        <v>2289</v>
      </c>
      <c r="R137" s="361">
        <v>169892</v>
      </c>
      <c r="S137" s="369" t="s">
        <v>578</v>
      </c>
      <c r="T137" s="380">
        <v>43</v>
      </c>
      <c r="U137" s="364" t="s">
        <v>2290</v>
      </c>
      <c r="AH137" s="309" t="s">
        <v>2037</v>
      </c>
      <c r="AI137" s="309" t="s">
        <v>2037</v>
      </c>
      <c r="AJ137" s="309" t="s">
        <v>2037</v>
      </c>
      <c r="AK137" s="309" t="s">
        <v>2037</v>
      </c>
      <c r="AL137" s="309" t="s">
        <v>2037</v>
      </c>
      <c r="AM137" s="309" t="s">
        <v>2370</v>
      </c>
      <c r="AS137" s="309" t="s">
        <v>2033</v>
      </c>
      <c r="AT137" s="309" t="s">
        <v>2033</v>
      </c>
      <c r="AU137" s="309" t="s">
        <v>2033</v>
      </c>
      <c r="AV137" s="309" t="s">
        <v>2033</v>
      </c>
      <c r="AW137" s="309" t="s">
        <v>2033</v>
      </c>
      <c r="AX137" s="309" t="s">
        <v>2033</v>
      </c>
      <c r="AY137" s="309" t="s">
        <v>2033</v>
      </c>
      <c r="AZ137" s="309" t="s">
        <v>2033</v>
      </c>
      <c r="BA137" s="309" t="s">
        <v>2033</v>
      </c>
      <c r="BB137" s="309" t="s">
        <v>2033</v>
      </c>
      <c r="BC137" s="309" t="s">
        <v>2033</v>
      </c>
      <c r="BD137" s="309" t="s">
        <v>2033</v>
      </c>
      <c r="BE137" s="309" t="s">
        <v>2033</v>
      </c>
      <c r="BF137" s="309" t="s">
        <v>2033</v>
      </c>
      <c r="BG137" s="309" t="s">
        <v>2033</v>
      </c>
      <c r="BH137" s="309" t="s">
        <v>2033</v>
      </c>
      <c r="BI137" s="309" t="s">
        <v>2034</v>
      </c>
      <c r="BJ137" s="309" t="s">
        <v>2034</v>
      </c>
      <c r="BK137" s="309" t="s">
        <v>2034</v>
      </c>
      <c r="BL137" s="309" t="s">
        <v>2034</v>
      </c>
      <c r="BM137" s="309" t="s">
        <v>2034</v>
      </c>
      <c r="BN137" s="309" t="s">
        <v>2034</v>
      </c>
      <c r="BO137" s="309" t="s">
        <v>2034</v>
      </c>
      <c r="BP137" s="309" t="s">
        <v>2034</v>
      </c>
      <c r="BQ137" s="309" t="s">
        <v>2034</v>
      </c>
      <c r="BR137" s="309" t="s">
        <v>2034</v>
      </c>
      <c r="BS137" s="309" t="s">
        <v>2034</v>
      </c>
      <c r="BY137" s="309" t="s">
        <v>2372</v>
      </c>
      <c r="BZ137" s="309" t="s">
        <v>2372</v>
      </c>
      <c r="CA137" s="309" t="s">
        <v>2372</v>
      </c>
      <c r="CB137" s="309" t="s">
        <v>2036</v>
      </c>
      <c r="CC137" s="309" t="s">
        <v>2036</v>
      </c>
      <c r="CD137" s="309" t="s">
        <v>2036</v>
      </c>
      <c r="CE137" s="309" t="s">
        <v>2036</v>
      </c>
      <c r="CF137" s="309" t="s">
        <v>2036</v>
      </c>
      <c r="CG137" s="309" t="s">
        <v>2036</v>
      </c>
      <c r="CH137" s="309" t="s">
        <v>2036</v>
      </c>
      <c r="CI137" s="309" t="s">
        <v>2359</v>
      </c>
      <c r="CJ137" s="309" t="s">
        <v>2359</v>
      </c>
      <c r="CK137" s="309" t="s">
        <v>2359</v>
      </c>
      <c r="CL137" s="309" t="s">
        <v>2359</v>
      </c>
      <c r="CM137" s="309" t="s">
        <v>2359</v>
      </c>
      <c r="CN137" s="309" t="s">
        <v>2359</v>
      </c>
    </row>
    <row r="138" spans="1:92" x14ac:dyDescent="0.25">
      <c r="A138" s="373">
        <v>6</v>
      </c>
      <c r="B138" s="373">
        <v>15</v>
      </c>
      <c r="C138" s="373">
        <v>16</v>
      </c>
      <c r="D138" s="373" t="s">
        <v>2775</v>
      </c>
      <c r="E138" s="373" t="s">
        <v>2435</v>
      </c>
      <c r="F138" s="373" t="s">
        <v>2435</v>
      </c>
      <c r="G138" s="373" t="s">
        <v>2397</v>
      </c>
      <c r="H138" s="373" t="s">
        <v>2435</v>
      </c>
      <c r="I138" s="373">
        <v>0</v>
      </c>
      <c r="J138" s="373">
        <v>3</v>
      </c>
      <c r="K138" s="373">
        <v>0</v>
      </c>
      <c r="L138" s="373">
        <v>5</v>
      </c>
      <c r="M138" s="366">
        <v>116</v>
      </c>
      <c r="N138" s="398" t="s">
        <v>1094</v>
      </c>
      <c r="O138" s="374" t="s">
        <v>2777</v>
      </c>
      <c r="P138" s="374" t="s">
        <v>1497</v>
      </c>
      <c r="Q138" s="375" t="s">
        <v>1095</v>
      </c>
      <c r="R138" s="396">
        <v>171356</v>
      </c>
      <c r="S138" s="381" t="s">
        <v>578</v>
      </c>
      <c r="T138" s="382">
        <v>43</v>
      </c>
      <c r="U138" s="379" t="s">
        <v>1096</v>
      </c>
      <c r="AH138" s="309" t="s">
        <v>2037</v>
      </c>
      <c r="AI138" s="309" t="s">
        <v>2037</v>
      </c>
      <c r="AJ138" s="309" t="s">
        <v>2037</v>
      </c>
      <c r="AK138" s="309" t="s">
        <v>2037</v>
      </c>
      <c r="AL138" s="309" t="s">
        <v>2037</v>
      </c>
      <c r="AM138" s="309" t="s">
        <v>2370</v>
      </c>
      <c r="AN138" s="309" t="s">
        <v>2370</v>
      </c>
      <c r="AO138" s="309" t="s">
        <v>2370</v>
      </c>
      <c r="AS138" s="309" t="s">
        <v>2033</v>
      </c>
      <c r="AT138" s="309" t="s">
        <v>2033</v>
      </c>
      <c r="AU138" s="309" t="s">
        <v>2033</v>
      </c>
      <c r="AV138" s="309" t="s">
        <v>2033</v>
      </c>
      <c r="AW138" s="309" t="s">
        <v>2033</v>
      </c>
      <c r="AX138" s="309" t="s">
        <v>2033</v>
      </c>
      <c r="AY138" s="309" t="s">
        <v>2033</v>
      </c>
      <c r="AZ138" s="309" t="s">
        <v>2033</v>
      </c>
      <c r="BA138" s="309" t="s">
        <v>2033</v>
      </c>
      <c r="BB138" s="309" t="s">
        <v>2033</v>
      </c>
      <c r="BC138" s="309" t="s">
        <v>2033</v>
      </c>
      <c r="BD138" s="309" t="s">
        <v>2033</v>
      </c>
      <c r="BE138" s="309" t="s">
        <v>2033</v>
      </c>
      <c r="BF138" s="309" t="s">
        <v>2033</v>
      </c>
      <c r="BG138" s="309" t="s">
        <v>2033</v>
      </c>
      <c r="BH138" s="309" t="s">
        <v>2033</v>
      </c>
      <c r="BI138" s="309" t="s">
        <v>2034</v>
      </c>
      <c r="BJ138" s="309" t="s">
        <v>2034</v>
      </c>
      <c r="BK138" s="309" t="s">
        <v>2034</v>
      </c>
      <c r="BL138" s="309" t="s">
        <v>2034</v>
      </c>
      <c r="BM138" s="309" t="s">
        <v>2034</v>
      </c>
      <c r="BN138" s="309" t="s">
        <v>2034</v>
      </c>
      <c r="BO138" s="309" t="s">
        <v>2034</v>
      </c>
      <c r="BP138" s="309" t="s">
        <v>2034</v>
      </c>
      <c r="BQ138" s="309" t="s">
        <v>2034</v>
      </c>
      <c r="BR138" s="309" t="s">
        <v>2034</v>
      </c>
      <c r="BS138" s="309" t="s">
        <v>2034</v>
      </c>
      <c r="BT138" s="309" t="s">
        <v>2034</v>
      </c>
      <c r="BU138" s="309" t="s">
        <v>2034</v>
      </c>
      <c r="BV138" s="309" t="s">
        <v>2034</v>
      </c>
      <c r="BW138" s="309" t="s">
        <v>2034</v>
      </c>
      <c r="BY138" s="309" t="s">
        <v>2372</v>
      </c>
      <c r="BZ138" s="309" t="s">
        <v>2372</v>
      </c>
      <c r="CA138" s="309" t="s">
        <v>2372</v>
      </c>
      <c r="CB138" s="309" t="s">
        <v>2036</v>
      </c>
      <c r="CC138" s="309" t="s">
        <v>2036</v>
      </c>
      <c r="CD138" s="309" t="s">
        <v>2036</v>
      </c>
      <c r="CE138" s="309" t="s">
        <v>2036</v>
      </c>
      <c r="CF138" s="309" t="s">
        <v>2036</v>
      </c>
      <c r="CG138" s="309" t="s">
        <v>2359</v>
      </c>
      <c r="CH138" s="309" t="s">
        <v>2359</v>
      </c>
      <c r="CI138" s="309" t="s">
        <v>2359</v>
      </c>
      <c r="CJ138" s="309" t="s">
        <v>2359</v>
      </c>
      <c r="CK138" s="309" t="s">
        <v>2359</v>
      </c>
      <c r="CL138" s="309" t="s">
        <v>2359</v>
      </c>
    </row>
    <row r="139" spans="1:92" x14ac:dyDescent="0.25">
      <c r="A139" s="373">
        <v>6</v>
      </c>
      <c r="B139" s="373">
        <v>15</v>
      </c>
      <c r="C139" s="373">
        <v>16</v>
      </c>
      <c r="D139" s="373" t="s">
        <v>2774</v>
      </c>
      <c r="E139" s="373" t="s">
        <v>2435</v>
      </c>
      <c r="F139" s="373" t="s">
        <v>2435</v>
      </c>
      <c r="G139" s="373" t="s">
        <v>2409</v>
      </c>
      <c r="H139" s="373" t="s">
        <v>2435</v>
      </c>
      <c r="I139" s="373">
        <v>0</v>
      </c>
      <c r="J139" s="373">
        <v>3</v>
      </c>
      <c r="K139" s="373">
        <v>0</v>
      </c>
      <c r="L139" s="373">
        <v>7</v>
      </c>
      <c r="M139" s="366">
        <v>151</v>
      </c>
      <c r="N139" s="398" t="s">
        <v>1079</v>
      </c>
      <c r="O139" s="374" t="s">
        <v>2777</v>
      </c>
      <c r="P139" s="374" t="s">
        <v>1497</v>
      </c>
      <c r="Q139" s="375" t="s">
        <v>1080</v>
      </c>
      <c r="R139" s="396">
        <v>173303</v>
      </c>
      <c r="S139" s="381" t="s">
        <v>578</v>
      </c>
      <c r="T139" s="382">
        <v>43</v>
      </c>
      <c r="U139" s="379" t="s">
        <v>1081</v>
      </c>
      <c r="AH139" s="309" t="s">
        <v>2037</v>
      </c>
      <c r="AI139" s="309" t="s">
        <v>2037</v>
      </c>
      <c r="AJ139" s="309" t="s">
        <v>2037</v>
      </c>
      <c r="AK139" s="309" t="s">
        <v>2037</v>
      </c>
      <c r="AL139" s="309" t="s">
        <v>2037</v>
      </c>
      <c r="AM139" s="309" t="s">
        <v>2370</v>
      </c>
      <c r="AN139" s="309" t="s">
        <v>2370</v>
      </c>
      <c r="AS139" s="309" t="s">
        <v>2033</v>
      </c>
      <c r="AT139" s="309" t="s">
        <v>2033</v>
      </c>
      <c r="AU139" s="309" t="s">
        <v>2033</v>
      </c>
      <c r="AV139" s="309" t="s">
        <v>2033</v>
      </c>
      <c r="AW139" s="309" t="s">
        <v>2033</v>
      </c>
      <c r="AX139" s="309" t="s">
        <v>2033</v>
      </c>
      <c r="AY139" s="309" t="s">
        <v>2033</v>
      </c>
      <c r="AZ139" s="309" t="s">
        <v>2033</v>
      </c>
      <c r="BA139" s="309" t="s">
        <v>2033</v>
      </c>
      <c r="BB139" s="309" t="s">
        <v>2033</v>
      </c>
      <c r="BC139" s="309" t="s">
        <v>2033</v>
      </c>
      <c r="BD139" s="309" t="s">
        <v>2033</v>
      </c>
      <c r="BE139" s="309" t="s">
        <v>2033</v>
      </c>
      <c r="BF139" s="309" t="s">
        <v>2033</v>
      </c>
      <c r="BG139" s="309" t="s">
        <v>2033</v>
      </c>
      <c r="BH139" s="309" t="s">
        <v>2033</v>
      </c>
      <c r="BI139" s="309" t="s">
        <v>2034</v>
      </c>
      <c r="BJ139" s="309" t="s">
        <v>2034</v>
      </c>
      <c r="BK139" s="309" t="s">
        <v>2034</v>
      </c>
      <c r="BL139" s="309" t="s">
        <v>2034</v>
      </c>
      <c r="BM139" s="309" t="s">
        <v>2034</v>
      </c>
      <c r="BN139" s="309" t="s">
        <v>2034</v>
      </c>
      <c r="BO139" s="309" t="s">
        <v>2034</v>
      </c>
      <c r="BP139" s="309" t="s">
        <v>2034</v>
      </c>
      <c r="BQ139" s="309" t="s">
        <v>2034</v>
      </c>
      <c r="BR139" s="309" t="s">
        <v>2034</v>
      </c>
      <c r="BS139" s="309" t="s">
        <v>2034</v>
      </c>
      <c r="BT139" s="309" t="s">
        <v>2034</v>
      </c>
      <c r="BU139" s="309" t="s">
        <v>2034</v>
      </c>
      <c r="BV139" s="309" t="s">
        <v>2034</v>
      </c>
      <c r="BW139" s="309" t="s">
        <v>2034</v>
      </c>
      <c r="BY139" s="309" t="s">
        <v>2372</v>
      </c>
      <c r="BZ139" s="309" t="s">
        <v>2372</v>
      </c>
      <c r="CA139" s="309" t="s">
        <v>2372</v>
      </c>
      <c r="CB139" s="309" t="s">
        <v>2036</v>
      </c>
      <c r="CC139" s="309" t="s">
        <v>2036</v>
      </c>
      <c r="CD139" s="309" t="s">
        <v>2036</v>
      </c>
      <c r="CE139" s="309" t="s">
        <v>2036</v>
      </c>
      <c r="CF139" s="309" t="s">
        <v>2036</v>
      </c>
      <c r="CG139" s="309" t="s">
        <v>2036</v>
      </c>
      <c r="CH139" s="309" t="s">
        <v>2036</v>
      </c>
      <c r="CI139" s="309" t="s">
        <v>2359</v>
      </c>
      <c r="CJ139" s="309" t="s">
        <v>2359</v>
      </c>
      <c r="CK139" s="309" t="s">
        <v>2359</v>
      </c>
      <c r="CL139" s="309" t="s">
        <v>2359</v>
      </c>
      <c r="CM139" s="309" t="s">
        <v>2359</v>
      </c>
      <c r="CN139" s="309" t="s">
        <v>2359</v>
      </c>
    </row>
    <row r="140" spans="1:92" x14ac:dyDescent="0.25">
      <c r="A140" s="372">
        <v>5</v>
      </c>
      <c r="B140" s="372">
        <v>11</v>
      </c>
      <c r="C140" s="372">
        <v>12</v>
      </c>
      <c r="D140" s="372" t="s">
        <v>2374</v>
      </c>
      <c r="E140" s="372" t="s">
        <v>2435</v>
      </c>
      <c r="F140" s="372" t="s">
        <v>2435</v>
      </c>
      <c r="G140" s="372" t="s">
        <v>2406</v>
      </c>
      <c r="H140" s="372" t="s">
        <v>2435</v>
      </c>
      <c r="I140" s="372">
        <v>0</v>
      </c>
      <c r="J140" s="372">
        <v>3</v>
      </c>
      <c r="K140" s="372">
        <v>0</v>
      </c>
      <c r="L140" s="372">
        <v>5</v>
      </c>
      <c r="M140" s="359">
        <v>169</v>
      </c>
      <c r="N140" s="399" t="s">
        <v>1000</v>
      </c>
      <c r="O140" s="237" t="s">
        <v>2777</v>
      </c>
      <c r="P140" s="237"/>
      <c r="Q140" s="360" t="s">
        <v>2279</v>
      </c>
      <c r="R140" s="361">
        <v>174707</v>
      </c>
      <c r="S140" s="369" t="s">
        <v>1002</v>
      </c>
      <c r="T140" s="380">
        <v>51</v>
      </c>
      <c r="U140" s="364" t="s">
        <v>2280</v>
      </c>
      <c r="AH140" s="309" t="s">
        <v>2037</v>
      </c>
      <c r="AI140" s="309" t="s">
        <v>2037</v>
      </c>
      <c r="AJ140" s="309" t="s">
        <v>2037</v>
      </c>
      <c r="AK140" s="309" t="s">
        <v>2037</v>
      </c>
      <c r="AL140" s="309" t="s">
        <v>2370</v>
      </c>
      <c r="AS140" s="309" t="s">
        <v>2033</v>
      </c>
      <c r="AT140" s="309" t="s">
        <v>2033</v>
      </c>
      <c r="AU140" s="309" t="s">
        <v>2033</v>
      </c>
      <c r="AV140" s="309" t="s">
        <v>2033</v>
      </c>
      <c r="AW140" s="309" t="s">
        <v>2033</v>
      </c>
      <c r="AX140" s="309" t="s">
        <v>2033</v>
      </c>
      <c r="AY140" s="309" t="s">
        <v>2033</v>
      </c>
      <c r="AZ140" s="309" t="s">
        <v>2033</v>
      </c>
      <c r="BA140" s="309" t="s">
        <v>2033</v>
      </c>
      <c r="BB140" s="309" t="s">
        <v>2033</v>
      </c>
      <c r="BC140" s="309" t="s">
        <v>2033</v>
      </c>
      <c r="BD140" s="309" t="s">
        <v>2033</v>
      </c>
      <c r="BE140" s="309" t="s">
        <v>2034</v>
      </c>
      <c r="BF140" s="309" t="s">
        <v>2034</v>
      </c>
      <c r="BG140" s="309" t="s">
        <v>2034</v>
      </c>
      <c r="BH140" s="309" t="s">
        <v>2034</v>
      </c>
      <c r="BI140" s="309" t="s">
        <v>2034</v>
      </c>
      <c r="BJ140" s="309" t="s">
        <v>2034</v>
      </c>
      <c r="BK140" s="309" t="s">
        <v>2034</v>
      </c>
      <c r="BL140" s="309" t="s">
        <v>2034</v>
      </c>
      <c r="BM140" s="309" t="s">
        <v>2034</v>
      </c>
      <c r="BN140" s="309" t="s">
        <v>2034</v>
      </c>
      <c r="BO140" s="309" t="s">
        <v>2034</v>
      </c>
      <c r="BY140" s="309" t="s">
        <v>2372</v>
      </c>
      <c r="BZ140" s="309" t="s">
        <v>2372</v>
      </c>
      <c r="CA140" s="309" t="s">
        <v>2372</v>
      </c>
      <c r="CB140" s="309" t="s">
        <v>2036</v>
      </c>
      <c r="CC140" s="309" t="s">
        <v>2036</v>
      </c>
      <c r="CD140" s="309" t="s">
        <v>2036</v>
      </c>
      <c r="CE140" s="309" t="s">
        <v>2036</v>
      </c>
      <c r="CF140" s="309" t="s">
        <v>2036</v>
      </c>
      <c r="CG140" s="309" t="s">
        <v>2359</v>
      </c>
      <c r="CH140" s="309" t="s">
        <v>2359</v>
      </c>
      <c r="CI140" s="309" t="s">
        <v>2359</v>
      </c>
      <c r="CJ140" s="309" t="s">
        <v>2359</v>
      </c>
      <c r="CK140" s="309" t="s">
        <v>2359</v>
      </c>
    </row>
    <row r="141" spans="1:92" x14ac:dyDescent="0.25">
      <c r="A141" s="373">
        <v>5</v>
      </c>
      <c r="B141" s="373">
        <v>11</v>
      </c>
      <c r="C141" s="373">
        <v>12</v>
      </c>
      <c r="D141" s="373" t="s">
        <v>2774</v>
      </c>
      <c r="E141" s="373" t="s">
        <v>2435</v>
      </c>
      <c r="F141" s="373" t="s">
        <v>2435</v>
      </c>
      <c r="G141" s="373" t="s">
        <v>2403</v>
      </c>
      <c r="H141" s="373" t="s">
        <v>2435</v>
      </c>
      <c r="I141" s="373">
        <v>0</v>
      </c>
      <c r="J141" s="373">
        <v>3</v>
      </c>
      <c r="K141" s="373">
        <v>0</v>
      </c>
      <c r="L141" s="373">
        <v>5</v>
      </c>
      <c r="M141" s="366">
        <v>146</v>
      </c>
      <c r="N141" s="398" t="s">
        <v>1022</v>
      </c>
      <c r="O141" s="374" t="s">
        <v>2777</v>
      </c>
      <c r="P141" s="374"/>
      <c r="Q141" s="375" t="s">
        <v>1023</v>
      </c>
      <c r="R141" s="396">
        <v>174828</v>
      </c>
      <c r="S141" s="381" t="s">
        <v>1002</v>
      </c>
      <c r="T141" s="382">
        <v>51</v>
      </c>
      <c r="U141" s="379" t="s">
        <v>1024</v>
      </c>
      <c r="AH141" s="309" t="s">
        <v>2037</v>
      </c>
      <c r="AI141" s="309" t="s">
        <v>2037</v>
      </c>
      <c r="AJ141" s="309" t="s">
        <v>2037</v>
      </c>
      <c r="AK141" s="309" t="s">
        <v>2370</v>
      </c>
      <c r="AL141" s="309" t="s">
        <v>2370</v>
      </c>
      <c r="AS141" s="309" t="s">
        <v>2033</v>
      </c>
      <c r="AT141" s="309" t="s">
        <v>2033</v>
      </c>
      <c r="AU141" s="309" t="s">
        <v>2033</v>
      </c>
      <c r="AV141" s="309" t="s">
        <v>2033</v>
      </c>
      <c r="AW141" s="309" t="s">
        <v>2033</v>
      </c>
      <c r="AX141" s="309" t="s">
        <v>2033</v>
      </c>
      <c r="AY141" s="309" t="s">
        <v>2033</v>
      </c>
      <c r="AZ141" s="309" t="s">
        <v>2033</v>
      </c>
      <c r="BA141" s="309" t="s">
        <v>2033</v>
      </c>
      <c r="BB141" s="309" t="s">
        <v>2033</v>
      </c>
      <c r="BC141" s="309" t="s">
        <v>2033</v>
      </c>
      <c r="BD141" s="309" t="s">
        <v>2033</v>
      </c>
      <c r="BE141" s="309" t="s">
        <v>2034</v>
      </c>
      <c r="BF141" s="309" t="s">
        <v>2034</v>
      </c>
      <c r="BG141" s="309" t="s">
        <v>2034</v>
      </c>
      <c r="BH141" s="309" t="s">
        <v>2034</v>
      </c>
      <c r="BI141" s="309" t="s">
        <v>2034</v>
      </c>
      <c r="BJ141" s="309" t="s">
        <v>2034</v>
      </c>
      <c r="BK141" s="309" t="s">
        <v>2034</v>
      </c>
      <c r="BL141" s="309" t="s">
        <v>2034</v>
      </c>
      <c r="BM141" s="309" t="s">
        <v>2034</v>
      </c>
      <c r="BN141" s="309" t="s">
        <v>2034</v>
      </c>
      <c r="BO141" s="309" t="s">
        <v>2034</v>
      </c>
      <c r="BY141" s="309" t="s">
        <v>2372</v>
      </c>
      <c r="BZ141" s="309" t="s">
        <v>2372</v>
      </c>
      <c r="CA141" s="309" t="s">
        <v>2372</v>
      </c>
      <c r="CB141" s="309" t="s">
        <v>2036</v>
      </c>
      <c r="CC141" s="309" t="s">
        <v>2036</v>
      </c>
      <c r="CD141" s="309" t="s">
        <v>2036</v>
      </c>
      <c r="CE141" s="309" t="s">
        <v>2036</v>
      </c>
      <c r="CF141" s="309" t="s">
        <v>2036</v>
      </c>
      <c r="CG141" s="309" t="s">
        <v>2359</v>
      </c>
      <c r="CH141" s="309" t="s">
        <v>2359</v>
      </c>
      <c r="CI141" s="309" t="s">
        <v>2359</v>
      </c>
      <c r="CJ141" s="309" t="s">
        <v>2359</v>
      </c>
      <c r="CK141" s="309" t="s">
        <v>2359</v>
      </c>
    </row>
    <row r="142" spans="1:92" x14ac:dyDescent="0.25">
      <c r="A142" s="372">
        <v>5</v>
      </c>
      <c r="B142" s="372">
        <v>11</v>
      </c>
      <c r="C142" s="372">
        <v>12</v>
      </c>
      <c r="D142" s="372" t="s">
        <v>2374</v>
      </c>
      <c r="E142" s="372" t="s">
        <v>2435</v>
      </c>
      <c r="F142" s="372" t="s">
        <v>2435</v>
      </c>
      <c r="G142" s="372" t="s">
        <v>2407</v>
      </c>
      <c r="H142" s="372" t="s">
        <v>2435</v>
      </c>
      <c r="I142" s="372">
        <v>0</v>
      </c>
      <c r="J142" s="372">
        <v>3</v>
      </c>
      <c r="K142" s="372">
        <v>0</v>
      </c>
      <c r="L142" s="372">
        <v>5</v>
      </c>
      <c r="M142" s="359">
        <v>209</v>
      </c>
      <c r="N142" s="399" t="s">
        <v>1004</v>
      </c>
      <c r="O142" s="237" t="s">
        <v>2777</v>
      </c>
      <c r="P142" s="237"/>
      <c r="Q142" s="360" t="s">
        <v>2281</v>
      </c>
      <c r="R142" s="361">
        <v>174936</v>
      </c>
      <c r="S142" s="369" t="s">
        <v>1002</v>
      </c>
      <c r="T142" s="380">
        <v>51</v>
      </c>
      <c r="U142" s="364" t="s">
        <v>2282</v>
      </c>
      <c r="AH142" s="309" t="s">
        <v>2037</v>
      </c>
      <c r="AI142" s="309" t="s">
        <v>2037</v>
      </c>
      <c r="AJ142" s="309" t="s">
        <v>2037</v>
      </c>
      <c r="AK142" s="309" t="s">
        <v>2037</v>
      </c>
      <c r="AL142" s="309" t="s">
        <v>2370</v>
      </c>
      <c r="AS142" s="309" t="s">
        <v>2033</v>
      </c>
      <c r="AT142" s="309" t="s">
        <v>2033</v>
      </c>
      <c r="AU142" s="309" t="s">
        <v>2033</v>
      </c>
      <c r="AV142" s="309" t="s">
        <v>2033</v>
      </c>
      <c r="AW142" s="309" t="s">
        <v>2033</v>
      </c>
      <c r="AX142" s="309" t="s">
        <v>2033</v>
      </c>
      <c r="AY142" s="309" t="s">
        <v>2033</v>
      </c>
      <c r="AZ142" s="309" t="s">
        <v>2033</v>
      </c>
      <c r="BA142" s="309" t="s">
        <v>2033</v>
      </c>
      <c r="BB142" s="309" t="s">
        <v>2033</v>
      </c>
      <c r="BC142" s="309" t="s">
        <v>2033</v>
      </c>
      <c r="BD142" s="309" t="s">
        <v>2033</v>
      </c>
      <c r="BE142" s="309" t="s">
        <v>2034</v>
      </c>
      <c r="BF142" s="309" t="s">
        <v>2034</v>
      </c>
      <c r="BG142" s="309" t="s">
        <v>2034</v>
      </c>
      <c r="BH142" s="309" t="s">
        <v>2034</v>
      </c>
      <c r="BI142" s="309" t="s">
        <v>2034</v>
      </c>
      <c r="BJ142" s="309" t="s">
        <v>2034</v>
      </c>
      <c r="BK142" s="309" t="s">
        <v>2034</v>
      </c>
      <c r="BL142" s="309" t="s">
        <v>2034</v>
      </c>
      <c r="BM142" s="309" t="s">
        <v>2034</v>
      </c>
      <c r="BN142" s="309" t="s">
        <v>2034</v>
      </c>
      <c r="BO142" s="309" t="s">
        <v>2034</v>
      </c>
      <c r="BY142" s="309" t="s">
        <v>2372</v>
      </c>
      <c r="BZ142" s="309" t="s">
        <v>2372</v>
      </c>
      <c r="CA142" s="309" t="s">
        <v>2372</v>
      </c>
      <c r="CB142" s="309" t="s">
        <v>2036</v>
      </c>
      <c r="CC142" s="309" t="s">
        <v>2036</v>
      </c>
      <c r="CD142" s="309" t="s">
        <v>2036</v>
      </c>
      <c r="CE142" s="309" t="s">
        <v>2036</v>
      </c>
      <c r="CF142" s="309" t="s">
        <v>2036</v>
      </c>
      <c r="CG142" s="309" t="s">
        <v>2359</v>
      </c>
      <c r="CH142" s="309" t="s">
        <v>2359</v>
      </c>
      <c r="CI142" s="309" t="s">
        <v>2359</v>
      </c>
      <c r="CJ142" s="309" t="s">
        <v>2359</v>
      </c>
      <c r="CK142" s="309" t="s">
        <v>2359</v>
      </c>
    </row>
    <row r="143" spans="1:92" x14ac:dyDescent="0.25">
      <c r="A143" s="373">
        <v>6</v>
      </c>
      <c r="B143" s="373">
        <v>15</v>
      </c>
      <c r="C143" s="373">
        <v>16</v>
      </c>
      <c r="D143" s="373" t="s">
        <v>2775</v>
      </c>
      <c r="E143" s="373" t="s">
        <v>2435</v>
      </c>
      <c r="F143" s="373" t="s">
        <v>2435</v>
      </c>
      <c r="G143" s="373" t="s">
        <v>2409</v>
      </c>
      <c r="H143" s="373" t="s">
        <v>2435</v>
      </c>
      <c r="I143" s="373">
        <v>0</v>
      </c>
      <c r="J143" s="373">
        <v>3</v>
      </c>
      <c r="K143" s="373">
        <v>0</v>
      </c>
      <c r="L143" s="373">
        <v>5</v>
      </c>
      <c r="M143" s="366">
        <v>161</v>
      </c>
      <c r="N143" s="398" t="s">
        <v>1100</v>
      </c>
      <c r="O143" s="374" t="s">
        <v>2777</v>
      </c>
      <c r="P143" s="374" t="s">
        <v>1497</v>
      </c>
      <c r="Q143" s="375" t="s">
        <v>1101</v>
      </c>
      <c r="R143" s="396">
        <v>176293</v>
      </c>
      <c r="S143" s="381" t="s">
        <v>578</v>
      </c>
      <c r="T143" s="382">
        <v>43</v>
      </c>
      <c r="U143" s="379" t="s">
        <v>1102</v>
      </c>
      <c r="AH143" s="309" t="s">
        <v>2037</v>
      </c>
      <c r="AI143" s="309" t="s">
        <v>2037</v>
      </c>
      <c r="AJ143" s="309" t="s">
        <v>2037</v>
      </c>
      <c r="AK143" s="309" t="s">
        <v>2037</v>
      </c>
      <c r="AL143" s="309" t="s">
        <v>2037</v>
      </c>
      <c r="AM143" s="309" t="s">
        <v>2370</v>
      </c>
      <c r="AN143" s="309" t="s">
        <v>2370</v>
      </c>
      <c r="AO143" s="309" t="s">
        <v>2370</v>
      </c>
      <c r="AS143" s="309" t="s">
        <v>2033</v>
      </c>
      <c r="AT143" s="309" t="s">
        <v>2033</v>
      </c>
      <c r="AU143" s="309" t="s">
        <v>2033</v>
      </c>
      <c r="AV143" s="309" t="s">
        <v>2033</v>
      </c>
      <c r="AW143" s="309" t="s">
        <v>2033</v>
      </c>
      <c r="AX143" s="309" t="s">
        <v>2033</v>
      </c>
      <c r="AY143" s="309" t="s">
        <v>2033</v>
      </c>
      <c r="AZ143" s="309" t="s">
        <v>2033</v>
      </c>
      <c r="BA143" s="309" t="s">
        <v>2033</v>
      </c>
      <c r="BB143" s="309" t="s">
        <v>2033</v>
      </c>
      <c r="BC143" s="309" t="s">
        <v>2033</v>
      </c>
      <c r="BD143" s="309" t="s">
        <v>2033</v>
      </c>
      <c r="BE143" s="309" t="s">
        <v>2033</v>
      </c>
      <c r="BF143" s="309" t="s">
        <v>2033</v>
      </c>
      <c r="BG143" s="309" t="s">
        <v>2033</v>
      </c>
      <c r="BH143" s="309" t="s">
        <v>2033</v>
      </c>
      <c r="BI143" s="309" t="s">
        <v>2034</v>
      </c>
      <c r="BJ143" s="309" t="s">
        <v>2034</v>
      </c>
      <c r="BK143" s="309" t="s">
        <v>2034</v>
      </c>
      <c r="BL143" s="309" t="s">
        <v>2034</v>
      </c>
      <c r="BM143" s="309" t="s">
        <v>2034</v>
      </c>
      <c r="BN143" s="309" t="s">
        <v>2034</v>
      </c>
      <c r="BO143" s="309" t="s">
        <v>2034</v>
      </c>
      <c r="BP143" s="309" t="s">
        <v>2034</v>
      </c>
      <c r="BQ143" s="309" t="s">
        <v>2034</v>
      </c>
      <c r="BR143" s="309" t="s">
        <v>2034</v>
      </c>
      <c r="BS143" s="309" t="s">
        <v>2034</v>
      </c>
      <c r="BT143" s="309" t="s">
        <v>2034</v>
      </c>
      <c r="BU143" s="309" t="s">
        <v>2034</v>
      </c>
      <c r="BV143" s="309" t="s">
        <v>2034</v>
      </c>
      <c r="BW143" s="309" t="s">
        <v>2034</v>
      </c>
      <c r="BY143" s="309" t="s">
        <v>2372</v>
      </c>
      <c r="BZ143" s="309" t="s">
        <v>2372</v>
      </c>
      <c r="CA143" s="309" t="s">
        <v>2372</v>
      </c>
      <c r="CB143" s="309" t="s">
        <v>2036</v>
      </c>
      <c r="CC143" s="309" t="s">
        <v>2036</v>
      </c>
      <c r="CD143" s="309" t="s">
        <v>2036</v>
      </c>
      <c r="CE143" s="309" t="s">
        <v>2036</v>
      </c>
      <c r="CF143" s="309" t="s">
        <v>2036</v>
      </c>
      <c r="CG143" s="309" t="s">
        <v>2359</v>
      </c>
      <c r="CH143" s="309" t="s">
        <v>2359</v>
      </c>
      <c r="CI143" s="309" t="s">
        <v>2359</v>
      </c>
      <c r="CJ143" s="309" t="s">
        <v>2359</v>
      </c>
      <c r="CK143" s="309" t="s">
        <v>2359</v>
      </c>
      <c r="CL143" s="309" t="s">
        <v>2359</v>
      </c>
    </row>
    <row r="144" spans="1:92" x14ac:dyDescent="0.25">
      <c r="A144" s="373">
        <v>5</v>
      </c>
      <c r="B144" s="373">
        <v>11</v>
      </c>
      <c r="C144" s="373">
        <v>12</v>
      </c>
      <c r="D144" s="373" t="s">
        <v>2775</v>
      </c>
      <c r="E144" s="373" t="s">
        <v>2435</v>
      </c>
      <c r="F144" s="373" t="s">
        <v>2435</v>
      </c>
      <c r="G144" s="373" t="s">
        <v>2406</v>
      </c>
      <c r="H144" s="373" t="s">
        <v>2435</v>
      </c>
      <c r="I144" s="373">
        <v>0</v>
      </c>
      <c r="J144" s="373">
        <v>3</v>
      </c>
      <c r="K144" s="373">
        <v>0</v>
      </c>
      <c r="L144" s="373">
        <v>5</v>
      </c>
      <c r="M144" s="366">
        <v>186</v>
      </c>
      <c r="N144" s="398" t="s">
        <v>1043</v>
      </c>
      <c r="O144" s="374" t="s">
        <v>2777</v>
      </c>
      <c r="P144" s="374"/>
      <c r="Q144" s="375" t="s">
        <v>1044</v>
      </c>
      <c r="R144" s="396">
        <v>177915</v>
      </c>
      <c r="S144" s="381" t="s">
        <v>1002</v>
      </c>
      <c r="T144" s="382">
        <v>51</v>
      </c>
      <c r="U144" s="379" t="s">
        <v>1045</v>
      </c>
      <c r="AH144" s="309" t="s">
        <v>2037</v>
      </c>
      <c r="AI144" s="309" t="s">
        <v>2037</v>
      </c>
      <c r="AJ144" s="309" t="s">
        <v>2037</v>
      </c>
      <c r="AK144" s="309" t="s">
        <v>2037</v>
      </c>
      <c r="AL144" s="309" t="s">
        <v>2370</v>
      </c>
      <c r="AM144" s="309" t="s">
        <v>2370</v>
      </c>
      <c r="AN144" s="309" t="s">
        <v>2370</v>
      </c>
      <c r="AS144" s="309" t="s">
        <v>2033</v>
      </c>
      <c r="AT144" s="309" t="s">
        <v>2033</v>
      </c>
      <c r="AU144" s="309" t="s">
        <v>2033</v>
      </c>
      <c r="AV144" s="309" t="s">
        <v>2033</v>
      </c>
      <c r="AW144" s="309" t="s">
        <v>2033</v>
      </c>
      <c r="AX144" s="309" t="s">
        <v>2033</v>
      </c>
      <c r="AY144" s="309" t="s">
        <v>2033</v>
      </c>
      <c r="AZ144" s="309" t="s">
        <v>2033</v>
      </c>
      <c r="BA144" s="309" t="s">
        <v>2033</v>
      </c>
      <c r="BB144" s="309" t="s">
        <v>2033</v>
      </c>
      <c r="BC144" s="309" t="s">
        <v>2033</v>
      </c>
      <c r="BD144" s="309" t="s">
        <v>2033</v>
      </c>
      <c r="BE144" s="309" t="s">
        <v>2034</v>
      </c>
      <c r="BF144" s="309" t="s">
        <v>2034</v>
      </c>
      <c r="BG144" s="309" t="s">
        <v>2034</v>
      </c>
      <c r="BH144" s="309" t="s">
        <v>2034</v>
      </c>
      <c r="BI144" s="309" t="s">
        <v>2034</v>
      </c>
      <c r="BJ144" s="309" t="s">
        <v>2034</v>
      </c>
      <c r="BK144" s="309" t="s">
        <v>2034</v>
      </c>
      <c r="BL144" s="309" t="s">
        <v>2034</v>
      </c>
      <c r="BM144" s="309" t="s">
        <v>2034</v>
      </c>
      <c r="BN144" s="309" t="s">
        <v>2034</v>
      </c>
      <c r="BO144" s="309" t="s">
        <v>2034</v>
      </c>
      <c r="BY144" s="309" t="s">
        <v>2372</v>
      </c>
      <c r="BZ144" s="309" t="s">
        <v>2372</v>
      </c>
      <c r="CA144" s="309" t="s">
        <v>2372</v>
      </c>
      <c r="CB144" s="309" t="s">
        <v>2036</v>
      </c>
      <c r="CC144" s="309" t="s">
        <v>2036</v>
      </c>
      <c r="CD144" s="309" t="s">
        <v>2036</v>
      </c>
      <c r="CE144" s="309" t="s">
        <v>2036</v>
      </c>
      <c r="CF144" s="309" t="s">
        <v>2036</v>
      </c>
      <c r="CG144" s="309" t="s">
        <v>2359</v>
      </c>
      <c r="CH144" s="309" t="s">
        <v>2359</v>
      </c>
      <c r="CI144" s="309" t="s">
        <v>2359</v>
      </c>
      <c r="CJ144" s="309" t="s">
        <v>2359</v>
      </c>
      <c r="CK144" s="309" t="s">
        <v>2359</v>
      </c>
    </row>
    <row r="145" spans="1:92" x14ac:dyDescent="0.25">
      <c r="A145" s="373">
        <v>5</v>
      </c>
      <c r="B145" s="373">
        <v>11</v>
      </c>
      <c r="C145" s="373">
        <v>12</v>
      </c>
      <c r="D145" s="373" t="s">
        <v>2774</v>
      </c>
      <c r="E145" s="373" t="s">
        <v>2435</v>
      </c>
      <c r="F145" s="373" t="s">
        <v>2435</v>
      </c>
      <c r="G145" s="373" t="s">
        <v>2404</v>
      </c>
      <c r="H145" s="373" t="s">
        <v>2435</v>
      </c>
      <c r="I145" s="373">
        <v>0</v>
      </c>
      <c r="J145" s="373">
        <v>3</v>
      </c>
      <c r="K145" s="373">
        <v>0</v>
      </c>
      <c r="L145" s="373">
        <v>5</v>
      </c>
      <c r="M145" s="366">
        <v>176</v>
      </c>
      <c r="N145" s="398" t="s">
        <v>1025</v>
      </c>
      <c r="O145" s="374" t="s">
        <v>2777</v>
      </c>
      <c r="P145" s="374"/>
      <c r="Q145" s="375" t="s">
        <v>1026</v>
      </c>
      <c r="R145" s="396">
        <v>179489</v>
      </c>
      <c r="S145" s="381" t="s">
        <v>1002</v>
      </c>
      <c r="T145" s="382">
        <v>51</v>
      </c>
      <c r="U145" s="379" t="s">
        <v>1027</v>
      </c>
      <c r="AH145" s="309" t="s">
        <v>2037</v>
      </c>
      <c r="AI145" s="309" t="s">
        <v>2037</v>
      </c>
      <c r="AJ145" s="309" t="s">
        <v>2037</v>
      </c>
      <c r="AK145" s="309" t="s">
        <v>2370</v>
      </c>
      <c r="AL145" s="309" t="s">
        <v>2370</v>
      </c>
      <c r="AS145" s="309" t="s">
        <v>2033</v>
      </c>
      <c r="AT145" s="309" t="s">
        <v>2033</v>
      </c>
      <c r="AU145" s="309" t="s">
        <v>2033</v>
      </c>
      <c r="AV145" s="309" t="s">
        <v>2033</v>
      </c>
      <c r="AW145" s="309" t="s">
        <v>2033</v>
      </c>
      <c r="AX145" s="309" t="s">
        <v>2033</v>
      </c>
      <c r="AY145" s="309" t="s">
        <v>2033</v>
      </c>
      <c r="AZ145" s="309" t="s">
        <v>2033</v>
      </c>
      <c r="BA145" s="309" t="s">
        <v>2033</v>
      </c>
      <c r="BB145" s="309" t="s">
        <v>2033</v>
      </c>
      <c r="BC145" s="309" t="s">
        <v>2033</v>
      </c>
      <c r="BD145" s="309" t="s">
        <v>2033</v>
      </c>
      <c r="BE145" s="309" t="s">
        <v>2034</v>
      </c>
      <c r="BF145" s="309" t="s">
        <v>2034</v>
      </c>
      <c r="BG145" s="309" t="s">
        <v>2034</v>
      </c>
      <c r="BH145" s="309" t="s">
        <v>2034</v>
      </c>
      <c r="BI145" s="309" t="s">
        <v>2034</v>
      </c>
      <c r="BJ145" s="309" t="s">
        <v>2034</v>
      </c>
      <c r="BK145" s="309" t="s">
        <v>2034</v>
      </c>
      <c r="BL145" s="309" t="s">
        <v>2034</v>
      </c>
      <c r="BM145" s="309" t="s">
        <v>2034</v>
      </c>
      <c r="BN145" s="309" t="s">
        <v>2034</v>
      </c>
      <c r="BO145" s="309" t="s">
        <v>2034</v>
      </c>
      <c r="BY145" s="309" t="s">
        <v>2372</v>
      </c>
      <c r="BZ145" s="309" t="s">
        <v>2372</v>
      </c>
      <c r="CA145" s="309" t="s">
        <v>2372</v>
      </c>
      <c r="CB145" s="309" t="s">
        <v>2036</v>
      </c>
      <c r="CC145" s="309" t="s">
        <v>2036</v>
      </c>
      <c r="CD145" s="309" t="s">
        <v>2036</v>
      </c>
      <c r="CE145" s="309" t="s">
        <v>2036</v>
      </c>
      <c r="CF145" s="309" t="s">
        <v>2036</v>
      </c>
      <c r="CG145" s="309" t="s">
        <v>2359</v>
      </c>
      <c r="CH145" s="309" t="s">
        <v>2359</v>
      </c>
      <c r="CI145" s="309" t="s">
        <v>2359</v>
      </c>
      <c r="CJ145" s="309" t="s">
        <v>2359</v>
      </c>
      <c r="CK145" s="309" t="s">
        <v>2359</v>
      </c>
    </row>
    <row r="146" spans="1:92" x14ac:dyDescent="0.25">
      <c r="A146" s="372">
        <v>4</v>
      </c>
      <c r="B146" s="372">
        <v>7</v>
      </c>
      <c r="C146" s="372">
        <v>8</v>
      </c>
      <c r="D146" s="372" t="s">
        <v>2406</v>
      </c>
      <c r="E146" s="372" t="s">
        <v>2435</v>
      </c>
      <c r="F146" s="372" t="s">
        <v>2435</v>
      </c>
      <c r="G146" s="372" t="s">
        <v>2435</v>
      </c>
      <c r="H146" s="372" t="s">
        <v>2435</v>
      </c>
      <c r="I146" s="372">
        <v>4</v>
      </c>
      <c r="J146" s="372">
        <v>0</v>
      </c>
      <c r="K146" s="372">
        <v>0</v>
      </c>
      <c r="L146" s="372">
        <v>0</v>
      </c>
      <c r="M146" s="359">
        <v>180</v>
      </c>
      <c r="N146" s="399" t="s">
        <v>1127</v>
      </c>
      <c r="O146" s="237" t="s">
        <v>2776</v>
      </c>
      <c r="P146" s="237"/>
      <c r="Q146" s="360" t="s">
        <v>2307</v>
      </c>
      <c r="R146" s="361">
        <v>181755</v>
      </c>
      <c r="S146" s="369" t="s">
        <v>1002</v>
      </c>
      <c r="T146" s="380">
        <v>56</v>
      </c>
      <c r="U146" s="364" t="s">
        <v>2308</v>
      </c>
      <c r="AH146" s="309" t="s">
        <v>2370</v>
      </c>
      <c r="AI146" s="309" t="s">
        <v>2370</v>
      </c>
      <c r="AJ146" s="309" t="s">
        <v>2370</v>
      </c>
      <c r="AK146" s="309" t="s">
        <v>2370</v>
      </c>
      <c r="AS146" s="309" t="s">
        <v>2033</v>
      </c>
      <c r="AT146" s="309" t="s">
        <v>2033</v>
      </c>
      <c r="AU146" s="309" t="s">
        <v>2033</v>
      </c>
      <c r="AV146" s="309" t="s">
        <v>2033</v>
      </c>
      <c r="AW146" s="309" t="s">
        <v>2033</v>
      </c>
      <c r="AX146" s="309" t="s">
        <v>2033</v>
      </c>
      <c r="AY146" s="309" t="s">
        <v>2033</v>
      </c>
      <c r="AZ146" s="309" t="s">
        <v>2033</v>
      </c>
      <c r="BA146" s="309" t="s">
        <v>2034</v>
      </c>
      <c r="BB146" s="309" t="s">
        <v>2034</v>
      </c>
      <c r="BC146" s="309" t="s">
        <v>2034</v>
      </c>
      <c r="BD146" s="309" t="s">
        <v>2034</v>
      </c>
      <c r="BE146" s="309" t="s">
        <v>2034</v>
      </c>
      <c r="BF146" s="309" t="s">
        <v>2034</v>
      </c>
      <c r="BG146" s="309" t="s">
        <v>2034</v>
      </c>
      <c r="BY146" s="309" t="s">
        <v>2361</v>
      </c>
      <c r="BZ146" s="309" t="s">
        <v>2361</v>
      </c>
      <c r="CA146" s="309" t="s">
        <v>2361</v>
      </c>
      <c r="CB146" s="309" t="s">
        <v>2361</v>
      </c>
      <c r="CC146" s="309" t="s">
        <v>2359</v>
      </c>
      <c r="CD146" s="309" t="s">
        <v>2359</v>
      </c>
      <c r="CE146" s="309" t="s">
        <v>2359</v>
      </c>
      <c r="CF146" s="309" t="s">
        <v>2359</v>
      </c>
    </row>
    <row r="147" spans="1:92" x14ac:dyDescent="0.25">
      <c r="A147" s="373">
        <v>5</v>
      </c>
      <c r="B147" s="373">
        <v>11</v>
      </c>
      <c r="C147" s="373">
        <v>12</v>
      </c>
      <c r="D147" s="373" t="s">
        <v>2775</v>
      </c>
      <c r="E147" s="373" t="s">
        <v>2435</v>
      </c>
      <c r="F147" s="373" t="s">
        <v>2435</v>
      </c>
      <c r="G147" s="373" t="s">
        <v>2407</v>
      </c>
      <c r="H147" s="373" t="s">
        <v>2435</v>
      </c>
      <c r="I147" s="373">
        <v>0</v>
      </c>
      <c r="J147" s="373">
        <v>3</v>
      </c>
      <c r="K147" s="373">
        <v>0</v>
      </c>
      <c r="L147" s="373">
        <v>5</v>
      </c>
      <c r="M147" s="366">
        <v>226</v>
      </c>
      <c r="N147" s="398" t="s">
        <v>1046</v>
      </c>
      <c r="O147" s="374" t="s">
        <v>2777</v>
      </c>
      <c r="P147" s="374"/>
      <c r="Q147" s="375" t="s">
        <v>1047</v>
      </c>
      <c r="R147" s="396">
        <v>182601</v>
      </c>
      <c r="S147" s="381" t="s">
        <v>1002</v>
      </c>
      <c r="T147" s="382">
        <v>51</v>
      </c>
      <c r="U147" s="379" t="s">
        <v>1048</v>
      </c>
      <c r="AH147" s="309" t="s">
        <v>2037</v>
      </c>
      <c r="AI147" s="309" t="s">
        <v>2037</v>
      </c>
      <c r="AJ147" s="309" t="s">
        <v>2037</v>
      </c>
      <c r="AK147" s="309" t="s">
        <v>2037</v>
      </c>
      <c r="AL147" s="309" t="s">
        <v>2370</v>
      </c>
      <c r="AM147" s="309" t="s">
        <v>2370</v>
      </c>
      <c r="AN147" s="309" t="s">
        <v>2370</v>
      </c>
      <c r="AS147" s="309" t="s">
        <v>2033</v>
      </c>
      <c r="AT147" s="309" t="s">
        <v>2033</v>
      </c>
      <c r="AU147" s="309" t="s">
        <v>2033</v>
      </c>
      <c r="AV147" s="309" t="s">
        <v>2033</v>
      </c>
      <c r="AW147" s="309" t="s">
        <v>2033</v>
      </c>
      <c r="AX147" s="309" t="s">
        <v>2033</v>
      </c>
      <c r="AY147" s="309" t="s">
        <v>2033</v>
      </c>
      <c r="AZ147" s="309" t="s">
        <v>2033</v>
      </c>
      <c r="BA147" s="309" t="s">
        <v>2033</v>
      </c>
      <c r="BB147" s="309" t="s">
        <v>2033</v>
      </c>
      <c r="BC147" s="309" t="s">
        <v>2033</v>
      </c>
      <c r="BD147" s="309" t="s">
        <v>2033</v>
      </c>
      <c r="BE147" s="309" t="s">
        <v>2034</v>
      </c>
      <c r="BF147" s="309" t="s">
        <v>2034</v>
      </c>
      <c r="BG147" s="309" t="s">
        <v>2034</v>
      </c>
      <c r="BH147" s="309" t="s">
        <v>2034</v>
      </c>
      <c r="BI147" s="309" t="s">
        <v>2034</v>
      </c>
      <c r="BJ147" s="309" t="s">
        <v>2034</v>
      </c>
      <c r="BK147" s="309" t="s">
        <v>2034</v>
      </c>
      <c r="BL147" s="309" t="s">
        <v>2034</v>
      </c>
      <c r="BM147" s="309" t="s">
        <v>2034</v>
      </c>
      <c r="BN147" s="309" t="s">
        <v>2034</v>
      </c>
      <c r="BO147" s="309" t="s">
        <v>2034</v>
      </c>
      <c r="BY147" s="309" t="s">
        <v>2372</v>
      </c>
      <c r="BZ147" s="309" t="s">
        <v>2372</v>
      </c>
      <c r="CA147" s="309" t="s">
        <v>2372</v>
      </c>
      <c r="CB147" s="309" t="s">
        <v>2036</v>
      </c>
      <c r="CC147" s="309" t="s">
        <v>2036</v>
      </c>
      <c r="CD147" s="309" t="s">
        <v>2036</v>
      </c>
      <c r="CE147" s="309" t="s">
        <v>2036</v>
      </c>
      <c r="CF147" s="309" t="s">
        <v>2036</v>
      </c>
      <c r="CG147" s="309" t="s">
        <v>2359</v>
      </c>
      <c r="CH147" s="309" t="s">
        <v>2359</v>
      </c>
      <c r="CI147" s="309" t="s">
        <v>2359</v>
      </c>
      <c r="CJ147" s="309" t="s">
        <v>2359</v>
      </c>
      <c r="CK147" s="309" t="s">
        <v>2359</v>
      </c>
    </row>
    <row r="148" spans="1:92" x14ac:dyDescent="0.25">
      <c r="A148" s="372">
        <v>5</v>
      </c>
      <c r="B148" s="372">
        <v>11</v>
      </c>
      <c r="C148" s="372">
        <v>12</v>
      </c>
      <c r="D148" s="372" t="s">
        <v>2374</v>
      </c>
      <c r="E148" s="372" t="s">
        <v>2435</v>
      </c>
      <c r="F148" s="372" t="s">
        <v>2435</v>
      </c>
      <c r="G148" s="372" t="s">
        <v>2408</v>
      </c>
      <c r="H148" s="372" t="s">
        <v>2435</v>
      </c>
      <c r="I148" s="372">
        <v>0</v>
      </c>
      <c r="J148" s="372">
        <v>3</v>
      </c>
      <c r="K148" s="372">
        <v>0</v>
      </c>
      <c r="L148" s="372">
        <v>5</v>
      </c>
      <c r="M148" s="359">
        <v>261</v>
      </c>
      <c r="N148" s="399" t="s">
        <v>1007</v>
      </c>
      <c r="O148" s="237" t="s">
        <v>2777</v>
      </c>
      <c r="P148" s="237"/>
      <c r="Q148" s="360" t="s">
        <v>2283</v>
      </c>
      <c r="R148" s="361">
        <v>183490</v>
      </c>
      <c r="S148" s="369" t="s">
        <v>1002</v>
      </c>
      <c r="T148" s="380">
        <v>51</v>
      </c>
      <c r="U148" s="364" t="s">
        <v>2284</v>
      </c>
      <c r="AH148" s="309" t="s">
        <v>2037</v>
      </c>
      <c r="AI148" s="309" t="s">
        <v>2037</v>
      </c>
      <c r="AJ148" s="309" t="s">
        <v>2037</v>
      </c>
      <c r="AK148" s="309" t="s">
        <v>2037</v>
      </c>
      <c r="AL148" s="309" t="s">
        <v>2370</v>
      </c>
      <c r="AS148" s="309" t="s">
        <v>2033</v>
      </c>
      <c r="AT148" s="309" t="s">
        <v>2033</v>
      </c>
      <c r="AU148" s="309" t="s">
        <v>2033</v>
      </c>
      <c r="AV148" s="309" t="s">
        <v>2033</v>
      </c>
      <c r="AW148" s="309" t="s">
        <v>2033</v>
      </c>
      <c r="AX148" s="309" t="s">
        <v>2033</v>
      </c>
      <c r="AY148" s="309" t="s">
        <v>2033</v>
      </c>
      <c r="AZ148" s="309" t="s">
        <v>2033</v>
      </c>
      <c r="BA148" s="309" t="s">
        <v>2033</v>
      </c>
      <c r="BB148" s="309" t="s">
        <v>2033</v>
      </c>
      <c r="BC148" s="309" t="s">
        <v>2033</v>
      </c>
      <c r="BD148" s="309" t="s">
        <v>2033</v>
      </c>
      <c r="BE148" s="309" t="s">
        <v>2034</v>
      </c>
      <c r="BF148" s="309" t="s">
        <v>2034</v>
      </c>
      <c r="BG148" s="309" t="s">
        <v>2034</v>
      </c>
      <c r="BH148" s="309" t="s">
        <v>2034</v>
      </c>
      <c r="BI148" s="309" t="s">
        <v>2034</v>
      </c>
      <c r="BJ148" s="309" t="s">
        <v>2034</v>
      </c>
      <c r="BK148" s="309" t="s">
        <v>2034</v>
      </c>
      <c r="BL148" s="309" t="s">
        <v>2034</v>
      </c>
      <c r="BM148" s="309" t="s">
        <v>2034</v>
      </c>
      <c r="BN148" s="309" t="s">
        <v>2034</v>
      </c>
      <c r="BO148" s="309" t="s">
        <v>2034</v>
      </c>
      <c r="BY148" s="309" t="s">
        <v>2372</v>
      </c>
      <c r="BZ148" s="309" t="s">
        <v>2372</v>
      </c>
      <c r="CA148" s="309" t="s">
        <v>2372</v>
      </c>
      <c r="CB148" s="309" t="s">
        <v>2036</v>
      </c>
      <c r="CC148" s="309" t="s">
        <v>2036</v>
      </c>
      <c r="CD148" s="309" t="s">
        <v>2036</v>
      </c>
      <c r="CE148" s="309" t="s">
        <v>2036</v>
      </c>
      <c r="CF148" s="309" t="s">
        <v>2036</v>
      </c>
      <c r="CG148" s="309" t="s">
        <v>2359</v>
      </c>
      <c r="CH148" s="309" t="s">
        <v>2359</v>
      </c>
      <c r="CI148" s="309" t="s">
        <v>2359</v>
      </c>
      <c r="CJ148" s="309" t="s">
        <v>2359</v>
      </c>
      <c r="CK148" s="309" t="s">
        <v>2359</v>
      </c>
    </row>
    <row r="149" spans="1:92" x14ac:dyDescent="0.25">
      <c r="A149" s="372">
        <v>6</v>
      </c>
      <c r="B149" s="372">
        <v>11</v>
      </c>
      <c r="C149" s="372">
        <v>16</v>
      </c>
      <c r="D149" s="372" t="s">
        <v>2374</v>
      </c>
      <c r="E149" s="372" t="s">
        <v>2435</v>
      </c>
      <c r="F149" s="372" t="s">
        <v>2435</v>
      </c>
      <c r="G149" s="372" t="s">
        <v>2410</v>
      </c>
      <c r="H149" s="372" t="s">
        <v>2435</v>
      </c>
      <c r="I149" s="372">
        <v>0</v>
      </c>
      <c r="J149" s="372">
        <v>3</v>
      </c>
      <c r="K149" s="372">
        <v>0</v>
      </c>
      <c r="L149" s="372">
        <v>7</v>
      </c>
      <c r="M149" s="359">
        <v>169</v>
      </c>
      <c r="N149" s="399" t="s">
        <v>1061</v>
      </c>
      <c r="O149" s="374" t="s">
        <v>2777</v>
      </c>
      <c r="P149" s="237" t="s">
        <v>1497</v>
      </c>
      <c r="Q149" s="360" t="s">
        <v>2291</v>
      </c>
      <c r="R149" s="361">
        <v>189670</v>
      </c>
      <c r="S149" s="369" t="s">
        <v>1002</v>
      </c>
      <c r="T149" s="380">
        <v>53</v>
      </c>
      <c r="U149" s="364" t="s">
        <v>2292</v>
      </c>
      <c r="AH149" s="309" t="s">
        <v>2037</v>
      </c>
      <c r="AI149" s="309" t="s">
        <v>2037</v>
      </c>
      <c r="AJ149" s="309" t="s">
        <v>2037</v>
      </c>
      <c r="AK149" s="309" t="s">
        <v>2037</v>
      </c>
      <c r="AL149" s="309" t="s">
        <v>2037</v>
      </c>
      <c r="AM149" s="309" t="s">
        <v>2370</v>
      </c>
      <c r="AS149" s="309" t="s">
        <v>2033</v>
      </c>
      <c r="AT149" s="309" t="s">
        <v>2033</v>
      </c>
      <c r="AU149" s="309" t="s">
        <v>2033</v>
      </c>
      <c r="AV149" s="309" t="s">
        <v>2033</v>
      </c>
      <c r="AW149" s="309" t="s">
        <v>2033</v>
      </c>
      <c r="AX149" s="309" t="s">
        <v>2033</v>
      </c>
      <c r="AY149" s="309" t="s">
        <v>2033</v>
      </c>
      <c r="AZ149" s="309" t="s">
        <v>2033</v>
      </c>
      <c r="BA149" s="309" t="s">
        <v>2033</v>
      </c>
      <c r="BB149" s="309" t="s">
        <v>2033</v>
      </c>
      <c r="BC149" s="309" t="s">
        <v>2033</v>
      </c>
      <c r="BD149" s="309" t="s">
        <v>2033</v>
      </c>
      <c r="BE149" s="309" t="s">
        <v>2033</v>
      </c>
      <c r="BF149" s="309" t="s">
        <v>2033</v>
      </c>
      <c r="BG149" s="309" t="s">
        <v>2033</v>
      </c>
      <c r="BH149" s="309" t="s">
        <v>2033</v>
      </c>
      <c r="BI149" s="309" t="s">
        <v>2034</v>
      </c>
      <c r="BJ149" s="309" t="s">
        <v>2034</v>
      </c>
      <c r="BK149" s="309" t="s">
        <v>2034</v>
      </c>
      <c r="BL149" s="309" t="s">
        <v>2034</v>
      </c>
      <c r="BM149" s="309" t="s">
        <v>2034</v>
      </c>
      <c r="BN149" s="309" t="s">
        <v>2034</v>
      </c>
      <c r="BO149" s="309" t="s">
        <v>2034</v>
      </c>
      <c r="BP149" s="309" t="s">
        <v>2034</v>
      </c>
      <c r="BQ149" s="309" t="s">
        <v>2034</v>
      </c>
      <c r="BR149" s="309" t="s">
        <v>2034</v>
      </c>
      <c r="BS149" s="309" t="s">
        <v>2034</v>
      </c>
      <c r="BY149" s="309" t="s">
        <v>2372</v>
      </c>
      <c r="BZ149" s="309" t="s">
        <v>2372</v>
      </c>
      <c r="CA149" s="309" t="s">
        <v>2372</v>
      </c>
      <c r="CB149" s="309" t="s">
        <v>2036</v>
      </c>
      <c r="CC149" s="309" t="s">
        <v>2036</v>
      </c>
      <c r="CD149" s="309" t="s">
        <v>2036</v>
      </c>
      <c r="CE149" s="309" t="s">
        <v>2036</v>
      </c>
      <c r="CF149" s="309" t="s">
        <v>2036</v>
      </c>
      <c r="CG149" s="309" t="s">
        <v>2036</v>
      </c>
      <c r="CH149" s="309" t="s">
        <v>2036</v>
      </c>
      <c r="CI149" s="309" t="s">
        <v>2359</v>
      </c>
      <c r="CJ149" s="309" t="s">
        <v>2359</v>
      </c>
      <c r="CK149" s="309" t="s">
        <v>2359</v>
      </c>
      <c r="CL149" s="309" t="s">
        <v>2359</v>
      </c>
      <c r="CM149" s="309" t="s">
        <v>2359</v>
      </c>
      <c r="CN149" s="309" t="s">
        <v>2359</v>
      </c>
    </row>
    <row r="150" spans="1:92" x14ac:dyDescent="0.25">
      <c r="A150" s="373">
        <v>5</v>
      </c>
      <c r="B150" s="373">
        <v>11</v>
      </c>
      <c r="C150" s="373">
        <v>12</v>
      </c>
      <c r="D150" s="373" t="s">
        <v>2774</v>
      </c>
      <c r="E150" s="373" t="s">
        <v>2435</v>
      </c>
      <c r="F150" s="373" t="s">
        <v>2435</v>
      </c>
      <c r="G150" s="373" t="s">
        <v>2405</v>
      </c>
      <c r="H150" s="373" t="s">
        <v>2435</v>
      </c>
      <c r="I150" s="373">
        <v>0</v>
      </c>
      <c r="J150" s="373">
        <v>3</v>
      </c>
      <c r="K150" s="373">
        <v>0</v>
      </c>
      <c r="L150" s="373">
        <v>5</v>
      </c>
      <c r="M150" s="366">
        <v>215</v>
      </c>
      <c r="N150" s="398" t="s">
        <v>1028</v>
      </c>
      <c r="O150" s="374" t="s">
        <v>2777</v>
      </c>
      <c r="P150" s="374"/>
      <c r="Q150" s="375" t="s">
        <v>1029</v>
      </c>
      <c r="R150" s="396">
        <v>191491</v>
      </c>
      <c r="S150" s="381" t="s">
        <v>1002</v>
      </c>
      <c r="T150" s="382">
        <v>51</v>
      </c>
      <c r="U150" s="379" t="s">
        <v>1030</v>
      </c>
      <c r="AH150" s="309" t="s">
        <v>2037</v>
      </c>
      <c r="AI150" s="309" t="s">
        <v>2037</v>
      </c>
      <c r="AJ150" s="309" t="s">
        <v>2037</v>
      </c>
      <c r="AK150" s="309" t="s">
        <v>2370</v>
      </c>
      <c r="AL150" s="309" t="s">
        <v>2370</v>
      </c>
      <c r="AS150" s="309" t="s">
        <v>2033</v>
      </c>
      <c r="AT150" s="309" t="s">
        <v>2033</v>
      </c>
      <c r="AU150" s="309" t="s">
        <v>2033</v>
      </c>
      <c r="AV150" s="309" t="s">
        <v>2033</v>
      </c>
      <c r="AW150" s="309" t="s">
        <v>2033</v>
      </c>
      <c r="AX150" s="309" t="s">
        <v>2033</v>
      </c>
      <c r="AY150" s="309" t="s">
        <v>2033</v>
      </c>
      <c r="AZ150" s="309" t="s">
        <v>2033</v>
      </c>
      <c r="BA150" s="309" t="s">
        <v>2033</v>
      </c>
      <c r="BB150" s="309" t="s">
        <v>2033</v>
      </c>
      <c r="BC150" s="309" t="s">
        <v>2033</v>
      </c>
      <c r="BD150" s="309" t="s">
        <v>2033</v>
      </c>
      <c r="BE150" s="309" t="s">
        <v>2034</v>
      </c>
      <c r="BF150" s="309" t="s">
        <v>2034</v>
      </c>
      <c r="BG150" s="309" t="s">
        <v>2034</v>
      </c>
      <c r="BH150" s="309" t="s">
        <v>2034</v>
      </c>
      <c r="BI150" s="309" t="s">
        <v>2034</v>
      </c>
      <c r="BJ150" s="309" t="s">
        <v>2034</v>
      </c>
      <c r="BK150" s="309" t="s">
        <v>2034</v>
      </c>
      <c r="BL150" s="309" t="s">
        <v>2034</v>
      </c>
      <c r="BM150" s="309" t="s">
        <v>2034</v>
      </c>
      <c r="BN150" s="309" t="s">
        <v>2034</v>
      </c>
      <c r="BO150" s="309" t="s">
        <v>2034</v>
      </c>
      <c r="BY150" s="309" t="s">
        <v>2372</v>
      </c>
      <c r="BZ150" s="309" t="s">
        <v>2372</v>
      </c>
      <c r="CA150" s="309" t="s">
        <v>2372</v>
      </c>
      <c r="CB150" s="309" t="s">
        <v>2036</v>
      </c>
      <c r="CC150" s="309" t="s">
        <v>2036</v>
      </c>
      <c r="CD150" s="309" t="s">
        <v>2036</v>
      </c>
      <c r="CE150" s="309" t="s">
        <v>2036</v>
      </c>
      <c r="CF150" s="309" t="s">
        <v>2036</v>
      </c>
      <c r="CG150" s="309" t="s">
        <v>2359</v>
      </c>
      <c r="CH150" s="309" t="s">
        <v>2359</v>
      </c>
      <c r="CI150" s="309" t="s">
        <v>2359</v>
      </c>
      <c r="CJ150" s="309" t="s">
        <v>2359</v>
      </c>
      <c r="CK150" s="309" t="s">
        <v>2359</v>
      </c>
    </row>
    <row r="151" spans="1:92" x14ac:dyDescent="0.25">
      <c r="A151" s="373">
        <v>6</v>
      </c>
      <c r="B151" s="373">
        <v>15</v>
      </c>
      <c r="C151" s="373">
        <v>16</v>
      </c>
      <c r="D151" s="373" t="s">
        <v>2774</v>
      </c>
      <c r="E151" s="373" t="s">
        <v>2435</v>
      </c>
      <c r="F151" s="373" t="s">
        <v>2435</v>
      </c>
      <c r="G151" s="373" t="s">
        <v>2410</v>
      </c>
      <c r="H151" s="373" t="s">
        <v>2435</v>
      </c>
      <c r="I151" s="373">
        <v>0</v>
      </c>
      <c r="J151" s="373">
        <v>3</v>
      </c>
      <c r="K151" s="373">
        <v>0</v>
      </c>
      <c r="L151" s="373">
        <v>7</v>
      </c>
      <c r="M151" s="366">
        <v>186</v>
      </c>
      <c r="N151" s="398" t="s">
        <v>1082</v>
      </c>
      <c r="O151" s="374" t="s">
        <v>2777</v>
      </c>
      <c r="P151" s="374" t="s">
        <v>1497</v>
      </c>
      <c r="Q151" s="375" t="s">
        <v>1083</v>
      </c>
      <c r="R151" s="396">
        <v>192608</v>
      </c>
      <c r="S151" s="381" t="s">
        <v>1002</v>
      </c>
      <c r="T151" s="382">
        <v>53</v>
      </c>
      <c r="U151" s="379" t="s">
        <v>1084</v>
      </c>
      <c r="AH151" s="309" t="s">
        <v>2037</v>
      </c>
      <c r="AI151" s="309" t="s">
        <v>2037</v>
      </c>
      <c r="AJ151" s="309" t="s">
        <v>2037</v>
      </c>
      <c r="AK151" s="309" t="s">
        <v>2037</v>
      </c>
      <c r="AL151" s="309" t="s">
        <v>2037</v>
      </c>
      <c r="AM151" s="309" t="s">
        <v>2370</v>
      </c>
      <c r="AN151" s="309" t="s">
        <v>2370</v>
      </c>
      <c r="AS151" s="309" t="s">
        <v>2033</v>
      </c>
      <c r="AT151" s="309" t="s">
        <v>2033</v>
      </c>
      <c r="AU151" s="309" t="s">
        <v>2033</v>
      </c>
      <c r="AV151" s="309" t="s">
        <v>2033</v>
      </c>
      <c r="AW151" s="309" t="s">
        <v>2033</v>
      </c>
      <c r="AX151" s="309" t="s">
        <v>2033</v>
      </c>
      <c r="AY151" s="309" t="s">
        <v>2033</v>
      </c>
      <c r="AZ151" s="309" t="s">
        <v>2033</v>
      </c>
      <c r="BA151" s="309" t="s">
        <v>2033</v>
      </c>
      <c r="BB151" s="309" t="s">
        <v>2033</v>
      </c>
      <c r="BC151" s="309" t="s">
        <v>2033</v>
      </c>
      <c r="BD151" s="309" t="s">
        <v>2033</v>
      </c>
      <c r="BE151" s="309" t="s">
        <v>2033</v>
      </c>
      <c r="BF151" s="309" t="s">
        <v>2033</v>
      </c>
      <c r="BG151" s="309" t="s">
        <v>2033</v>
      </c>
      <c r="BH151" s="309" t="s">
        <v>2033</v>
      </c>
      <c r="BI151" s="309" t="s">
        <v>2034</v>
      </c>
      <c r="BJ151" s="309" t="s">
        <v>2034</v>
      </c>
      <c r="BK151" s="309" t="s">
        <v>2034</v>
      </c>
      <c r="BL151" s="309" t="s">
        <v>2034</v>
      </c>
      <c r="BM151" s="309" t="s">
        <v>2034</v>
      </c>
      <c r="BN151" s="309" t="s">
        <v>2034</v>
      </c>
      <c r="BO151" s="309" t="s">
        <v>2034</v>
      </c>
      <c r="BP151" s="309" t="s">
        <v>2034</v>
      </c>
      <c r="BQ151" s="309" t="s">
        <v>2034</v>
      </c>
      <c r="BR151" s="309" t="s">
        <v>2034</v>
      </c>
      <c r="BS151" s="309" t="s">
        <v>2034</v>
      </c>
      <c r="BT151" s="309" t="s">
        <v>2034</v>
      </c>
      <c r="BU151" s="309" t="s">
        <v>2034</v>
      </c>
      <c r="BV151" s="309" t="s">
        <v>2034</v>
      </c>
      <c r="BW151" s="309" t="s">
        <v>2034</v>
      </c>
      <c r="BY151" s="309" t="s">
        <v>2372</v>
      </c>
      <c r="BZ151" s="309" t="s">
        <v>2372</v>
      </c>
      <c r="CA151" s="309" t="s">
        <v>2372</v>
      </c>
      <c r="CB151" s="309" t="s">
        <v>2036</v>
      </c>
      <c r="CC151" s="309" t="s">
        <v>2036</v>
      </c>
      <c r="CD151" s="309" t="s">
        <v>2036</v>
      </c>
      <c r="CE151" s="309" t="s">
        <v>2036</v>
      </c>
      <c r="CF151" s="309" t="s">
        <v>2036</v>
      </c>
      <c r="CG151" s="309" t="s">
        <v>2036</v>
      </c>
      <c r="CH151" s="309" t="s">
        <v>2036</v>
      </c>
      <c r="CI151" s="309" t="s">
        <v>2359</v>
      </c>
      <c r="CJ151" s="309" t="s">
        <v>2359</v>
      </c>
      <c r="CK151" s="309" t="s">
        <v>2359</v>
      </c>
      <c r="CL151" s="309" t="s">
        <v>2359</v>
      </c>
      <c r="CM151" s="309" t="s">
        <v>2359</v>
      </c>
      <c r="CN151" s="309" t="s">
        <v>2359</v>
      </c>
    </row>
    <row r="152" spans="1:92" x14ac:dyDescent="0.25">
      <c r="A152" s="372">
        <v>4</v>
      </c>
      <c r="B152" s="372">
        <v>7</v>
      </c>
      <c r="C152" s="372">
        <v>8</v>
      </c>
      <c r="D152" s="372" t="s">
        <v>2407</v>
      </c>
      <c r="E152" s="372" t="s">
        <v>2435</v>
      </c>
      <c r="F152" s="372" t="s">
        <v>2435</v>
      </c>
      <c r="G152" s="372" t="s">
        <v>2435</v>
      </c>
      <c r="H152" s="372" t="s">
        <v>2435</v>
      </c>
      <c r="I152" s="372">
        <v>4</v>
      </c>
      <c r="J152" s="372">
        <v>0</v>
      </c>
      <c r="K152" s="372">
        <v>0</v>
      </c>
      <c r="L152" s="372">
        <v>0</v>
      </c>
      <c r="M152" s="359">
        <v>220</v>
      </c>
      <c r="N152" s="399" t="s">
        <v>1130</v>
      </c>
      <c r="O152" s="237" t="s">
        <v>2776</v>
      </c>
      <c r="P152" s="237"/>
      <c r="Q152" s="360" t="s">
        <v>2309</v>
      </c>
      <c r="R152" s="361">
        <v>192952</v>
      </c>
      <c r="S152" s="369" t="s">
        <v>1002</v>
      </c>
      <c r="T152" s="380">
        <v>58</v>
      </c>
      <c r="U152" s="364" t="s">
        <v>2310</v>
      </c>
      <c r="AH152" s="309" t="s">
        <v>2370</v>
      </c>
      <c r="AI152" s="309" t="s">
        <v>2370</v>
      </c>
      <c r="AJ152" s="309" t="s">
        <v>2370</v>
      </c>
      <c r="AK152" s="309" t="s">
        <v>2370</v>
      </c>
      <c r="AS152" s="309" t="s">
        <v>2033</v>
      </c>
      <c r="AT152" s="309" t="s">
        <v>2033</v>
      </c>
      <c r="AU152" s="309" t="s">
        <v>2033</v>
      </c>
      <c r="AV152" s="309" t="s">
        <v>2033</v>
      </c>
      <c r="AW152" s="309" t="s">
        <v>2033</v>
      </c>
      <c r="AX152" s="309" t="s">
        <v>2033</v>
      </c>
      <c r="AY152" s="309" t="s">
        <v>2033</v>
      </c>
      <c r="AZ152" s="309" t="s">
        <v>2033</v>
      </c>
      <c r="BA152" s="309" t="s">
        <v>2034</v>
      </c>
      <c r="BB152" s="309" t="s">
        <v>2034</v>
      </c>
      <c r="BC152" s="309" t="s">
        <v>2034</v>
      </c>
      <c r="BD152" s="309" t="s">
        <v>2034</v>
      </c>
      <c r="BE152" s="309" t="s">
        <v>2034</v>
      </c>
      <c r="BF152" s="309" t="s">
        <v>2034</v>
      </c>
      <c r="BG152" s="309" t="s">
        <v>2034</v>
      </c>
      <c r="BY152" s="309" t="s">
        <v>2361</v>
      </c>
      <c r="BZ152" s="309" t="s">
        <v>2361</v>
      </c>
      <c r="CA152" s="309" t="s">
        <v>2361</v>
      </c>
      <c r="CB152" s="309" t="s">
        <v>2361</v>
      </c>
      <c r="CC152" s="309" t="s">
        <v>2359</v>
      </c>
      <c r="CD152" s="309" t="s">
        <v>2359</v>
      </c>
      <c r="CE152" s="309" t="s">
        <v>2359</v>
      </c>
      <c r="CF152" s="309" t="s">
        <v>2359</v>
      </c>
    </row>
    <row r="153" spans="1:92" x14ac:dyDescent="0.25">
      <c r="A153" s="372">
        <v>5</v>
      </c>
      <c r="B153" s="372">
        <v>7</v>
      </c>
      <c r="C153" s="372">
        <v>12</v>
      </c>
      <c r="D153" s="372" t="s">
        <v>2409</v>
      </c>
      <c r="E153" s="372" t="s">
        <v>2435</v>
      </c>
      <c r="F153" s="372" t="s">
        <v>2435</v>
      </c>
      <c r="G153" s="372" t="s">
        <v>2435</v>
      </c>
      <c r="H153" s="372" t="s">
        <v>2435</v>
      </c>
      <c r="I153" s="372">
        <v>5</v>
      </c>
      <c r="J153" s="372">
        <v>0</v>
      </c>
      <c r="K153" s="372">
        <v>0</v>
      </c>
      <c r="L153" s="372">
        <v>0</v>
      </c>
      <c r="M153" s="359">
        <v>150</v>
      </c>
      <c r="N153" s="399" t="s">
        <v>1143</v>
      </c>
      <c r="O153" s="237" t="s">
        <v>2777</v>
      </c>
      <c r="P153" s="237"/>
      <c r="Q153" s="360" t="s">
        <v>2317</v>
      </c>
      <c r="R153" s="361">
        <v>193140</v>
      </c>
      <c r="S153" s="369" t="s">
        <v>1002</v>
      </c>
      <c r="T153" s="380">
        <v>61</v>
      </c>
      <c r="U153" s="364" t="s">
        <v>2318</v>
      </c>
      <c r="AH153" s="309" t="s">
        <v>2370</v>
      </c>
      <c r="AI153" s="309" t="s">
        <v>2370</v>
      </c>
      <c r="AJ153" s="309" t="s">
        <v>2370</v>
      </c>
      <c r="AK153" s="309" t="s">
        <v>2370</v>
      </c>
      <c r="AL153" s="309" t="s">
        <v>2370</v>
      </c>
      <c r="AS153" s="309" t="s">
        <v>2033</v>
      </c>
      <c r="AT153" s="309" t="s">
        <v>2033</v>
      </c>
      <c r="AU153" s="309" t="s">
        <v>2033</v>
      </c>
      <c r="AV153" s="309" t="s">
        <v>2033</v>
      </c>
      <c r="AW153" s="309" t="s">
        <v>2033</v>
      </c>
      <c r="AX153" s="309" t="s">
        <v>2033</v>
      </c>
      <c r="AY153" s="309" t="s">
        <v>2033</v>
      </c>
      <c r="AZ153" s="309" t="s">
        <v>2033</v>
      </c>
      <c r="BA153" s="309" t="s">
        <v>2033</v>
      </c>
      <c r="BB153" s="309" t="s">
        <v>2033</v>
      </c>
      <c r="BC153" s="309" t="s">
        <v>2033</v>
      </c>
      <c r="BD153" s="309" t="s">
        <v>2033</v>
      </c>
      <c r="BE153" s="309" t="s">
        <v>2034</v>
      </c>
      <c r="BF153" s="309" t="s">
        <v>2034</v>
      </c>
      <c r="BG153" s="309" t="s">
        <v>2034</v>
      </c>
      <c r="BH153" s="309" t="s">
        <v>2034</v>
      </c>
      <c r="BI153" s="309" t="s">
        <v>2034</v>
      </c>
      <c r="BJ153" s="309" t="s">
        <v>2034</v>
      </c>
      <c r="BK153" s="309" t="s">
        <v>2034</v>
      </c>
      <c r="BY153" s="309" t="s">
        <v>2361</v>
      </c>
      <c r="BZ153" s="309" t="s">
        <v>2361</v>
      </c>
      <c r="CA153" s="309" t="s">
        <v>2361</v>
      </c>
      <c r="CB153" s="309" t="s">
        <v>2361</v>
      </c>
      <c r="CC153" s="309" t="s">
        <v>2361</v>
      </c>
      <c r="CD153" s="309" t="s">
        <v>2359</v>
      </c>
      <c r="CE153" s="309" t="s">
        <v>2359</v>
      </c>
      <c r="CF153" s="309" t="s">
        <v>2359</v>
      </c>
      <c r="CG153" s="309" t="s">
        <v>2359</v>
      </c>
      <c r="CH153" s="309" t="s">
        <v>2359</v>
      </c>
    </row>
    <row r="154" spans="1:92" x14ac:dyDescent="0.25">
      <c r="A154" s="373">
        <v>5</v>
      </c>
      <c r="B154" s="373">
        <v>11</v>
      </c>
      <c r="C154" s="373">
        <v>12</v>
      </c>
      <c r="D154" s="373" t="s">
        <v>2775</v>
      </c>
      <c r="E154" s="373" t="s">
        <v>2435</v>
      </c>
      <c r="F154" s="373" t="s">
        <v>2435</v>
      </c>
      <c r="G154" s="373" t="s">
        <v>2408</v>
      </c>
      <c r="H154" s="373" t="s">
        <v>2435</v>
      </c>
      <c r="I154" s="373">
        <v>0</v>
      </c>
      <c r="J154" s="373">
        <v>3</v>
      </c>
      <c r="K154" s="373">
        <v>0</v>
      </c>
      <c r="L154" s="373">
        <v>5</v>
      </c>
      <c r="M154" s="366">
        <v>278</v>
      </c>
      <c r="N154" s="398" t="s">
        <v>1049</v>
      </c>
      <c r="O154" s="374" t="s">
        <v>2777</v>
      </c>
      <c r="P154" s="374"/>
      <c r="Q154" s="375" t="s">
        <v>1050</v>
      </c>
      <c r="R154" s="396">
        <v>194627</v>
      </c>
      <c r="S154" s="381" t="s">
        <v>1002</v>
      </c>
      <c r="T154" s="382">
        <v>51</v>
      </c>
      <c r="U154" s="379" t="s">
        <v>1051</v>
      </c>
      <c r="AH154" s="309" t="s">
        <v>2037</v>
      </c>
      <c r="AI154" s="309" t="s">
        <v>2037</v>
      </c>
      <c r="AJ154" s="309" t="s">
        <v>2037</v>
      </c>
      <c r="AK154" s="309" t="s">
        <v>2037</v>
      </c>
      <c r="AL154" s="309" t="s">
        <v>2370</v>
      </c>
      <c r="AM154" s="309" t="s">
        <v>2370</v>
      </c>
      <c r="AN154" s="309" t="s">
        <v>2370</v>
      </c>
      <c r="AS154" s="309" t="s">
        <v>2033</v>
      </c>
      <c r="AT154" s="309" t="s">
        <v>2033</v>
      </c>
      <c r="AU154" s="309" t="s">
        <v>2033</v>
      </c>
      <c r="AV154" s="309" t="s">
        <v>2033</v>
      </c>
      <c r="AW154" s="309" t="s">
        <v>2033</v>
      </c>
      <c r="AX154" s="309" t="s">
        <v>2033</v>
      </c>
      <c r="AY154" s="309" t="s">
        <v>2033</v>
      </c>
      <c r="AZ154" s="309" t="s">
        <v>2033</v>
      </c>
      <c r="BA154" s="309" t="s">
        <v>2033</v>
      </c>
      <c r="BB154" s="309" t="s">
        <v>2033</v>
      </c>
      <c r="BC154" s="309" t="s">
        <v>2033</v>
      </c>
      <c r="BD154" s="309" t="s">
        <v>2033</v>
      </c>
      <c r="BE154" s="309" t="s">
        <v>2034</v>
      </c>
      <c r="BF154" s="309" t="s">
        <v>2034</v>
      </c>
      <c r="BG154" s="309" t="s">
        <v>2034</v>
      </c>
      <c r="BH154" s="309" t="s">
        <v>2034</v>
      </c>
      <c r="BI154" s="309" t="s">
        <v>2034</v>
      </c>
      <c r="BJ154" s="309" t="s">
        <v>2034</v>
      </c>
      <c r="BK154" s="309" t="s">
        <v>2034</v>
      </c>
      <c r="BL154" s="309" t="s">
        <v>2034</v>
      </c>
      <c r="BM154" s="309" t="s">
        <v>2034</v>
      </c>
      <c r="BN154" s="309" t="s">
        <v>2034</v>
      </c>
      <c r="BO154" s="309" t="s">
        <v>2034</v>
      </c>
      <c r="BY154" s="309" t="s">
        <v>2372</v>
      </c>
      <c r="BZ154" s="309" t="s">
        <v>2372</v>
      </c>
      <c r="CA154" s="309" t="s">
        <v>2372</v>
      </c>
      <c r="CB154" s="309" t="s">
        <v>2036</v>
      </c>
      <c r="CC154" s="309" t="s">
        <v>2036</v>
      </c>
      <c r="CD154" s="309" t="s">
        <v>2036</v>
      </c>
      <c r="CE154" s="309" t="s">
        <v>2036</v>
      </c>
      <c r="CF154" s="309" t="s">
        <v>2036</v>
      </c>
      <c r="CG154" s="309" t="s">
        <v>2359</v>
      </c>
      <c r="CH154" s="309" t="s">
        <v>2359</v>
      </c>
      <c r="CI154" s="309" t="s">
        <v>2359</v>
      </c>
      <c r="CJ154" s="309" t="s">
        <v>2359</v>
      </c>
      <c r="CK154" s="309" t="s">
        <v>2359</v>
      </c>
    </row>
    <row r="155" spans="1:92" x14ac:dyDescent="0.25">
      <c r="A155" s="372">
        <v>6</v>
      </c>
      <c r="B155" s="372">
        <v>15</v>
      </c>
      <c r="C155" s="372">
        <v>16</v>
      </c>
      <c r="D155" s="372" t="s">
        <v>2414</v>
      </c>
      <c r="E155" s="372" t="s">
        <v>2435</v>
      </c>
      <c r="F155" s="372" t="s">
        <v>2435</v>
      </c>
      <c r="G155" s="372" t="s">
        <v>2435</v>
      </c>
      <c r="H155" s="372" t="s">
        <v>2435</v>
      </c>
      <c r="I155" s="372">
        <v>8</v>
      </c>
      <c r="J155" s="372">
        <v>0</v>
      </c>
      <c r="K155" s="372">
        <v>0</v>
      </c>
      <c r="L155" s="372">
        <v>0</v>
      </c>
      <c r="M155" s="359">
        <v>112</v>
      </c>
      <c r="N155" s="399" t="s">
        <v>1158</v>
      </c>
      <c r="O155" s="237" t="s">
        <v>2777</v>
      </c>
      <c r="P155" s="237" t="s">
        <v>1497</v>
      </c>
      <c r="Q155" s="360" t="s">
        <v>2327</v>
      </c>
      <c r="R155" s="361">
        <v>194682</v>
      </c>
      <c r="S155" s="369" t="s">
        <v>1002</v>
      </c>
      <c r="T155" s="380">
        <v>69</v>
      </c>
      <c r="U155" s="364" t="s">
        <v>2314</v>
      </c>
      <c r="AH155" s="309" t="s">
        <v>2370</v>
      </c>
      <c r="AI155" s="309" t="s">
        <v>2370</v>
      </c>
      <c r="AJ155" s="309" t="s">
        <v>2370</v>
      </c>
      <c r="AK155" s="309" t="s">
        <v>2370</v>
      </c>
      <c r="AL155" s="309" t="s">
        <v>2370</v>
      </c>
      <c r="AM155" s="309" t="s">
        <v>2370</v>
      </c>
      <c r="AS155" s="309" t="s">
        <v>2033</v>
      </c>
      <c r="AT155" s="309" t="s">
        <v>2033</v>
      </c>
      <c r="AU155" s="309" t="s">
        <v>2033</v>
      </c>
      <c r="AV155" s="309" t="s">
        <v>2033</v>
      </c>
      <c r="AW155" s="309" t="s">
        <v>2033</v>
      </c>
      <c r="AX155" s="309" t="s">
        <v>2033</v>
      </c>
      <c r="AY155" s="309" t="s">
        <v>2033</v>
      </c>
      <c r="AZ155" s="309" t="s">
        <v>2033</v>
      </c>
      <c r="BA155" s="309" t="s">
        <v>2033</v>
      </c>
      <c r="BB155" s="309" t="s">
        <v>2033</v>
      </c>
      <c r="BC155" s="309" t="s">
        <v>2033</v>
      </c>
      <c r="BD155" s="309" t="s">
        <v>2033</v>
      </c>
      <c r="BE155" s="309" t="s">
        <v>2033</v>
      </c>
      <c r="BF155" s="309" t="s">
        <v>2033</v>
      </c>
      <c r="BG155" s="309" t="s">
        <v>2033</v>
      </c>
      <c r="BH155" s="309" t="s">
        <v>2033</v>
      </c>
      <c r="BI155" s="309" t="s">
        <v>2034</v>
      </c>
      <c r="BJ155" s="309" t="s">
        <v>2034</v>
      </c>
      <c r="BK155" s="309" t="s">
        <v>2034</v>
      </c>
      <c r="BL155" s="309" t="s">
        <v>2034</v>
      </c>
      <c r="BM155" s="309" t="s">
        <v>2034</v>
      </c>
      <c r="BN155" s="309" t="s">
        <v>2034</v>
      </c>
      <c r="BO155" s="309" t="s">
        <v>2034</v>
      </c>
      <c r="BP155" s="309" t="s">
        <v>2034</v>
      </c>
      <c r="BQ155" s="309" t="s">
        <v>2034</v>
      </c>
      <c r="BR155" s="309" t="s">
        <v>2034</v>
      </c>
      <c r="BS155" s="309" t="s">
        <v>2034</v>
      </c>
      <c r="BT155" s="309" t="s">
        <v>2034</v>
      </c>
      <c r="BU155" s="309" t="s">
        <v>2034</v>
      </c>
      <c r="BV155" s="309" t="s">
        <v>2034</v>
      </c>
      <c r="BW155" s="309" t="s">
        <v>2034</v>
      </c>
      <c r="BY155" s="309" t="s">
        <v>2361</v>
      </c>
      <c r="BZ155" s="309" t="s">
        <v>2361</v>
      </c>
      <c r="CA155" s="309" t="s">
        <v>2361</v>
      </c>
      <c r="CB155" s="309" t="s">
        <v>2361</v>
      </c>
      <c r="CC155" s="309" t="s">
        <v>2361</v>
      </c>
      <c r="CD155" s="309" t="s">
        <v>2361</v>
      </c>
      <c r="CE155" s="309" t="s">
        <v>2361</v>
      </c>
      <c r="CF155" s="309" t="s">
        <v>2361</v>
      </c>
      <c r="CG155" s="309" t="s">
        <v>2359</v>
      </c>
      <c r="CH155" s="309" t="s">
        <v>2359</v>
      </c>
      <c r="CI155" s="309" t="s">
        <v>2359</v>
      </c>
      <c r="CJ155" s="309" t="s">
        <v>2359</v>
      </c>
      <c r="CK155" s="309" t="s">
        <v>2359</v>
      </c>
      <c r="CL155" s="309" t="s">
        <v>2359</v>
      </c>
    </row>
    <row r="156" spans="1:92" x14ac:dyDescent="0.25">
      <c r="A156" s="373">
        <v>6</v>
      </c>
      <c r="B156" s="373">
        <v>15</v>
      </c>
      <c r="C156" s="373">
        <v>16</v>
      </c>
      <c r="D156" s="373" t="s">
        <v>2775</v>
      </c>
      <c r="E156" s="373" t="s">
        <v>2435</v>
      </c>
      <c r="F156" s="373" t="s">
        <v>2435</v>
      </c>
      <c r="G156" s="373" t="s">
        <v>2410</v>
      </c>
      <c r="H156" s="373" t="s">
        <v>2435</v>
      </c>
      <c r="I156" s="373">
        <v>0</v>
      </c>
      <c r="J156" s="373">
        <v>3</v>
      </c>
      <c r="K156" s="373">
        <v>0</v>
      </c>
      <c r="L156" s="373">
        <v>5</v>
      </c>
      <c r="M156" s="366">
        <v>196</v>
      </c>
      <c r="N156" s="398" t="s">
        <v>1103</v>
      </c>
      <c r="O156" s="374" t="s">
        <v>2777</v>
      </c>
      <c r="P156" s="374" t="s">
        <v>1497</v>
      </c>
      <c r="Q156" s="375" t="s">
        <v>1104</v>
      </c>
      <c r="R156" s="396">
        <v>198685</v>
      </c>
      <c r="S156" s="381" t="s">
        <v>1002</v>
      </c>
      <c r="T156" s="382">
        <v>53</v>
      </c>
      <c r="U156" s="379" t="s">
        <v>1105</v>
      </c>
      <c r="AH156" s="309" t="s">
        <v>2037</v>
      </c>
      <c r="AI156" s="309" t="s">
        <v>2037</v>
      </c>
      <c r="AJ156" s="309" t="s">
        <v>2037</v>
      </c>
      <c r="AK156" s="309" t="s">
        <v>2037</v>
      </c>
      <c r="AL156" s="309" t="s">
        <v>2037</v>
      </c>
      <c r="AM156" s="309" t="s">
        <v>2370</v>
      </c>
      <c r="AN156" s="309" t="s">
        <v>2370</v>
      </c>
      <c r="AO156" s="309" t="s">
        <v>2370</v>
      </c>
      <c r="AS156" s="309" t="s">
        <v>2033</v>
      </c>
      <c r="AT156" s="309" t="s">
        <v>2033</v>
      </c>
      <c r="AU156" s="309" t="s">
        <v>2033</v>
      </c>
      <c r="AV156" s="309" t="s">
        <v>2033</v>
      </c>
      <c r="AW156" s="309" t="s">
        <v>2033</v>
      </c>
      <c r="AX156" s="309" t="s">
        <v>2033</v>
      </c>
      <c r="AY156" s="309" t="s">
        <v>2033</v>
      </c>
      <c r="AZ156" s="309" t="s">
        <v>2033</v>
      </c>
      <c r="BA156" s="309" t="s">
        <v>2033</v>
      </c>
      <c r="BB156" s="309" t="s">
        <v>2033</v>
      </c>
      <c r="BC156" s="309" t="s">
        <v>2033</v>
      </c>
      <c r="BD156" s="309" t="s">
        <v>2033</v>
      </c>
      <c r="BE156" s="309" t="s">
        <v>2033</v>
      </c>
      <c r="BF156" s="309" t="s">
        <v>2033</v>
      </c>
      <c r="BG156" s="309" t="s">
        <v>2033</v>
      </c>
      <c r="BH156" s="309" t="s">
        <v>2033</v>
      </c>
      <c r="BI156" s="309" t="s">
        <v>2034</v>
      </c>
      <c r="BJ156" s="309" t="s">
        <v>2034</v>
      </c>
      <c r="BK156" s="309" t="s">
        <v>2034</v>
      </c>
      <c r="BL156" s="309" t="s">
        <v>2034</v>
      </c>
      <c r="BM156" s="309" t="s">
        <v>2034</v>
      </c>
      <c r="BN156" s="309" t="s">
        <v>2034</v>
      </c>
      <c r="BO156" s="309" t="s">
        <v>2034</v>
      </c>
      <c r="BP156" s="309" t="s">
        <v>2034</v>
      </c>
      <c r="BQ156" s="309" t="s">
        <v>2034</v>
      </c>
      <c r="BR156" s="309" t="s">
        <v>2034</v>
      </c>
      <c r="BS156" s="309" t="s">
        <v>2034</v>
      </c>
      <c r="BT156" s="309" t="s">
        <v>2034</v>
      </c>
      <c r="BU156" s="309" t="s">
        <v>2034</v>
      </c>
      <c r="BV156" s="309" t="s">
        <v>2034</v>
      </c>
      <c r="BW156" s="309" t="s">
        <v>2034</v>
      </c>
      <c r="BY156" s="309" t="s">
        <v>2372</v>
      </c>
      <c r="BZ156" s="309" t="s">
        <v>2372</v>
      </c>
      <c r="CA156" s="309" t="s">
        <v>2372</v>
      </c>
      <c r="CB156" s="309" t="s">
        <v>2036</v>
      </c>
      <c r="CC156" s="309" t="s">
        <v>2036</v>
      </c>
      <c r="CD156" s="309" t="s">
        <v>2036</v>
      </c>
      <c r="CE156" s="309" t="s">
        <v>2036</v>
      </c>
      <c r="CF156" s="309" t="s">
        <v>2036</v>
      </c>
      <c r="CG156" s="309" t="s">
        <v>2359</v>
      </c>
      <c r="CH156" s="309" t="s">
        <v>2359</v>
      </c>
      <c r="CI156" s="309" t="s">
        <v>2359</v>
      </c>
      <c r="CJ156" s="309" t="s">
        <v>2359</v>
      </c>
      <c r="CK156" s="309" t="s">
        <v>2359</v>
      </c>
      <c r="CL156" s="309" t="s">
        <v>2359</v>
      </c>
    </row>
    <row r="157" spans="1:92" x14ac:dyDescent="0.25">
      <c r="A157" s="372">
        <v>6</v>
      </c>
      <c r="B157" s="372">
        <v>11</v>
      </c>
      <c r="C157" s="372">
        <v>16</v>
      </c>
      <c r="D157" s="372" t="s">
        <v>2374</v>
      </c>
      <c r="E157" s="372" t="s">
        <v>2435</v>
      </c>
      <c r="F157" s="372" t="s">
        <v>2435</v>
      </c>
      <c r="G157" s="372" t="s">
        <v>2411</v>
      </c>
      <c r="H157" s="372" t="s">
        <v>2435</v>
      </c>
      <c r="I157" s="372">
        <v>0</v>
      </c>
      <c r="J157" s="372">
        <v>3</v>
      </c>
      <c r="K157" s="372">
        <v>0</v>
      </c>
      <c r="L157" s="372">
        <v>7</v>
      </c>
      <c r="M157" s="359">
        <v>209</v>
      </c>
      <c r="N157" s="399" t="s">
        <v>1064</v>
      </c>
      <c r="O157" s="374" t="s">
        <v>2777</v>
      </c>
      <c r="P157" s="237" t="s">
        <v>1497</v>
      </c>
      <c r="Q157" s="360" t="s">
        <v>2293</v>
      </c>
      <c r="R157" s="361">
        <v>198884</v>
      </c>
      <c r="S157" s="369" t="s">
        <v>1002</v>
      </c>
      <c r="T157" s="380">
        <v>53</v>
      </c>
      <c r="U157" s="364" t="s">
        <v>2294</v>
      </c>
      <c r="AH157" s="309" t="s">
        <v>2037</v>
      </c>
      <c r="AI157" s="309" t="s">
        <v>2037</v>
      </c>
      <c r="AJ157" s="309" t="s">
        <v>2037</v>
      </c>
      <c r="AK157" s="309" t="s">
        <v>2037</v>
      </c>
      <c r="AL157" s="309" t="s">
        <v>2037</v>
      </c>
      <c r="AM157" s="309" t="s">
        <v>2370</v>
      </c>
      <c r="AS157" s="309" t="s">
        <v>2033</v>
      </c>
      <c r="AT157" s="309" t="s">
        <v>2033</v>
      </c>
      <c r="AU157" s="309" t="s">
        <v>2033</v>
      </c>
      <c r="AV157" s="309" t="s">
        <v>2033</v>
      </c>
      <c r="AW157" s="309" t="s">
        <v>2033</v>
      </c>
      <c r="AX157" s="309" t="s">
        <v>2033</v>
      </c>
      <c r="AY157" s="309" t="s">
        <v>2033</v>
      </c>
      <c r="AZ157" s="309" t="s">
        <v>2033</v>
      </c>
      <c r="BA157" s="309" t="s">
        <v>2033</v>
      </c>
      <c r="BB157" s="309" t="s">
        <v>2033</v>
      </c>
      <c r="BC157" s="309" t="s">
        <v>2033</v>
      </c>
      <c r="BD157" s="309" t="s">
        <v>2033</v>
      </c>
      <c r="BE157" s="309" t="s">
        <v>2033</v>
      </c>
      <c r="BF157" s="309" t="s">
        <v>2033</v>
      </c>
      <c r="BG157" s="309" t="s">
        <v>2033</v>
      </c>
      <c r="BH157" s="309" t="s">
        <v>2033</v>
      </c>
      <c r="BI157" s="309" t="s">
        <v>2034</v>
      </c>
      <c r="BJ157" s="309" t="s">
        <v>2034</v>
      </c>
      <c r="BK157" s="309" t="s">
        <v>2034</v>
      </c>
      <c r="BL157" s="309" t="s">
        <v>2034</v>
      </c>
      <c r="BM157" s="309" t="s">
        <v>2034</v>
      </c>
      <c r="BN157" s="309" t="s">
        <v>2034</v>
      </c>
      <c r="BO157" s="309" t="s">
        <v>2034</v>
      </c>
      <c r="BP157" s="309" t="s">
        <v>2034</v>
      </c>
      <c r="BQ157" s="309" t="s">
        <v>2034</v>
      </c>
      <c r="BR157" s="309" t="s">
        <v>2034</v>
      </c>
      <c r="BS157" s="309" t="s">
        <v>2034</v>
      </c>
      <c r="BY157" s="309" t="s">
        <v>2372</v>
      </c>
      <c r="BZ157" s="309" t="s">
        <v>2372</v>
      </c>
      <c r="CA157" s="309" t="s">
        <v>2372</v>
      </c>
      <c r="CB157" s="309" t="s">
        <v>2036</v>
      </c>
      <c r="CC157" s="309" t="s">
        <v>2036</v>
      </c>
      <c r="CD157" s="309" t="s">
        <v>2036</v>
      </c>
      <c r="CE157" s="309" t="s">
        <v>2036</v>
      </c>
      <c r="CF157" s="309" t="s">
        <v>2036</v>
      </c>
      <c r="CG157" s="309" t="s">
        <v>2036</v>
      </c>
      <c r="CH157" s="309" t="s">
        <v>2036</v>
      </c>
      <c r="CI157" s="309" t="s">
        <v>2359</v>
      </c>
      <c r="CJ157" s="309" t="s">
        <v>2359</v>
      </c>
      <c r="CK157" s="309" t="s">
        <v>2359</v>
      </c>
      <c r="CL157" s="309" t="s">
        <v>2359</v>
      </c>
      <c r="CM157" s="309" t="s">
        <v>2359</v>
      </c>
      <c r="CN157" s="309" t="s">
        <v>2359</v>
      </c>
    </row>
    <row r="158" spans="1:92" x14ac:dyDescent="0.25">
      <c r="A158" s="373">
        <v>6</v>
      </c>
      <c r="B158" s="373">
        <v>15</v>
      </c>
      <c r="C158" s="373">
        <v>16</v>
      </c>
      <c r="D158" s="373" t="s">
        <v>2774</v>
      </c>
      <c r="E158" s="373" t="s">
        <v>2435</v>
      </c>
      <c r="F158" s="373" t="s">
        <v>2435</v>
      </c>
      <c r="G158" s="373" t="s">
        <v>2411</v>
      </c>
      <c r="H158" s="373" t="s">
        <v>2435</v>
      </c>
      <c r="I158" s="373">
        <v>0</v>
      </c>
      <c r="J158" s="373">
        <v>3</v>
      </c>
      <c r="K158" s="373">
        <v>0</v>
      </c>
      <c r="L158" s="373">
        <v>7</v>
      </c>
      <c r="M158" s="366">
        <v>226</v>
      </c>
      <c r="N158" s="398" t="s">
        <v>1085</v>
      </c>
      <c r="O158" s="374" t="s">
        <v>2777</v>
      </c>
      <c r="P158" s="374" t="s">
        <v>1497</v>
      </c>
      <c r="Q158" s="375" t="s">
        <v>1086</v>
      </c>
      <c r="R158" s="396">
        <v>202039</v>
      </c>
      <c r="S158" s="381" t="s">
        <v>1002</v>
      </c>
      <c r="T158" s="382">
        <v>53</v>
      </c>
      <c r="U158" s="379" t="s">
        <v>1087</v>
      </c>
      <c r="AH158" s="309" t="s">
        <v>2037</v>
      </c>
      <c r="AI158" s="309" t="s">
        <v>2037</v>
      </c>
      <c r="AJ158" s="309" t="s">
        <v>2037</v>
      </c>
      <c r="AK158" s="309" t="s">
        <v>2037</v>
      </c>
      <c r="AL158" s="309" t="s">
        <v>2037</v>
      </c>
      <c r="AM158" s="309" t="s">
        <v>2370</v>
      </c>
      <c r="AN158" s="309" t="s">
        <v>2370</v>
      </c>
      <c r="AS158" s="309" t="s">
        <v>2033</v>
      </c>
      <c r="AT158" s="309" t="s">
        <v>2033</v>
      </c>
      <c r="AU158" s="309" t="s">
        <v>2033</v>
      </c>
      <c r="AV158" s="309" t="s">
        <v>2033</v>
      </c>
      <c r="AW158" s="309" t="s">
        <v>2033</v>
      </c>
      <c r="AX158" s="309" t="s">
        <v>2033</v>
      </c>
      <c r="AY158" s="309" t="s">
        <v>2033</v>
      </c>
      <c r="AZ158" s="309" t="s">
        <v>2033</v>
      </c>
      <c r="BA158" s="309" t="s">
        <v>2033</v>
      </c>
      <c r="BB158" s="309" t="s">
        <v>2033</v>
      </c>
      <c r="BC158" s="309" t="s">
        <v>2033</v>
      </c>
      <c r="BD158" s="309" t="s">
        <v>2033</v>
      </c>
      <c r="BE158" s="309" t="s">
        <v>2033</v>
      </c>
      <c r="BF158" s="309" t="s">
        <v>2033</v>
      </c>
      <c r="BG158" s="309" t="s">
        <v>2033</v>
      </c>
      <c r="BH158" s="309" t="s">
        <v>2033</v>
      </c>
      <c r="BI158" s="309" t="s">
        <v>2034</v>
      </c>
      <c r="BJ158" s="309" t="s">
        <v>2034</v>
      </c>
      <c r="BK158" s="309" t="s">
        <v>2034</v>
      </c>
      <c r="BL158" s="309" t="s">
        <v>2034</v>
      </c>
      <c r="BM158" s="309" t="s">
        <v>2034</v>
      </c>
      <c r="BN158" s="309" t="s">
        <v>2034</v>
      </c>
      <c r="BO158" s="309" t="s">
        <v>2034</v>
      </c>
      <c r="BP158" s="309" t="s">
        <v>2034</v>
      </c>
      <c r="BQ158" s="309" t="s">
        <v>2034</v>
      </c>
      <c r="BR158" s="309" t="s">
        <v>2034</v>
      </c>
      <c r="BS158" s="309" t="s">
        <v>2034</v>
      </c>
      <c r="BT158" s="309" t="s">
        <v>2034</v>
      </c>
      <c r="BU158" s="309" t="s">
        <v>2034</v>
      </c>
      <c r="BV158" s="309" t="s">
        <v>2034</v>
      </c>
      <c r="BW158" s="309" t="s">
        <v>2034</v>
      </c>
      <c r="BY158" s="309" t="s">
        <v>2372</v>
      </c>
      <c r="BZ158" s="309" t="s">
        <v>2372</v>
      </c>
      <c r="CA158" s="309" t="s">
        <v>2372</v>
      </c>
      <c r="CB158" s="309" t="s">
        <v>2036</v>
      </c>
      <c r="CC158" s="309" t="s">
        <v>2036</v>
      </c>
      <c r="CD158" s="309" t="s">
        <v>2036</v>
      </c>
      <c r="CE158" s="309" t="s">
        <v>2036</v>
      </c>
      <c r="CF158" s="309" t="s">
        <v>2036</v>
      </c>
      <c r="CG158" s="309" t="s">
        <v>2036</v>
      </c>
      <c r="CH158" s="309" t="s">
        <v>2036</v>
      </c>
      <c r="CI158" s="309" t="s">
        <v>2359</v>
      </c>
      <c r="CJ158" s="309" t="s">
        <v>2359</v>
      </c>
      <c r="CK158" s="309" t="s">
        <v>2359</v>
      </c>
      <c r="CL158" s="309" t="s">
        <v>2359</v>
      </c>
      <c r="CM158" s="309" t="s">
        <v>2359</v>
      </c>
      <c r="CN158" s="309" t="s">
        <v>2359</v>
      </c>
    </row>
    <row r="159" spans="1:92" x14ac:dyDescent="0.25">
      <c r="A159" s="372">
        <v>5</v>
      </c>
      <c r="B159" s="372">
        <v>7</v>
      </c>
      <c r="C159" s="372">
        <v>12</v>
      </c>
      <c r="D159" s="372" t="s">
        <v>2410</v>
      </c>
      <c r="E159" s="372" t="s">
        <v>2435</v>
      </c>
      <c r="F159" s="372" t="s">
        <v>2435</v>
      </c>
      <c r="G159" s="372" t="s">
        <v>2435</v>
      </c>
      <c r="H159" s="372" t="s">
        <v>2435</v>
      </c>
      <c r="I159" s="372">
        <v>5</v>
      </c>
      <c r="J159" s="372">
        <v>0</v>
      </c>
      <c r="K159" s="372">
        <v>0</v>
      </c>
      <c r="L159" s="372">
        <v>0</v>
      </c>
      <c r="M159" s="359">
        <v>185</v>
      </c>
      <c r="N159" s="399" t="s">
        <v>1146</v>
      </c>
      <c r="O159" s="237" t="s">
        <v>2777</v>
      </c>
      <c r="P159" s="237"/>
      <c r="Q159" s="360" t="s">
        <v>2319</v>
      </c>
      <c r="R159" s="361">
        <v>203990</v>
      </c>
      <c r="S159" s="369" t="s">
        <v>1002</v>
      </c>
      <c r="T159" s="380">
        <v>63</v>
      </c>
      <c r="U159" s="364" t="s">
        <v>2320</v>
      </c>
      <c r="AH159" s="309" t="s">
        <v>2370</v>
      </c>
      <c r="AI159" s="309" t="s">
        <v>2370</v>
      </c>
      <c r="AJ159" s="309" t="s">
        <v>2370</v>
      </c>
      <c r="AK159" s="309" t="s">
        <v>2370</v>
      </c>
      <c r="AL159" s="309" t="s">
        <v>2370</v>
      </c>
      <c r="AS159" s="309" t="s">
        <v>2033</v>
      </c>
      <c r="AT159" s="309" t="s">
        <v>2033</v>
      </c>
      <c r="AU159" s="309" t="s">
        <v>2033</v>
      </c>
      <c r="AV159" s="309" t="s">
        <v>2033</v>
      </c>
      <c r="AW159" s="309" t="s">
        <v>2033</v>
      </c>
      <c r="AX159" s="309" t="s">
        <v>2033</v>
      </c>
      <c r="AY159" s="309" t="s">
        <v>2033</v>
      </c>
      <c r="AZ159" s="309" t="s">
        <v>2033</v>
      </c>
      <c r="BA159" s="309" t="s">
        <v>2033</v>
      </c>
      <c r="BB159" s="309" t="s">
        <v>2033</v>
      </c>
      <c r="BC159" s="309" t="s">
        <v>2033</v>
      </c>
      <c r="BD159" s="309" t="s">
        <v>2033</v>
      </c>
      <c r="BE159" s="309" t="s">
        <v>2034</v>
      </c>
      <c r="BF159" s="309" t="s">
        <v>2034</v>
      </c>
      <c r="BG159" s="309" t="s">
        <v>2034</v>
      </c>
      <c r="BH159" s="309" t="s">
        <v>2034</v>
      </c>
      <c r="BI159" s="309" t="s">
        <v>2034</v>
      </c>
      <c r="BJ159" s="309" t="s">
        <v>2034</v>
      </c>
      <c r="BK159" s="309" t="s">
        <v>2034</v>
      </c>
      <c r="BY159" s="309" t="s">
        <v>2361</v>
      </c>
      <c r="BZ159" s="309" t="s">
        <v>2361</v>
      </c>
      <c r="CA159" s="309" t="s">
        <v>2361</v>
      </c>
      <c r="CB159" s="309" t="s">
        <v>2361</v>
      </c>
      <c r="CC159" s="309" t="s">
        <v>2361</v>
      </c>
      <c r="CD159" s="309" t="s">
        <v>2359</v>
      </c>
      <c r="CE159" s="309" t="s">
        <v>2359</v>
      </c>
      <c r="CF159" s="309" t="s">
        <v>2359</v>
      </c>
      <c r="CG159" s="309" t="s">
        <v>2359</v>
      </c>
      <c r="CH159" s="309" t="s">
        <v>2359</v>
      </c>
    </row>
    <row r="160" spans="1:92" x14ac:dyDescent="0.25">
      <c r="A160" s="372">
        <v>6</v>
      </c>
      <c r="B160" s="372">
        <v>11</v>
      </c>
      <c r="C160" s="372">
        <v>16</v>
      </c>
      <c r="D160" s="372" t="s">
        <v>2374</v>
      </c>
      <c r="E160" s="372" t="s">
        <v>2435</v>
      </c>
      <c r="F160" s="372" t="s">
        <v>2435</v>
      </c>
      <c r="G160" s="372" t="s">
        <v>2412</v>
      </c>
      <c r="H160" s="372" t="s">
        <v>2435</v>
      </c>
      <c r="I160" s="372">
        <v>0</v>
      </c>
      <c r="J160" s="372">
        <v>3</v>
      </c>
      <c r="K160" s="372">
        <v>0</v>
      </c>
      <c r="L160" s="372">
        <v>7</v>
      </c>
      <c r="M160" s="359">
        <v>259</v>
      </c>
      <c r="N160" s="399" t="s">
        <v>1067</v>
      </c>
      <c r="O160" s="374" t="s">
        <v>2777</v>
      </c>
      <c r="P160" s="237" t="s">
        <v>1497</v>
      </c>
      <c r="Q160" s="360" t="s">
        <v>2295</v>
      </c>
      <c r="R160" s="361">
        <v>207049</v>
      </c>
      <c r="S160" s="369" t="s">
        <v>1002</v>
      </c>
      <c r="T160" s="380">
        <v>54</v>
      </c>
      <c r="U160" s="364" t="s">
        <v>2296</v>
      </c>
      <c r="AH160" s="309" t="s">
        <v>2037</v>
      </c>
      <c r="AI160" s="309" t="s">
        <v>2037</v>
      </c>
      <c r="AJ160" s="309" t="s">
        <v>2037</v>
      </c>
      <c r="AK160" s="309" t="s">
        <v>2037</v>
      </c>
      <c r="AL160" s="309" t="s">
        <v>2037</v>
      </c>
      <c r="AM160" s="309" t="s">
        <v>2370</v>
      </c>
      <c r="AS160" s="309" t="s">
        <v>2033</v>
      </c>
      <c r="AT160" s="309" t="s">
        <v>2033</v>
      </c>
      <c r="AU160" s="309" t="s">
        <v>2033</v>
      </c>
      <c r="AV160" s="309" t="s">
        <v>2033</v>
      </c>
      <c r="AW160" s="309" t="s">
        <v>2033</v>
      </c>
      <c r="AX160" s="309" t="s">
        <v>2033</v>
      </c>
      <c r="AY160" s="309" t="s">
        <v>2033</v>
      </c>
      <c r="AZ160" s="309" t="s">
        <v>2033</v>
      </c>
      <c r="BA160" s="309" t="s">
        <v>2033</v>
      </c>
      <c r="BB160" s="309" t="s">
        <v>2033</v>
      </c>
      <c r="BC160" s="309" t="s">
        <v>2033</v>
      </c>
      <c r="BD160" s="309" t="s">
        <v>2033</v>
      </c>
      <c r="BE160" s="309" t="s">
        <v>2033</v>
      </c>
      <c r="BF160" s="309" t="s">
        <v>2033</v>
      </c>
      <c r="BG160" s="309" t="s">
        <v>2033</v>
      </c>
      <c r="BH160" s="309" t="s">
        <v>2033</v>
      </c>
      <c r="BI160" s="309" t="s">
        <v>2034</v>
      </c>
      <c r="BJ160" s="309" t="s">
        <v>2034</v>
      </c>
      <c r="BK160" s="309" t="s">
        <v>2034</v>
      </c>
      <c r="BL160" s="309" t="s">
        <v>2034</v>
      </c>
      <c r="BM160" s="309" t="s">
        <v>2034</v>
      </c>
      <c r="BN160" s="309" t="s">
        <v>2034</v>
      </c>
      <c r="BO160" s="309" t="s">
        <v>2034</v>
      </c>
      <c r="BP160" s="309" t="s">
        <v>2034</v>
      </c>
      <c r="BQ160" s="309" t="s">
        <v>2034</v>
      </c>
      <c r="BR160" s="309" t="s">
        <v>2034</v>
      </c>
      <c r="BS160" s="309" t="s">
        <v>2034</v>
      </c>
      <c r="BY160" s="309" t="s">
        <v>2372</v>
      </c>
      <c r="BZ160" s="309" t="s">
        <v>2372</v>
      </c>
      <c r="CA160" s="309" t="s">
        <v>2372</v>
      </c>
      <c r="CB160" s="309" t="s">
        <v>2036</v>
      </c>
      <c r="CC160" s="309" t="s">
        <v>2036</v>
      </c>
      <c r="CD160" s="309" t="s">
        <v>2036</v>
      </c>
      <c r="CE160" s="309" t="s">
        <v>2036</v>
      </c>
      <c r="CF160" s="309" t="s">
        <v>2036</v>
      </c>
      <c r="CG160" s="309" t="s">
        <v>2036</v>
      </c>
      <c r="CH160" s="309" t="s">
        <v>2036</v>
      </c>
      <c r="CI160" s="309" t="s">
        <v>2359</v>
      </c>
      <c r="CJ160" s="309" t="s">
        <v>2359</v>
      </c>
      <c r="CK160" s="309" t="s">
        <v>2359</v>
      </c>
      <c r="CL160" s="309" t="s">
        <v>2359</v>
      </c>
      <c r="CM160" s="309" t="s">
        <v>2359</v>
      </c>
      <c r="CN160" s="309" t="s">
        <v>2359</v>
      </c>
    </row>
    <row r="161" spans="1:92" x14ac:dyDescent="0.25">
      <c r="A161" s="373">
        <v>6</v>
      </c>
      <c r="B161" s="373">
        <v>15</v>
      </c>
      <c r="C161" s="373">
        <v>16</v>
      </c>
      <c r="D161" s="373" t="s">
        <v>2775</v>
      </c>
      <c r="E161" s="373" t="s">
        <v>2435</v>
      </c>
      <c r="F161" s="373" t="s">
        <v>2435</v>
      </c>
      <c r="G161" s="373" t="s">
        <v>2411</v>
      </c>
      <c r="H161" s="373" t="s">
        <v>2435</v>
      </c>
      <c r="I161" s="373">
        <v>0</v>
      </c>
      <c r="J161" s="373">
        <v>3</v>
      </c>
      <c r="K161" s="373">
        <v>0</v>
      </c>
      <c r="L161" s="373">
        <v>5</v>
      </c>
      <c r="M161" s="366">
        <v>236</v>
      </c>
      <c r="N161" s="398" t="s">
        <v>1106</v>
      </c>
      <c r="O161" s="374" t="s">
        <v>2777</v>
      </c>
      <c r="P161" s="374" t="s">
        <v>1497</v>
      </c>
      <c r="Q161" s="375" t="s">
        <v>1107</v>
      </c>
      <c r="R161" s="396">
        <v>208116</v>
      </c>
      <c r="S161" s="381" t="s">
        <v>1002</v>
      </c>
      <c r="T161" s="382">
        <v>53</v>
      </c>
      <c r="U161" s="379" t="s">
        <v>1108</v>
      </c>
      <c r="AH161" s="309" t="s">
        <v>2037</v>
      </c>
      <c r="AI161" s="309" t="s">
        <v>2037</v>
      </c>
      <c r="AJ161" s="309" t="s">
        <v>2037</v>
      </c>
      <c r="AK161" s="309" t="s">
        <v>2037</v>
      </c>
      <c r="AL161" s="309" t="s">
        <v>2037</v>
      </c>
      <c r="AM161" s="309" t="s">
        <v>2370</v>
      </c>
      <c r="AN161" s="309" t="s">
        <v>2370</v>
      </c>
      <c r="AO161" s="309" t="s">
        <v>2370</v>
      </c>
      <c r="AS161" s="309" t="s">
        <v>2033</v>
      </c>
      <c r="AT161" s="309" t="s">
        <v>2033</v>
      </c>
      <c r="AU161" s="309" t="s">
        <v>2033</v>
      </c>
      <c r="AV161" s="309" t="s">
        <v>2033</v>
      </c>
      <c r="AW161" s="309" t="s">
        <v>2033</v>
      </c>
      <c r="AX161" s="309" t="s">
        <v>2033</v>
      </c>
      <c r="AY161" s="309" t="s">
        <v>2033</v>
      </c>
      <c r="AZ161" s="309" t="s">
        <v>2033</v>
      </c>
      <c r="BA161" s="309" t="s">
        <v>2033</v>
      </c>
      <c r="BB161" s="309" t="s">
        <v>2033</v>
      </c>
      <c r="BC161" s="309" t="s">
        <v>2033</v>
      </c>
      <c r="BD161" s="309" t="s">
        <v>2033</v>
      </c>
      <c r="BE161" s="309" t="s">
        <v>2033</v>
      </c>
      <c r="BF161" s="309" t="s">
        <v>2033</v>
      </c>
      <c r="BG161" s="309" t="s">
        <v>2033</v>
      </c>
      <c r="BH161" s="309" t="s">
        <v>2033</v>
      </c>
      <c r="BI161" s="309" t="s">
        <v>2034</v>
      </c>
      <c r="BJ161" s="309" t="s">
        <v>2034</v>
      </c>
      <c r="BK161" s="309" t="s">
        <v>2034</v>
      </c>
      <c r="BL161" s="309" t="s">
        <v>2034</v>
      </c>
      <c r="BM161" s="309" t="s">
        <v>2034</v>
      </c>
      <c r="BN161" s="309" t="s">
        <v>2034</v>
      </c>
      <c r="BO161" s="309" t="s">
        <v>2034</v>
      </c>
      <c r="BP161" s="309" t="s">
        <v>2034</v>
      </c>
      <c r="BQ161" s="309" t="s">
        <v>2034</v>
      </c>
      <c r="BR161" s="309" t="s">
        <v>2034</v>
      </c>
      <c r="BS161" s="309" t="s">
        <v>2034</v>
      </c>
      <c r="BT161" s="309" t="s">
        <v>2034</v>
      </c>
      <c r="BU161" s="309" t="s">
        <v>2034</v>
      </c>
      <c r="BV161" s="309" t="s">
        <v>2034</v>
      </c>
      <c r="BW161" s="309" t="s">
        <v>2034</v>
      </c>
      <c r="BY161" s="309" t="s">
        <v>2372</v>
      </c>
      <c r="BZ161" s="309" t="s">
        <v>2372</v>
      </c>
      <c r="CA161" s="309" t="s">
        <v>2372</v>
      </c>
      <c r="CB161" s="309" t="s">
        <v>2036</v>
      </c>
      <c r="CC161" s="309" t="s">
        <v>2036</v>
      </c>
      <c r="CD161" s="309" t="s">
        <v>2036</v>
      </c>
      <c r="CE161" s="309" t="s">
        <v>2036</v>
      </c>
      <c r="CF161" s="309" t="s">
        <v>2036</v>
      </c>
      <c r="CG161" s="309" t="s">
        <v>2359</v>
      </c>
      <c r="CH161" s="309" t="s">
        <v>2359</v>
      </c>
      <c r="CI161" s="309" t="s">
        <v>2359</v>
      </c>
      <c r="CJ161" s="309" t="s">
        <v>2359</v>
      </c>
      <c r="CK161" s="309" t="s">
        <v>2359</v>
      </c>
      <c r="CL161" s="309" t="s">
        <v>2359</v>
      </c>
    </row>
    <row r="162" spans="1:92" x14ac:dyDescent="0.25">
      <c r="A162" s="335">
        <v>6</v>
      </c>
      <c r="B162" s="335">
        <v>15</v>
      </c>
      <c r="C162" s="335">
        <v>16</v>
      </c>
      <c r="D162" s="335" t="s">
        <v>2688</v>
      </c>
      <c r="E162" s="336" t="s">
        <v>2435</v>
      </c>
      <c r="F162" s="336" t="s">
        <v>2435</v>
      </c>
      <c r="G162" s="336" t="s">
        <v>2435</v>
      </c>
      <c r="H162" s="336" t="s">
        <v>2435</v>
      </c>
      <c r="I162" s="335">
        <v>8</v>
      </c>
      <c r="J162" s="335">
        <v>0</v>
      </c>
      <c r="K162" s="335">
        <v>0</v>
      </c>
      <c r="L162" s="335">
        <v>0</v>
      </c>
      <c r="M162" s="337">
        <v>112</v>
      </c>
      <c r="N162" s="401" t="s">
        <v>2689</v>
      </c>
      <c r="O162" s="338" t="s">
        <v>1519</v>
      </c>
      <c r="P162" s="338" t="s">
        <v>1497</v>
      </c>
      <c r="Q162" s="339" t="s">
        <v>2327</v>
      </c>
      <c r="R162" s="340">
        <v>209682</v>
      </c>
      <c r="S162" s="341" t="s">
        <v>1002</v>
      </c>
      <c r="T162" s="342">
        <v>69</v>
      </c>
      <c r="U162" s="343" t="s">
        <v>2314</v>
      </c>
      <c r="V162" s="344"/>
      <c r="W162" s="344"/>
      <c r="X162" s="344"/>
      <c r="Y162" s="344"/>
      <c r="Z162" s="344"/>
      <c r="AA162" s="344"/>
      <c r="AB162" s="344"/>
      <c r="AC162" s="344"/>
      <c r="AD162" s="344"/>
      <c r="AE162" s="344"/>
      <c r="AF162" s="344"/>
      <c r="AG162" s="344"/>
      <c r="AH162" s="344" t="s">
        <v>2370</v>
      </c>
      <c r="AI162" s="344" t="s">
        <v>2370</v>
      </c>
      <c r="AJ162" s="344" t="s">
        <v>2370</v>
      </c>
      <c r="AK162" s="344" t="s">
        <v>2370</v>
      </c>
      <c r="AL162" s="344" t="s">
        <v>2370</v>
      </c>
      <c r="AM162" s="344" t="s">
        <v>2370</v>
      </c>
      <c r="AN162" s="344" t="s">
        <v>2370</v>
      </c>
      <c r="AO162" s="344"/>
      <c r="AP162" s="344"/>
      <c r="AQ162" s="344"/>
      <c r="AR162" s="344"/>
      <c r="AS162" s="344" t="s">
        <v>2033</v>
      </c>
      <c r="AT162" s="344" t="s">
        <v>2033</v>
      </c>
      <c r="AU162" s="344" t="s">
        <v>2033</v>
      </c>
      <c r="AV162" s="344" t="s">
        <v>2033</v>
      </c>
      <c r="AW162" s="344" t="s">
        <v>2033</v>
      </c>
      <c r="AX162" s="344" t="s">
        <v>2033</v>
      </c>
      <c r="AY162" s="344" t="s">
        <v>2033</v>
      </c>
      <c r="AZ162" s="344" t="s">
        <v>2033</v>
      </c>
      <c r="BA162" s="344" t="s">
        <v>2033</v>
      </c>
      <c r="BB162" s="344" t="s">
        <v>2033</v>
      </c>
      <c r="BC162" s="344" t="s">
        <v>2033</v>
      </c>
      <c r="BD162" s="344" t="s">
        <v>2033</v>
      </c>
      <c r="BE162" s="344" t="s">
        <v>2033</v>
      </c>
      <c r="BF162" s="344" t="s">
        <v>2033</v>
      </c>
      <c r="BG162" s="344" t="s">
        <v>2033</v>
      </c>
      <c r="BH162" s="344" t="s">
        <v>2033</v>
      </c>
      <c r="BI162" s="344" t="s">
        <v>2034</v>
      </c>
      <c r="BJ162" s="344" t="s">
        <v>2034</v>
      </c>
      <c r="BK162" s="344" t="s">
        <v>2034</v>
      </c>
      <c r="BL162" s="344" t="s">
        <v>2034</v>
      </c>
      <c r="BM162" s="344" t="s">
        <v>2034</v>
      </c>
      <c r="BN162" s="344" t="s">
        <v>2034</v>
      </c>
      <c r="BO162" s="344" t="s">
        <v>2034</v>
      </c>
      <c r="BP162" s="344" t="s">
        <v>2034</v>
      </c>
      <c r="BQ162" s="344" t="s">
        <v>2034</v>
      </c>
      <c r="BR162" s="344" t="s">
        <v>2034</v>
      </c>
      <c r="BS162" s="344" t="s">
        <v>2034</v>
      </c>
      <c r="BT162" s="344" t="s">
        <v>2034</v>
      </c>
      <c r="BU162" s="344" t="s">
        <v>2034</v>
      </c>
      <c r="BV162" s="344" t="s">
        <v>2034</v>
      </c>
      <c r="BW162" s="344" t="s">
        <v>2034</v>
      </c>
      <c r="BX162" s="344"/>
      <c r="BY162" s="344" t="s">
        <v>2361</v>
      </c>
      <c r="BZ162" s="344" t="s">
        <v>2361</v>
      </c>
      <c r="CA162" s="344" t="s">
        <v>2361</v>
      </c>
      <c r="CB162" s="344" t="s">
        <v>2361</v>
      </c>
      <c r="CC162" s="344" t="s">
        <v>2361</v>
      </c>
      <c r="CD162" s="344" t="s">
        <v>2361</v>
      </c>
      <c r="CE162" s="344" t="s">
        <v>2361</v>
      </c>
      <c r="CF162" s="344" t="s">
        <v>2361</v>
      </c>
      <c r="CG162" s="344" t="s">
        <v>2359</v>
      </c>
      <c r="CH162" s="344" t="s">
        <v>2359</v>
      </c>
      <c r="CI162" s="344" t="s">
        <v>2359</v>
      </c>
      <c r="CJ162" s="344" t="s">
        <v>2359</v>
      </c>
      <c r="CK162" s="344" t="s">
        <v>2359</v>
      </c>
      <c r="CL162" s="344" t="s">
        <v>2359</v>
      </c>
      <c r="CM162" s="344"/>
      <c r="CN162" s="344"/>
    </row>
    <row r="163" spans="1:92" x14ac:dyDescent="0.25">
      <c r="A163" s="373">
        <v>6</v>
      </c>
      <c r="B163" s="373">
        <v>15</v>
      </c>
      <c r="C163" s="373">
        <v>16</v>
      </c>
      <c r="D163" s="373" t="s">
        <v>2774</v>
      </c>
      <c r="E163" s="373" t="s">
        <v>2435</v>
      </c>
      <c r="F163" s="373" t="s">
        <v>2435</v>
      </c>
      <c r="G163" s="373" t="s">
        <v>2412</v>
      </c>
      <c r="H163" s="373" t="s">
        <v>2435</v>
      </c>
      <c r="I163" s="373">
        <v>0</v>
      </c>
      <c r="J163" s="373">
        <v>3</v>
      </c>
      <c r="K163" s="373">
        <v>0</v>
      </c>
      <c r="L163" s="373">
        <v>7</v>
      </c>
      <c r="M163" s="366">
        <v>276</v>
      </c>
      <c r="N163" s="398" t="s">
        <v>1088</v>
      </c>
      <c r="O163" s="374" t="s">
        <v>2777</v>
      </c>
      <c r="P163" s="374" t="s">
        <v>1497</v>
      </c>
      <c r="Q163" s="375" t="s">
        <v>1089</v>
      </c>
      <c r="R163" s="396">
        <v>209753</v>
      </c>
      <c r="S163" s="381" t="s">
        <v>1002</v>
      </c>
      <c r="T163" s="382">
        <v>54</v>
      </c>
      <c r="U163" s="379" t="s">
        <v>1090</v>
      </c>
      <c r="AH163" s="309" t="s">
        <v>2037</v>
      </c>
      <c r="AI163" s="309" t="s">
        <v>2037</v>
      </c>
      <c r="AJ163" s="309" t="s">
        <v>2037</v>
      </c>
      <c r="AK163" s="309" t="s">
        <v>2037</v>
      </c>
      <c r="AL163" s="309" t="s">
        <v>2037</v>
      </c>
      <c r="AM163" s="309" t="s">
        <v>2370</v>
      </c>
      <c r="AN163" s="309" t="s">
        <v>2370</v>
      </c>
      <c r="AS163" s="309" t="s">
        <v>2033</v>
      </c>
      <c r="AT163" s="309" t="s">
        <v>2033</v>
      </c>
      <c r="AU163" s="309" t="s">
        <v>2033</v>
      </c>
      <c r="AV163" s="309" t="s">
        <v>2033</v>
      </c>
      <c r="AW163" s="309" t="s">
        <v>2033</v>
      </c>
      <c r="AX163" s="309" t="s">
        <v>2033</v>
      </c>
      <c r="AY163" s="309" t="s">
        <v>2033</v>
      </c>
      <c r="AZ163" s="309" t="s">
        <v>2033</v>
      </c>
      <c r="BA163" s="309" t="s">
        <v>2033</v>
      </c>
      <c r="BB163" s="309" t="s">
        <v>2033</v>
      </c>
      <c r="BC163" s="309" t="s">
        <v>2033</v>
      </c>
      <c r="BD163" s="309" t="s">
        <v>2033</v>
      </c>
      <c r="BE163" s="309" t="s">
        <v>2033</v>
      </c>
      <c r="BF163" s="309" t="s">
        <v>2033</v>
      </c>
      <c r="BG163" s="309" t="s">
        <v>2033</v>
      </c>
      <c r="BH163" s="309" t="s">
        <v>2033</v>
      </c>
      <c r="BI163" s="309" t="s">
        <v>2034</v>
      </c>
      <c r="BJ163" s="309" t="s">
        <v>2034</v>
      </c>
      <c r="BK163" s="309" t="s">
        <v>2034</v>
      </c>
      <c r="BL163" s="309" t="s">
        <v>2034</v>
      </c>
      <c r="BM163" s="309" t="s">
        <v>2034</v>
      </c>
      <c r="BN163" s="309" t="s">
        <v>2034</v>
      </c>
      <c r="BO163" s="309" t="s">
        <v>2034</v>
      </c>
      <c r="BP163" s="309" t="s">
        <v>2034</v>
      </c>
      <c r="BQ163" s="309" t="s">
        <v>2034</v>
      </c>
      <c r="BR163" s="309" t="s">
        <v>2034</v>
      </c>
      <c r="BS163" s="309" t="s">
        <v>2034</v>
      </c>
      <c r="BT163" s="309" t="s">
        <v>2034</v>
      </c>
      <c r="BU163" s="309" t="s">
        <v>2034</v>
      </c>
      <c r="BV163" s="309" t="s">
        <v>2034</v>
      </c>
      <c r="BW163" s="309" t="s">
        <v>2034</v>
      </c>
      <c r="BY163" s="309" t="s">
        <v>2372</v>
      </c>
      <c r="BZ163" s="309" t="s">
        <v>2372</v>
      </c>
      <c r="CA163" s="309" t="s">
        <v>2372</v>
      </c>
      <c r="CB163" s="309" t="s">
        <v>2036</v>
      </c>
      <c r="CC163" s="309" t="s">
        <v>2036</v>
      </c>
      <c r="CD163" s="309" t="s">
        <v>2036</v>
      </c>
      <c r="CE163" s="309" t="s">
        <v>2036</v>
      </c>
      <c r="CF163" s="309" t="s">
        <v>2036</v>
      </c>
      <c r="CG163" s="309" t="s">
        <v>2036</v>
      </c>
      <c r="CH163" s="309" t="s">
        <v>2036</v>
      </c>
      <c r="CI163" s="309" t="s">
        <v>2359</v>
      </c>
      <c r="CJ163" s="309" t="s">
        <v>2359</v>
      </c>
      <c r="CK163" s="309" t="s">
        <v>2359</v>
      </c>
      <c r="CL163" s="309" t="s">
        <v>2359</v>
      </c>
      <c r="CM163" s="309" t="s">
        <v>2359</v>
      </c>
      <c r="CN163" s="309" t="s">
        <v>2359</v>
      </c>
    </row>
    <row r="164" spans="1:92" x14ac:dyDescent="0.25">
      <c r="A164" s="372">
        <v>6</v>
      </c>
      <c r="B164" s="372">
        <v>11</v>
      </c>
      <c r="C164" s="372">
        <v>16</v>
      </c>
      <c r="D164" s="372" t="s">
        <v>2374</v>
      </c>
      <c r="E164" s="372" t="s">
        <v>2435</v>
      </c>
      <c r="F164" s="372" t="s">
        <v>2435</v>
      </c>
      <c r="G164" s="372" t="s">
        <v>2413</v>
      </c>
      <c r="H164" s="372" t="s">
        <v>2435</v>
      </c>
      <c r="I164" s="372">
        <v>0</v>
      </c>
      <c r="J164" s="372">
        <v>3</v>
      </c>
      <c r="K164" s="372">
        <v>0</v>
      </c>
      <c r="L164" s="372">
        <v>7</v>
      </c>
      <c r="M164" s="359">
        <v>324</v>
      </c>
      <c r="N164" s="399" t="s">
        <v>1070</v>
      </c>
      <c r="O164" s="374" t="s">
        <v>2777</v>
      </c>
      <c r="P164" s="237" t="s">
        <v>1497</v>
      </c>
      <c r="Q164" s="360" t="s">
        <v>2297</v>
      </c>
      <c r="R164" s="361">
        <v>212613</v>
      </c>
      <c r="S164" s="369" t="s">
        <v>1002</v>
      </c>
      <c r="T164" s="380">
        <v>55</v>
      </c>
      <c r="U164" s="364" t="s">
        <v>2298</v>
      </c>
      <c r="AH164" s="309" t="s">
        <v>2037</v>
      </c>
      <c r="AI164" s="309" t="s">
        <v>2037</v>
      </c>
      <c r="AJ164" s="309" t="s">
        <v>2037</v>
      </c>
      <c r="AK164" s="309" t="s">
        <v>2037</v>
      </c>
      <c r="AL164" s="309" t="s">
        <v>2037</v>
      </c>
      <c r="AM164" s="309" t="s">
        <v>2370</v>
      </c>
      <c r="AS164" s="309" t="s">
        <v>2033</v>
      </c>
      <c r="AT164" s="309" t="s">
        <v>2033</v>
      </c>
      <c r="AU164" s="309" t="s">
        <v>2033</v>
      </c>
      <c r="AV164" s="309" t="s">
        <v>2033</v>
      </c>
      <c r="AW164" s="309" t="s">
        <v>2033</v>
      </c>
      <c r="AX164" s="309" t="s">
        <v>2033</v>
      </c>
      <c r="AY164" s="309" t="s">
        <v>2033</v>
      </c>
      <c r="AZ164" s="309" t="s">
        <v>2033</v>
      </c>
      <c r="BA164" s="309" t="s">
        <v>2033</v>
      </c>
      <c r="BB164" s="309" t="s">
        <v>2033</v>
      </c>
      <c r="BC164" s="309" t="s">
        <v>2033</v>
      </c>
      <c r="BD164" s="309" t="s">
        <v>2033</v>
      </c>
      <c r="BE164" s="309" t="s">
        <v>2033</v>
      </c>
      <c r="BF164" s="309" t="s">
        <v>2033</v>
      </c>
      <c r="BG164" s="309" t="s">
        <v>2033</v>
      </c>
      <c r="BH164" s="309" t="s">
        <v>2033</v>
      </c>
      <c r="BI164" s="309" t="s">
        <v>2034</v>
      </c>
      <c r="BJ164" s="309" t="s">
        <v>2034</v>
      </c>
      <c r="BK164" s="309" t="s">
        <v>2034</v>
      </c>
      <c r="BL164" s="309" t="s">
        <v>2034</v>
      </c>
      <c r="BM164" s="309" t="s">
        <v>2034</v>
      </c>
      <c r="BN164" s="309" t="s">
        <v>2034</v>
      </c>
      <c r="BO164" s="309" t="s">
        <v>2034</v>
      </c>
      <c r="BP164" s="309" t="s">
        <v>2034</v>
      </c>
      <c r="BQ164" s="309" t="s">
        <v>2034</v>
      </c>
      <c r="BR164" s="309" t="s">
        <v>2034</v>
      </c>
      <c r="BS164" s="309" t="s">
        <v>2034</v>
      </c>
      <c r="BY164" s="309" t="s">
        <v>2372</v>
      </c>
      <c r="BZ164" s="309" t="s">
        <v>2372</v>
      </c>
      <c r="CA164" s="309" t="s">
        <v>2372</v>
      </c>
      <c r="CB164" s="309" t="s">
        <v>2036</v>
      </c>
      <c r="CC164" s="309" t="s">
        <v>2036</v>
      </c>
      <c r="CD164" s="309" t="s">
        <v>2036</v>
      </c>
      <c r="CE164" s="309" t="s">
        <v>2036</v>
      </c>
      <c r="CF164" s="309" t="s">
        <v>2036</v>
      </c>
      <c r="CG164" s="309" t="s">
        <v>2036</v>
      </c>
      <c r="CH164" s="309" t="s">
        <v>2036</v>
      </c>
      <c r="CI164" s="309" t="s">
        <v>2359</v>
      </c>
      <c r="CJ164" s="309" t="s">
        <v>2359</v>
      </c>
      <c r="CK164" s="309" t="s">
        <v>2359</v>
      </c>
      <c r="CL164" s="309" t="s">
        <v>2359</v>
      </c>
      <c r="CM164" s="309" t="s">
        <v>2359</v>
      </c>
      <c r="CN164" s="309" t="s">
        <v>2359</v>
      </c>
    </row>
    <row r="165" spans="1:92" x14ac:dyDescent="0.25">
      <c r="A165" s="372">
        <v>6</v>
      </c>
      <c r="B165" s="372">
        <v>15</v>
      </c>
      <c r="C165" s="372">
        <v>16</v>
      </c>
      <c r="D165" s="372" t="s">
        <v>2415</v>
      </c>
      <c r="E165" s="372" t="s">
        <v>2435</v>
      </c>
      <c r="F165" s="372" t="s">
        <v>2435</v>
      </c>
      <c r="G165" s="372" t="s">
        <v>2435</v>
      </c>
      <c r="H165" s="372" t="s">
        <v>2435</v>
      </c>
      <c r="I165" s="372">
        <v>8</v>
      </c>
      <c r="J165" s="372">
        <v>0</v>
      </c>
      <c r="K165" s="372">
        <v>0</v>
      </c>
      <c r="L165" s="372">
        <v>0</v>
      </c>
      <c r="M165" s="359">
        <v>148</v>
      </c>
      <c r="N165" s="399" t="s">
        <v>1161</v>
      </c>
      <c r="O165" s="237" t="s">
        <v>2777</v>
      </c>
      <c r="P165" s="237" t="s">
        <v>1497</v>
      </c>
      <c r="Q165" s="360" t="s">
        <v>2328</v>
      </c>
      <c r="R165" s="361">
        <v>214810</v>
      </c>
      <c r="S165" s="369" t="s">
        <v>1163</v>
      </c>
      <c r="T165" s="380">
        <v>75</v>
      </c>
      <c r="U165" s="364" t="s">
        <v>2329</v>
      </c>
      <c r="AH165" s="309" t="s">
        <v>2370</v>
      </c>
      <c r="AI165" s="309" t="s">
        <v>2370</v>
      </c>
      <c r="AJ165" s="309" t="s">
        <v>2370</v>
      </c>
      <c r="AK165" s="309" t="s">
        <v>2370</v>
      </c>
      <c r="AL165" s="309" t="s">
        <v>2370</v>
      </c>
      <c r="AM165" s="309" t="s">
        <v>2370</v>
      </c>
      <c r="AS165" s="309" t="s">
        <v>2033</v>
      </c>
      <c r="AT165" s="309" t="s">
        <v>2033</v>
      </c>
      <c r="AU165" s="309" t="s">
        <v>2033</v>
      </c>
      <c r="AV165" s="309" t="s">
        <v>2033</v>
      </c>
      <c r="AW165" s="309" t="s">
        <v>2033</v>
      </c>
      <c r="AX165" s="309" t="s">
        <v>2033</v>
      </c>
      <c r="AY165" s="309" t="s">
        <v>2033</v>
      </c>
      <c r="AZ165" s="309" t="s">
        <v>2033</v>
      </c>
      <c r="BA165" s="309" t="s">
        <v>2033</v>
      </c>
      <c r="BB165" s="309" t="s">
        <v>2033</v>
      </c>
      <c r="BC165" s="309" t="s">
        <v>2033</v>
      </c>
      <c r="BD165" s="309" t="s">
        <v>2033</v>
      </c>
      <c r="BE165" s="309" t="s">
        <v>2033</v>
      </c>
      <c r="BF165" s="309" t="s">
        <v>2033</v>
      </c>
      <c r="BG165" s="309" t="s">
        <v>2033</v>
      </c>
      <c r="BH165" s="309" t="s">
        <v>2033</v>
      </c>
      <c r="BI165" s="309" t="s">
        <v>2034</v>
      </c>
      <c r="BJ165" s="309" t="s">
        <v>2034</v>
      </c>
      <c r="BK165" s="309" t="s">
        <v>2034</v>
      </c>
      <c r="BL165" s="309" t="s">
        <v>2034</v>
      </c>
      <c r="BM165" s="309" t="s">
        <v>2034</v>
      </c>
      <c r="BN165" s="309" t="s">
        <v>2034</v>
      </c>
      <c r="BO165" s="309" t="s">
        <v>2034</v>
      </c>
      <c r="BP165" s="309" t="s">
        <v>2034</v>
      </c>
      <c r="BQ165" s="309" t="s">
        <v>2034</v>
      </c>
      <c r="BR165" s="309" t="s">
        <v>2034</v>
      </c>
      <c r="BS165" s="309" t="s">
        <v>2034</v>
      </c>
      <c r="BT165" s="309" t="s">
        <v>2034</v>
      </c>
      <c r="BU165" s="309" t="s">
        <v>2034</v>
      </c>
      <c r="BV165" s="309" t="s">
        <v>2034</v>
      </c>
      <c r="BW165" s="309" t="s">
        <v>2034</v>
      </c>
      <c r="BY165" s="309" t="s">
        <v>2361</v>
      </c>
      <c r="BZ165" s="309" t="s">
        <v>2361</v>
      </c>
      <c r="CA165" s="309" t="s">
        <v>2361</v>
      </c>
      <c r="CB165" s="309" t="s">
        <v>2361</v>
      </c>
      <c r="CC165" s="309" t="s">
        <v>2361</v>
      </c>
      <c r="CD165" s="309" t="s">
        <v>2361</v>
      </c>
      <c r="CE165" s="309" t="s">
        <v>2361</v>
      </c>
      <c r="CF165" s="309" t="s">
        <v>2361</v>
      </c>
      <c r="CG165" s="309" t="s">
        <v>2359</v>
      </c>
      <c r="CH165" s="309" t="s">
        <v>2359</v>
      </c>
      <c r="CI165" s="309" t="s">
        <v>2359</v>
      </c>
      <c r="CJ165" s="309" t="s">
        <v>2359</v>
      </c>
      <c r="CK165" s="309" t="s">
        <v>2359</v>
      </c>
      <c r="CL165" s="309" t="s">
        <v>2359</v>
      </c>
    </row>
    <row r="166" spans="1:92" x14ac:dyDescent="0.25">
      <c r="A166" s="373">
        <v>6</v>
      </c>
      <c r="B166" s="373">
        <v>15</v>
      </c>
      <c r="C166" s="373">
        <v>16</v>
      </c>
      <c r="D166" s="373" t="s">
        <v>2774</v>
      </c>
      <c r="E166" s="373" t="s">
        <v>2435</v>
      </c>
      <c r="F166" s="373" t="s">
        <v>2435</v>
      </c>
      <c r="G166" s="373" t="s">
        <v>2413</v>
      </c>
      <c r="H166" s="373" t="s">
        <v>2435</v>
      </c>
      <c r="I166" s="373">
        <v>0</v>
      </c>
      <c r="J166" s="373">
        <v>3</v>
      </c>
      <c r="K166" s="373">
        <v>0</v>
      </c>
      <c r="L166" s="373">
        <v>7</v>
      </c>
      <c r="M166" s="366">
        <v>341</v>
      </c>
      <c r="N166" s="398" t="s">
        <v>1091</v>
      </c>
      <c r="O166" s="374" t="s">
        <v>2777</v>
      </c>
      <c r="P166" s="374" t="s">
        <v>1497</v>
      </c>
      <c r="Q166" s="375" t="s">
        <v>1092</v>
      </c>
      <c r="R166" s="396">
        <v>215483</v>
      </c>
      <c r="S166" s="381" t="s">
        <v>1002</v>
      </c>
      <c r="T166" s="382">
        <v>55</v>
      </c>
      <c r="U166" s="379" t="s">
        <v>1093</v>
      </c>
      <c r="AH166" s="309" t="s">
        <v>2037</v>
      </c>
      <c r="AI166" s="309" t="s">
        <v>2037</v>
      </c>
      <c r="AJ166" s="309" t="s">
        <v>2037</v>
      </c>
      <c r="AK166" s="309" t="s">
        <v>2037</v>
      </c>
      <c r="AL166" s="309" t="s">
        <v>2037</v>
      </c>
      <c r="AM166" s="309" t="s">
        <v>2370</v>
      </c>
      <c r="AN166" s="309" t="s">
        <v>2370</v>
      </c>
      <c r="AS166" s="309" t="s">
        <v>2033</v>
      </c>
      <c r="AT166" s="309" t="s">
        <v>2033</v>
      </c>
      <c r="AU166" s="309" t="s">
        <v>2033</v>
      </c>
      <c r="AV166" s="309" t="s">
        <v>2033</v>
      </c>
      <c r="AW166" s="309" t="s">
        <v>2033</v>
      </c>
      <c r="AX166" s="309" t="s">
        <v>2033</v>
      </c>
      <c r="AY166" s="309" t="s">
        <v>2033</v>
      </c>
      <c r="AZ166" s="309" t="s">
        <v>2033</v>
      </c>
      <c r="BA166" s="309" t="s">
        <v>2033</v>
      </c>
      <c r="BB166" s="309" t="s">
        <v>2033</v>
      </c>
      <c r="BC166" s="309" t="s">
        <v>2033</v>
      </c>
      <c r="BD166" s="309" t="s">
        <v>2033</v>
      </c>
      <c r="BE166" s="309" t="s">
        <v>2033</v>
      </c>
      <c r="BF166" s="309" t="s">
        <v>2033</v>
      </c>
      <c r="BG166" s="309" t="s">
        <v>2033</v>
      </c>
      <c r="BH166" s="309" t="s">
        <v>2033</v>
      </c>
      <c r="BI166" s="309" t="s">
        <v>2034</v>
      </c>
      <c r="BJ166" s="309" t="s">
        <v>2034</v>
      </c>
      <c r="BK166" s="309" t="s">
        <v>2034</v>
      </c>
      <c r="BL166" s="309" t="s">
        <v>2034</v>
      </c>
      <c r="BM166" s="309" t="s">
        <v>2034</v>
      </c>
      <c r="BN166" s="309" t="s">
        <v>2034</v>
      </c>
      <c r="BO166" s="309" t="s">
        <v>2034</v>
      </c>
      <c r="BP166" s="309" t="s">
        <v>2034</v>
      </c>
      <c r="BQ166" s="309" t="s">
        <v>2034</v>
      </c>
      <c r="BR166" s="309" t="s">
        <v>2034</v>
      </c>
      <c r="BS166" s="309" t="s">
        <v>2034</v>
      </c>
      <c r="BT166" s="309" t="s">
        <v>2034</v>
      </c>
      <c r="BU166" s="309" t="s">
        <v>2034</v>
      </c>
      <c r="BV166" s="309" t="s">
        <v>2034</v>
      </c>
      <c r="BW166" s="309" t="s">
        <v>2034</v>
      </c>
      <c r="BY166" s="309" t="s">
        <v>2372</v>
      </c>
      <c r="BZ166" s="309" t="s">
        <v>2372</v>
      </c>
      <c r="CA166" s="309" t="s">
        <v>2372</v>
      </c>
      <c r="CB166" s="309" t="s">
        <v>2036</v>
      </c>
      <c r="CC166" s="309" t="s">
        <v>2036</v>
      </c>
      <c r="CD166" s="309" t="s">
        <v>2036</v>
      </c>
      <c r="CE166" s="309" t="s">
        <v>2036</v>
      </c>
      <c r="CF166" s="309" t="s">
        <v>2036</v>
      </c>
      <c r="CG166" s="309" t="s">
        <v>2036</v>
      </c>
      <c r="CH166" s="309" t="s">
        <v>2036</v>
      </c>
      <c r="CI166" s="309" t="s">
        <v>2359</v>
      </c>
      <c r="CJ166" s="309" t="s">
        <v>2359</v>
      </c>
      <c r="CK166" s="309" t="s">
        <v>2359</v>
      </c>
      <c r="CL166" s="309" t="s">
        <v>2359</v>
      </c>
      <c r="CM166" s="309" t="s">
        <v>2359</v>
      </c>
      <c r="CN166" s="309" t="s">
        <v>2359</v>
      </c>
    </row>
    <row r="167" spans="1:92" x14ac:dyDescent="0.25">
      <c r="A167" s="373">
        <v>6</v>
      </c>
      <c r="B167" s="373">
        <v>15</v>
      </c>
      <c r="C167" s="373">
        <v>16</v>
      </c>
      <c r="D167" s="373" t="s">
        <v>2775</v>
      </c>
      <c r="E167" s="373" t="s">
        <v>2435</v>
      </c>
      <c r="F167" s="373" t="s">
        <v>2435</v>
      </c>
      <c r="G167" s="373" t="s">
        <v>2412</v>
      </c>
      <c r="H167" s="373" t="s">
        <v>2435</v>
      </c>
      <c r="I167" s="373">
        <v>0</v>
      </c>
      <c r="J167" s="373">
        <v>3</v>
      </c>
      <c r="K167" s="373">
        <v>0</v>
      </c>
      <c r="L167" s="373">
        <v>5</v>
      </c>
      <c r="M167" s="366">
        <v>281</v>
      </c>
      <c r="N167" s="398" t="s">
        <v>1109</v>
      </c>
      <c r="O167" s="374" t="s">
        <v>2777</v>
      </c>
      <c r="P167" s="374" t="s">
        <v>1497</v>
      </c>
      <c r="Q167" s="375" t="s">
        <v>1110</v>
      </c>
      <c r="R167" s="396">
        <v>215830</v>
      </c>
      <c r="S167" s="381" t="s">
        <v>1002</v>
      </c>
      <c r="T167" s="382">
        <v>54</v>
      </c>
      <c r="U167" s="379" t="s">
        <v>1111</v>
      </c>
      <c r="AH167" s="309" t="s">
        <v>2037</v>
      </c>
      <c r="AI167" s="309" t="s">
        <v>2037</v>
      </c>
      <c r="AJ167" s="309" t="s">
        <v>2037</v>
      </c>
      <c r="AK167" s="309" t="s">
        <v>2037</v>
      </c>
      <c r="AL167" s="309" t="s">
        <v>2037</v>
      </c>
      <c r="AM167" s="309" t="s">
        <v>2370</v>
      </c>
      <c r="AN167" s="309" t="s">
        <v>2370</v>
      </c>
      <c r="AO167" s="309" t="s">
        <v>2370</v>
      </c>
      <c r="AS167" s="309" t="s">
        <v>2033</v>
      </c>
      <c r="AT167" s="309" t="s">
        <v>2033</v>
      </c>
      <c r="AU167" s="309" t="s">
        <v>2033</v>
      </c>
      <c r="AV167" s="309" t="s">
        <v>2033</v>
      </c>
      <c r="AW167" s="309" t="s">
        <v>2033</v>
      </c>
      <c r="AX167" s="309" t="s">
        <v>2033</v>
      </c>
      <c r="AY167" s="309" t="s">
        <v>2033</v>
      </c>
      <c r="AZ167" s="309" t="s">
        <v>2033</v>
      </c>
      <c r="BA167" s="309" t="s">
        <v>2033</v>
      </c>
      <c r="BB167" s="309" t="s">
        <v>2033</v>
      </c>
      <c r="BC167" s="309" t="s">
        <v>2033</v>
      </c>
      <c r="BD167" s="309" t="s">
        <v>2033</v>
      </c>
      <c r="BE167" s="309" t="s">
        <v>2033</v>
      </c>
      <c r="BF167" s="309" t="s">
        <v>2033</v>
      </c>
      <c r="BG167" s="309" t="s">
        <v>2033</v>
      </c>
      <c r="BH167" s="309" t="s">
        <v>2033</v>
      </c>
      <c r="BI167" s="309" t="s">
        <v>2034</v>
      </c>
      <c r="BJ167" s="309" t="s">
        <v>2034</v>
      </c>
      <c r="BK167" s="309" t="s">
        <v>2034</v>
      </c>
      <c r="BL167" s="309" t="s">
        <v>2034</v>
      </c>
      <c r="BM167" s="309" t="s">
        <v>2034</v>
      </c>
      <c r="BN167" s="309" t="s">
        <v>2034</v>
      </c>
      <c r="BO167" s="309" t="s">
        <v>2034</v>
      </c>
      <c r="BP167" s="309" t="s">
        <v>2034</v>
      </c>
      <c r="BQ167" s="309" t="s">
        <v>2034</v>
      </c>
      <c r="BR167" s="309" t="s">
        <v>2034</v>
      </c>
      <c r="BS167" s="309" t="s">
        <v>2034</v>
      </c>
      <c r="BT167" s="309" t="s">
        <v>2034</v>
      </c>
      <c r="BU167" s="309" t="s">
        <v>2034</v>
      </c>
      <c r="BV167" s="309" t="s">
        <v>2034</v>
      </c>
      <c r="BW167" s="309" t="s">
        <v>2034</v>
      </c>
      <c r="BY167" s="309" t="s">
        <v>2372</v>
      </c>
      <c r="BZ167" s="309" t="s">
        <v>2372</v>
      </c>
      <c r="CA167" s="309" t="s">
        <v>2372</v>
      </c>
      <c r="CB167" s="309" t="s">
        <v>2036</v>
      </c>
      <c r="CC167" s="309" t="s">
        <v>2036</v>
      </c>
      <c r="CD167" s="309" t="s">
        <v>2036</v>
      </c>
      <c r="CE167" s="309" t="s">
        <v>2036</v>
      </c>
      <c r="CF167" s="309" t="s">
        <v>2036</v>
      </c>
      <c r="CG167" s="309" t="s">
        <v>2359</v>
      </c>
      <c r="CH167" s="309" t="s">
        <v>2359</v>
      </c>
      <c r="CI167" s="309" t="s">
        <v>2359</v>
      </c>
      <c r="CJ167" s="309" t="s">
        <v>2359</v>
      </c>
      <c r="CK167" s="309" t="s">
        <v>2359</v>
      </c>
      <c r="CL167" s="309" t="s">
        <v>2359</v>
      </c>
    </row>
    <row r="168" spans="1:92" x14ac:dyDescent="0.25">
      <c r="A168" s="373">
        <v>6</v>
      </c>
      <c r="B168" s="373">
        <v>15</v>
      </c>
      <c r="C168" s="373">
        <v>16</v>
      </c>
      <c r="D168" s="373" t="s">
        <v>2775</v>
      </c>
      <c r="E168" s="373" t="s">
        <v>2435</v>
      </c>
      <c r="F168" s="373" t="s">
        <v>2435</v>
      </c>
      <c r="G168" s="373" t="s">
        <v>2413</v>
      </c>
      <c r="H168" s="373" t="s">
        <v>2435</v>
      </c>
      <c r="I168" s="373">
        <v>0</v>
      </c>
      <c r="J168" s="373">
        <v>3</v>
      </c>
      <c r="K168" s="373">
        <v>0</v>
      </c>
      <c r="L168" s="373">
        <v>5</v>
      </c>
      <c r="M168" s="366">
        <v>351</v>
      </c>
      <c r="N168" s="398" t="s">
        <v>1112</v>
      </c>
      <c r="O168" s="374" t="s">
        <v>2777</v>
      </c>
      <c r="P168" s="374" t="s">
        <v>1497</v>
      </c>
      <c r="Q168" s="375" t="s">
        <v>1113</v>
      </c>
      <c r="R168" s="396">
        <v>221560</v>
      </c>
      <c r="S168" s="381" t="s">
        <v>1002</v>
      </c>
      <c r="T168" s="382">
        <v>55</v>
      </c>
      <c r="U168" s="379" t="s">
        <v>1114</v>
      </c>
      <c r="AH168" s="309" t="s">
        <v>2037</v>
      </c>
      <c r="AI168" s="309" t="s">
        <v>2037</v>
      </c>
      <c r="AJ168" s="309" t="s">
        <v>2037</v>
      </c>
      <c r="AK168" s="309" t="s">
        <v>2037</v>
      </c>
      <c r="AL168" s="309" t="s">
        <v>2037</v>
      </c>
      <c r="AM168" s="309" t="s">
        <v>2370</v>
      </c>
      <c r="AN168" s="309" t="s">
        <v>2370</v>
      </c>
      <c r="AO168" s="309" t="s">
        <v>2370</v>
      </c>
      <c r="AS168" s="309" t="s">
        <v>2033</v>
      </c>
      <c r="AT168" s="309" t="s">
        <v>2033</v>
      </c>
      <c r="AU168" s="309" t="s">
        <v>2033</v>
      </c>
      <c r="AV168" s="309" t="s">
        <v>2033</v>
      </c>
      <c r="AW168" s="309" t="s">
        <v>2033</v>
      </c>
      <c r="AX168" s="309" t="s">
        <v>2033</v>
      </c>
      <c r="AY168" s="309" t="s">
        <v>2033</v>
      </c>
      <c r="AZ168" s="309" t="s">
        <v>2033</v>
      </c>
      <c r="BA168" s="309" t="s">
        <v>2033</v>
      </c>
      <c r="BB168" s="309" t="s">
        <v>2033</v>
      </c>
      <c r="BC168" s="309" t="s">
        <v>2033</v>
      </c>
      <c r="BD168" s="309" t="s">
        <v>2033</v>
      </c>
      <c r="BE168" s="309" t="s">
        <v>2033</v>
      </c>
      <c r="BF168" s="309" t="s">
        <v>2033</v>
      </c>
      <c r="BG168" s="309" t="s">
        <v>2033</v>
      </c>
      <c r="BH168" s="309" t="s">
        <v>2033</v>
      </c>
      <c r="BI168" s="309" t="s">
        <v>2034</v>
      </c>
      <c r="BJ168" s="309" t="s">
        <v>2034</v>
      </c>
      <c r="BK168" s="309" t="s">
        <v>2034</v>
      </c>
      <c r="BL168" s="309" t="s">
        <v>2034</v>
      </c>
      <c r="BM168" s="309" t="s">
        <v>2034</v>
      </c>
      <c r="BN168" s="309" t="s">
        <v>2034</v>
      </c>
      <c r="BO168" s="309" t="s">
        <v>2034</v>
      </c>
      <c r="BP168" s="309" t="s">
        <v>2034</v>
      </c>
      <c r="BQ168" s="309" t="s">
        <v>2034</v>
      </c>
      <c r="BR168" s="309" t="s">
        <v>2034</v>
      </c>
      <c r="BS168" s="309" t="s">
        <v>2034</v>
      </c>
      <c r="BT168" s="309" t="s">
        <v>2034</v>
      </c>
      <c r="BU168" s="309" t="s">
        <v>2034</v>
      </c>
      <c r="BV168" s="309" t="s">
        <v>2034</v>
      </c>
      <c r="BW168" s="309" t="s">
        <v>2034</v>
      </c>
      <c r="BY168" s="309" t="s">
        <v>2372</v>
      </c>
      <c r="BZ168" s="309" t="s">
        <v>2372</v>
      </c>
      <c r="CA168" s="309" t="s">
        <v>2372</v>
      </c>
      <c r="CB168" s="309" t="s">
        <v>2036</v>
      </c>
      <c r="CC168" s="309" t="s">
        <v>2036</v>
      </c>
      <c r="CD168" s="309" t="s">
        <v>2036</v>
      </c>
      <c r="CE168" s="309" t="s">
        <v>2036</v>
      </c>
      <c r="CF168" s="309" t="s">
        <v>2036</v>
      </c>
      <c r="CG168" s="309" t="s">
        <v>2359</v>
      </c>
      <c r="CH168" s="309" t="s">
        <v>2359</v>
      </c>
      <c r="CI168" s="309" t="s">
        <v>2359</v>
      </c>
      <c r="CJ168" s="309" t="s">
        <v>2359</v>
      </c>
      <c r="CK168" s="309" t="s">
        <v>2359</v>
      </c>
      <c r="CL168" s="309" t="s">
        <v>2359</v>
      </c>
    </row>
    <row r="169" spans="1:92" x14ac:dyDescent="0.25">
      <c r="A169" s="372">
        <v>5</v>
      </c>
      <c r="B169" s="372">
        <v>7</v>
      </c>
      <c r="C169" s="372">
        <v>12</v>
      </c>
      <c r="D169" s="372" t="s">
        <v>2411</v>
      </c>
      <c r="E169" s="372" t="s">
        <v>2435</v>
      </c>
      <c r="F169" s="372" t="s">
        <v>2435</v>
      </c>
      <c r="G169" s="372" t="s">
        <v>2435</v>
      </c>
      <c r="H169" s="372" t="s">
        <v>2435</v>
      </c>
      <c r="I169" s="372">
        <v>5</v>
      </c>
      <c r="J169" s="372">
        <v>0</v>
      </c>
      <c r="K169" s="372">
        <v>0</v>
      </c>
      <c r="L169" s="372">
        <v>0</v>
      </c>
      <c r="M169" s="359">
        <v>225</v>
      </c>
      <c r="N169" s="399" t="s">
        <v>1149</v>
      </c>
      <c r="O169" s="237" t="s">
        <v>2777</v>
      </c>
      <c r="P169" s="237"/>
      <c r="Q169" s="360" t="s">
        <v>2321</v>
      </c>
      <c r="R169" s="361">
        <v>222651</v>
      </c>
      <c r="S169" s="369" t="s">
        <v>1002</v>
      </c>
      <c r="T169" s="380">
        <v>65</v>
      </c>
      <c r="U169" s="364" t="s">
        <v>2322</v>
      </c>
      <c r="AH169" s="309" t="s">
        <v>2370</v>
      </c>
      <c r="AI169" s="309" t="s">
        <v>2370</v>
      </c>
      <c r="AJ169" s="309" t="s">
        <v>2370</v>
      </c>
      <c r="AK169" s="309" t="s">
        <v>2370</v>
      </c>
      <c r="AL169" s="309" t="s">
        <v>2370</v>
      </c>
      <c r="AS169" s="309" t="s">
        <v>2033</v>
      </c>
      <c r="AT169" s="309" t="s">
        <v>2033</v>
      </c>
      <c r="AU169" s="309" t="s">
        <v>2033</v>
      </c>
      <c r="AV169" s="309" t="s">
        <v>2033</v>
      </c>
      <c r="AW169" s="309" t="s">
        <v>2033</v>
      </c>
      <c r="AX169" s="309" t="s">
        <v>2033</v>
      </c>
      <c r="AY169" s="309" t="s">
        <v>2033</v>
      </c>
      <c r="AZ169" s="309" t="s">
        <v>2033</v>
      </c>
      <c r="BA169" s="309" t="s">
        <v>2033</v>
      </c>
      <c r="BB169" s="309" t="s">
        <v>2033</v>
      </c>
      <c r="BC169" s="309" t="s">
        <v>2033</v>
      </c>
      <c r="BD169" s="309" t="s">
        <v>2033</v>
      </c>
      <c r="BE169" s="309" t="s">
        <v>2034</v>
      </c>
      <c r="BF169" s="309" t="s">
        <v>2034</v>
      </c>
      <c r="BG169" s="309" t="s">
        <v>2034</v>
      </c>
      <c r="BH169" s="309" t="s">
        <v>2034</v>
      </c>
      <c r="BI169" s="309" t="s">
        <v>2034</v>
      </c>
      <c r="BJ169" s="309" t="s">
        <v>2034</v>
      </c>
      <c r="BK169" s="309" t="s">
        <v>2034</v>
      </c>
      <c r="BY169" s="309" t="s">
        <v>2361</v>
      </c>
      <c r="BZ169" s="309" t="s">
        <v>2361</v>
      </c>
      <c r="CA169" s="309" t="s">
        <v>2361</v>
      </c>
      <c r="CB169" s="309" t="s">
        <v>2361</v>
      </c>
      <c r="CC169" s="309" t="s">
        <v>2361</v>
      </c>
      <c r="CD169" s="309" t="s">
        <v>2359</v>
      </c>
      <c r="CE169" s="309" t="s">
        <v>2359</v>
      </c>
      <c r="CF169" s="309" t="s">
        <v>2359</v>
      </c>
      <c r="CG169" s="309" t="s">
        <v>2359</v>
      </c>
      <c r="CH169" s="309" t="s">
        <v>2359</v>
      </c>
    </row>
    <row r="170" spans="1:92" x14ac:dyDescent="0.25">
      <c r="A170" s="325">
        <v>6</v>
      </c>
      <c r="B170" s="325">
        <v>15</v>
      </c>
      <c r="C170" s="325">
        <v>16</v>
      </c>
      <c r="D170" s="325" t="s">
        <v>2702</v>
      </c>
      <c r="E170" s="326" t="s">
        <v>2435</v>
      </c>
      <c r="F170" s="326" t="s">
        <v>2435</v>
      </c>
      <c r="G170" s="326" t="s">
        <v>2435</v>
      </c>
      <c r="H170" s="326" t="s">
        <v>2435</v>
      </c>
      <c r="I170" s="325">
        <v>8</v>
      </c>
      <c r="J170" s="325">
        <v>0</v>
      </c>
      <c r="K170" s="325">
        <v>0</v>
      </c>
      <c r="L170" s="325">
        <v>0</v>
      </c>
      <c r="M170" s="327">
        <v>112</v>
      </c>
      <c r="N170" s="402" t="s">
        <v>2715</v>
      </c>
      <c r="O170" s="328" t="s">
        <v>1519</v>
      </c>
      <c r="P170" s="328" t="s">
        <v>1497</v>
      </c>
      <c r="Q170" s="329" t="s">
        <v>2327</v>
      </c>
      <c r="R170" s="330">
        <v>224682</v>
      </c>
      <c r="S170" s="331" t="s">
        <v>1002</v>
      </c>
      <c r="T170" s="332">
        <v>69</v>
      </c>
      <c r="U170" s="333" t="s">
        <v>2314</v>
      </c>
      <c r="V170" s="334"/>
      <c r="W170" s="334"/>
      <c r="X170" s="334"/>
      <c r="Y170" s="334"/>
      <c r="Z170" s="334"/>
      <c r="AA170" s="334"/>
      <c r="AB170" s="334"/>
      <c r="AC170" s="334"/>
      <c r="AD170" s="334"/>
      <c r="AE170" s="334"/>
      <c r="AF170" s="334"/>
      <c r="AG170" s="334"/>
      <c r="AH170" s="334" t="s">
        <v>2370</v>
      </c>
      <c r="AI170" s="334" t="s">
        <v>2370</v>
      </c>
      <c r="AJ170" s="334" t="s">
        <v>2370</v>
      </c>
      <c r="AK170" s="334" t="s">
        <v>2370</v>
      </c>
      <c r="AL170" s="334" t="s">
        <v>2370</v>
      </c>
      <c r="AM170" s="334" t="s">
        <v>2370</v>
      </c>
      <c r="AN170" s="334" t="s">
        <v>2370</v>
      </c>
      <c r="AO170" s="334" t="s">
        <v>2370</v>
      </c>
      <c r="AP170" s="334"/>
      <c r="AQ170" s="334"/>
      <c r="AR170" s="334"/>
      <c r="AS170" s="334" t="s">
        <v>2033</v>
      </c>
      <c r="AT170" s="334" t="s">
        <v>2033</v>
      </c>
      <c r="AU170" s="334" t="s">
        <v>2033</v>
      </c>
      <c r="AV170" s="334" t="s">
        <v>2033</v>
      </c>
      <c r="AW170" s="334" t="s">
        <v>2033</v>
      </c>
      <c r="AX170" s="334" t="s">
        <v>2033</v>
      </c>
      <c r="AY170" s="334" t="s">
        <v>2033</v>
      </c>
      <c r="AZ170" s="334" t="s">
        <v>2033</v>
      </c>
      <c r="BA170" s="334" t="s">
        <v>2033</v>
      </c>
      <c r="BB170" s="334" t="s">
        <v>2033</v>
      </c>
      <c r="BC170" s="334" t="s">
        <v>2033</v>
      </c>
      <c r="BD170" s="334" t="s">
        <v>2033</v>
      </c>
      <c r="BE170" s="334" t="s">
        <v>2033</v>
      </c>
      <c r="BF170" s="334" t="s">
        <v>2033</v>
      </c>
      <c r="BG170" s="334" t="s">
        <v>2033</v>
      </c>
      <c r="BH170" s="334" t="s">
        <v>2033</v>
      </c>
      <c r="BI170" s="334" t="s">
        <v>2034</v>
      </c>
      <c r="BJ170" s="334" t="s">
        <v>2034</v>
      </c>
      <c r="BK170" s="334" t="s">
        <v>2034</v>
      </c>
      <c r="BL170" s="334" t="s">
        <v>2034</v>
      </c>
      <c r="BM170" s="334" t="s">
        <v>2034</v>
      </c>
      <c r="BN170" s="334" t="s">
        <v>2034</v>
      </c>
      <c r="BO170" s="334" t="s">
        <v>2034</v>
      </c>
      <c r="BP170" s="334" t="s">
        <v>2034</v>
      </c>
      <c r="BQ170" s="334" t="s">
        <v>2034</v>
      </c>
      <c r="BR170" s="334" t="s">
        <v>2034</v>
      </c>
      <c r="BS170" s="334" t="s">
        <v>2034</v>
      </c>
      <c r="BT170" s="334" t="s">
        <v>2034</v>
      </c>
      <c r="BU170" s="334" t="s">
        <v>2034</v>
      </c>
      <c r="BV170" s="334" t="s">
        <v>2034</v>
      </c>
      <c r="BW170" s="334" t="s">
        <v>2034</v>
      </c>
      <c r="BX170" s="334"/>
      <c r="BY170" s="334" t="s">
        <v>2361</v>
      </c>
      <c r="BZ170" s="334" t="s">
        <v>2361</v>
      </c>
      <c r="CA170" s="334" t="s">
        <v>2361</v>
      </c>
      <c r="CB170" s="334" t="s">
        <v>2361</v>
      </c>
      <c r="CC170" s="334" t="s">
        <v>2361</v>
      </c>
      <c r="CD170" s="334" t="s">
        <v>2361</v>
      </c>
      <c r="CE170" s="334" t="s">
        <v>2361</v>
      </c>
      <c r="CF170" s="334" t="s">
        <v>2361</v>
      </c>
      <c r="CG170" s="334" t="s">
        <v>2359</v>
      </c>
      <c r="CH170" s="334" t="s">
        <v>2359</v>
      </c>
      <c r="CI170" s="334" t="s">
        <v>2359</v>
      </c>
      <c r="CJ170" s="334" t="s">
        <v>2359</v>
      </c>
      <c r="CK170" s="334" t="s">
        <v>2359</v>
      </c>
      <c r="CL170" s="334" t="s">
        <v>2359</v>
      </c>
      <c r="CM170" s="334"/>
      <c r="CN170" s="334"/>
    </row>
    <row r="171" spans="1:92" x14ac:dyDescent="0.25">
      <c r="A171" s="372">
        <v>6</v>
      </c>
      <c r="B171" s="372">
        <v>15</v>
      </c>
      <c r="C171" s="372">
        <v>16</v>
      </c>
      <c r="D171" s="372" t="s">
        <v>2416</v>
      </c>
      <c r="E171" s="372" t="s">
        <v>2435</v>
      </c>
      <c r="F171" s="372" t="s">
        <v>2435</v>
      </c>
      <c r="G171" s="372" t="s">
        <v>2435</v>
      </c>
      <c r="H171" s="372" t="s">
        <v>2435</v>
      </c>
      <c r="I171" s="372">
        <v>8</v>
      </c>
      <c r="J171" s="372">
        <v>0</v>
      </c>
      <c r="K171" s="372">
        <v>0</v>
      </c>
      <c r="L171" s="372">
        <v>0</v>
      </c>
      <c r="M171" s="359">
        <v>190</v>
      </c>
      <c r="N171" s="399" t="s">
        <v>1165</v>
      </c>
      <c r="O171" s="237" t="s">
        <v>2777</v>
      </c>
      <c r="P171" s="237" t="s">
        <v>1497</v>
      </c>
      <c r="Q171" s="360" t="s">
        <v>2330</v>
      </c>
      <c r="R171" s="361">
        <v>226226</v>
      </c>
      <c r="S171" s="369" t="s">
        <v>1163</v>
      </c>
      <c r="T171" s="380">
        <v>79</v>
      </c>
      <c r="U171" s="364" t="s">
        <v>2331</v>
      </c>
      <c r="AH171" s="309" t="s">
        <v>2370</v>
      </c>
      <c r="AI171" s="309" t="s">
        <v>2370</v>
      </c>
      <c r="AJ171" s="309" t="s">
        <v>2370</v>
      </c>
      <c r="AK171" s="309" t="s">
        <v>2370</v>
      </c>
      <c r="AL171" s="309" t="s">
        <v>2370</v>
      </c>
      <c r="AM171" s="309" t="s">
        <v>2370</v>
      </c>
      <c r="AS171" s="309" t="s">
        <v>2033</v>
      </c>
      <c r="AT171" s="309" t="s">
        <v>2033</v>
      </c>
      <c r="AU171" s="309" t="s">
        <v>2033</v>
      </c>
      <c r="AV171" s="309" t="s">
        <v>2033</v>
      </c>
      <c r="AW171" s="309" t="s">
        <v>2033</v>
      </c>
      <c r="AX171" s="309" t="s">
        <v>2033</v>
      </c>
      <c r="AY171" s="309" t="s">
        <v>2033</v>
      </c>
      <c r="AZ171" s="309" t="s">
        <v>2033</v>
      </c>
      <c r="BA171" s="309" t="s">
        <v>2033</v>
      </c>
      <c r="BB171" s="309" t="s">
        <v>2033</v>
      </c>
      <c r="BC171" s="309" t="s">
        <v>2033</v>
      </c>
      <c r="BD171" s="309" t="s">
        <v>2033</v>
      </c>
      <c r="BE171" s="309" t="s">
        <v>2033</v>
      </c>
      <c r="BF171" s="309" t="s">
        <v>2033</v>
      </c>
      <c r="BG171" s="309" t="s">
        <v>2033</v>
      </c>
      <c r="BH171" s="309" t="s">
        <v>2033</v>
      </c>
      <c r="BI171" s="309" t="s">
        <v>2034</v>
      </c>
      <c r="BJ171" s="309" t="s">
        <v>2034</v>
      </c>
      <c r="BK171" s="309" t="s">
        <v>2034</v>
      </c>
      <c r="BL171" s="309" t="s">
        <v>2034</v>
      </c>
      <c r="BM171" s="309" t="s">
        <v>2034</v>
      </c>
      <c r="BN171" s="309" t="s">
        <v>2034</v>
      </c>
      <c r="BO171" s="309" t="s">
        <v>2034</v>
      </c>
      <c r="BP171" s="309" t="s">
        <v>2034</v>
      </c>
      <c r="BQ171" s="309" t="s">
        <v>2034</v>
      </c>
      <c r="BR171" s="309" t="s">
        <v>2034</v>
      </c>
      <c r="BS171" s="309" t="s">
        <v>2034</v>
      </c>
      <c r="BT171" s="309" t="s">
        <v>2034</v>
      </c>
      <c r="BU171" s="309" t="s">
        <v>2034</v>
      </c>
      <c r="BV171" s="309" t="s">
        <v>2034</v>
      </c>
      <c r="BW171" s="309" t="s">
        <v>2034</v>
      </c>
      <c r="BY171" s="309" t="s">
        <v>2361</v>
      </c>
      <c r="BZ171" s="309" t="s">
        <v>2361</v>
      </c>
      <c r="CA171" s="309" t="s">
        <v>2361</v>
      </c>
      <c r="CB171" s="309" t="s">
        <v>2361</v>
      </c>
      <c r="CC171" s="309" t="s">
        <v>2361</v>
      </c>
      <c r="CD171" s="309" t="s">
        <v>2361</v>
      </c>
      <c r="CE171" s="309" t="s">
        <v>2361</v>
      </c>
      <c r="CF171" s="309" t="s">
        <v>2361</v>
      </c>
      <c r="CG171" s="309" t="s">
        <v>2359</v>
      </c>
      <c r="CH171" s="309" t="s">
        <v>2359</v>
      </c>
      <c r="CI171" s="309" t="s">
        <v>2359</v>
      </c>
      <c r="CJ171" s="309" t="s">
        <v>2359</v>
      </c>
      <c r="CK171" s="309" t="s">
        <v>2359</v>
      </c>
      <c r="CL171" s="309" t="s">
        <v>2359</v>
      </c>
    </row>
    <row r="172" spans="1:92" x14ac:dyDescent="0.25">
      <c r="A172" s="335">
        <v>6</v>
      </c>
      <c r="B172" s="335">
        <v>15</v>
      </c>
      <c r="C172" s="335">
        <v>16</v>
      </c>
      <c r="D172" s="335" t="s">
        <v>2690</v>
      </c>
      <c r="E172" s="336" t="s">
        <v>2435</v>
      </c>
      <c r="F172" s="336" t="s">
        <v>2435</v>
      </c>
      <c r="G172" s="336" t="s">
        <v>2435</v>
      </c>
      <c r="H172" s="336" t="s">
        <v>2435</v>
      </c>
      <c r="I172" s="335">
        <v>8</v>
      </c>
      <c r="J172" s="335">
        <v>0</v>
      </c>
      <c r="K172" s="335">
        <v>0</v>
      </c>
      <c r="L172" s="335">
        <v>0</v>
      </c>
      <c r="M172" s="337">
        <v>148</v>
      </c>
      <c r="N172" s="401" t="s">
        <v>2696</v>
      </c>
      <c r="O172" s="338" t="s">
        <v>1519</v>
      </c>
      <c r="P172" s="338" t="s">
        <v>1497</v>
      </c>
      <c r="Q172" s="339" t="s">
        <v>2328</v>
      </c>
      <c r="R172" s="340">
        <v>229810</v>
      </c>
      <c r="S172" s="341" t="s">
        <v>1163</v>
      </c>
      <c r="T172" s="342">
        <v>75</v>
      </c>
      <c r="U172" s="343" t="s">
        <v>2329</v>
      </c>
      <c r="V172" s="344"/>
      <c r="W172" s="344"/>
      <c r="X172" s="344"/>
      <c r="Y172" s="344"/>
      <c r="Z172" s="344"/>
      <c r="AA172" s="344"/>
      <c r="AB172" s="344"/>
      <c r="AC172" s="344"/>
      <c r="AD172" s="344"/>
      <c r="AE172" s="344"/>
      <c r="AF172" s="344"/>
      <c r="AG172" s="344"/>
      <c r="AH172" s="344" t="s">
        <v>2370</v>
      </c>
      <c r="AI172" s="344" t="s">
        <v>2370</v>
      </c>
      <c r="AJ172" s="344" t="s">
        <v>2370</v>
      </c>
      <c r="AK172" s="344" t="s">
        <v>2370</v>
      </c>
      <c r="AL172" s="344" t="s">
        <v>2370</v>
      </c>
      <c r="AM172" s="344" t="s">
        <v>2370</v>
      </c>
      <c r="AN172" s="344" t="s">
        <v>2370</v>
      </c>
      <c r="AO172" s="344"/>
      <c r="AP172" s="344"/>
      <c r="AQ172" s="344"/>
      <c r="AR172" s="344"/>
      <c r="AS172" s="344" t="s">
        <v>2033</v>
      </c>
      <c r="AT172" s="344" t="s">
        <v>2033</v>
      </c>
      <c r="AU172" s="344" t="s">
        <v>2033</v>
      </c>
      <c r="AV172" s="344" t="s">
        <v>2033</v>
      </c>
      <c r="AW172" s="344" t="s">
        <v>2033</v>
      </c>
      <c r="AX172" s="344" t="s">
        <v>2033</v>
      </c>
      <c r="AY172" s="344" t="s">
        <v>2033</v>
      </c>
      <c r="AZ172" s="344" t="s">
        <v>2033</v>
      </c>
      <c r="BA172" s="344" t="s">
        <v>2033</v>
      </c>
      <c r="BB172" s="344" t="s">
        <v>2033</v>
      </c>
      <c r="BC172" s="344" t="s">
        <v>2033</v>
      </c>
      <c r="BD172" s="344" t="s">
        <v>2033</v>
      </c>
      <c r="BE172" s="344" t="s">
        <v>2033</v>
      </c>
      <c r="BF172" s="344" t="s">
        <v>2033</v>
      </c>
      <c r="BG172" s="344" t="s">
        <v>2033</v>
      </c>
      <c r="BH172" s="344" t="s">
        <v>2033</v>
      </c>
      <c r="BI172" s="344" t="s">
        <v>2034</v>
      </c>
      <c r="BJ172" s="344" t="s">
        <v>2034</v>
      </c>
      <c r="BK172" s="344" t="s">
        <v>2034</v>
      </c>
      <c r="BL172" s="344" t="s">
        <v>2034</v>
      </c>
      <c r="BM172" s="344" t="s">
        <v>2034</v>
      </c>
      <c r="BN172" s="344" t="s">
        <v>2034</v>
      </c>
      <c r="BO172" s="344" t="s">
        <v>2034</v>
      </c>
      <c r="BP172" s="344" t="s">
        <v>2034</v>
      </c>
      <c r="BQ172" s="344" t="s">
        <v>2034</v>
      </c>
      <c r="BR172" s="344" t="s">
        <v>2034</v>
      </c>
      <c r="BS172" s="344" t="s">
        <v>2034</v>
      </c>
      <c r="BT172" s="344" t="s">
        <v>2034</v>
      </c>
      <c r="BU172" s="344" t="s">
        <v>2034</v>
      </c>
      <c r="BV172" s="344" t="s">
        <v>2034</v>
      </c>
      <c r="BW172" s="344" t="s">
        <v>2034</v>
      </c>
      <c r="BX172" s="344"/>
      <c r="BY172" s="344" t="s">
        <v>2361</v>
      </c>
      <c r="BZ172" s="344" t="s">
        <v>2361</v>
      </c>
      <c r="CA172" s="344" t="s">
        <v>2361</v>
      </c>
      <c r="CB172" s="344" t="s">
        <v>2361</v>
      </c>
      <c r="CC172" s="344" t="s">
        <v>2361</v>
      </c>
      <c r="CD172" s="344" t="s">
        <v>2361</v>
      </c>
      <c r="CE172" s="344" t="s">
        <v>2361</v>
      </c>
      <c r="CF172" s="344" t="s">
        <v>2361</v>
      </c>
      <c r="CG172" s="344" t="s">
        <v>2359</v>
      </c>
      <c r="CH172" s="344" t="s">
        <v>2359</v>
      </c>
      <c r="CI172" s="344" t="s">
        <v>2359</v>
      </c>
      <c r="CJ172" s="344" t="s">
        <v>2359</v>
      </c>
      <c r="CK172" s="344" t="s">
        <v>2359</v>
      </c>
      <c r="CL172" s="344" t="s">
        <v>2359</v>
      </c>
      <c r="CM172" s="344"/>
      <c r="CN172" s="344"/>
    </row>
    <row r="173" spans="1:92" x14ac:dyDescent="0.25">
      <c r="A173" s="372">
        <v>6</v>
      </c>
      <c r="B173" s="372">
        <v>15</v>
      </c>
      <c r="C173" s="372">
        <v>16</v>
      </c>
      <c r="D173" s="372" t="s">
        <v>2417</v>
      </c>
      <c r="E173" s="372" t="s">
        <v>2435</v>
      </c>
      <c r="F173" s="372" t="s">
        <v>2435</v>
      </c>
      <c r="G173" s="372" t="s">
        <v>2435</v>
      </c>
      <c r="H173" s="372" t="s">
        <v>2435</v>
      </c>
      <c r="I173" s="372">
        <v>8</v>
      </c>
      <c r="J173" s="372">
        <v>0</v>
      </c>
      <c r="K173" s="372">
        <v>0</v>
      </c>
      <c r="L173" s="372">
        <v>0</v>
      </c>
      <c r="M173" s="359">
        <v>232</v>
      </c>
      <c r="N173" s="399" t="s">
        <v>1168</v>
      </c>
      <c r="O173" s="237" t="s">
        <v>2777</v>
      </c>
      <c r="P173" s="237" t="s">
        <v>1497</v>
      </c>
      <c r="Q173" s="360" t="s">
        <v>2332</v>
      </c>
      <c r="R173" s="361">
        <v>239174</v>
      </c>
      <c r="S173" s="369" t="s">
        <v>1163</v>
      </c>
      <c r="T173" s="380">
        <v>77</v>
      </c>
      <c r="U173" s="364" t="s">
        <v>2333</v>
      </c>
      <c r="AH173" s="309" t="s">
        <v>2370</v>
      </c>
      <c r="AI173" s="309" t="s">
        <v>2370</v>
      </c>
      <c r="AJ173" s="309" t="s">
        <v>2370</v>
      </c>
      <c r="AK173" s="309" t="s">
        <v>2370</v>
      </c>
      <c r="AL173" s="309" t="s">
        <v>2370</v>
      </c>
      <c r="AM173" s="309" t="s">
        <v>2370</v>
      </c>
      <c r="AS173" s="309" t="s">
        <v>2033</v>
      </c>
      <c r="AT173" s="309" t="s">
        <v>2033</v>
      </c>
      <c r="AU173" s="309" t="s">
        <v>2033</v>
      </c>
      <c r="AV173" s="309" t="s">
        <v>2033</v>
      </c>
      <c r="AW173" s="309" t="s">
        <v>2033</v>
      </c>
      <c r="AX173" s="309" t="s">
        <v>2033</v>
      </c>
      <c r="AY173" s="309" t="s">
        <v>2033</v>
      </c>
      <c r="AZ173" s="309" t="s">
        <v>2033</v>
      </c>
      <c r="BA173" s="309" t="s">
        <v>2033</v>
      </c>
      <c r="BB173" s="309" t="s">
        <v>2033</v>
      </c>
      <c r="BC173" s="309" t="s">
        <v>2033</v>
      </c>
      <c r="BD173" s="309" t="s">
        <v>2033</v>
      </c>
      <c r="BE173" s="309" t="s">
        <v>2033</v>
      </c>
      <c r="BF173" s="309" t="s">
        <v>2033</v>
      </c>
      <c r="BG173" s="309" t="s">
        <v>2033</v>
      </c>
      <c r="BH173" s="309" t="s">
        <v>2033</v>
      </c>
      <c r="BI173" s="309" t="s">
        <v>2034</v>
      </c>
      <c r="BJ173" s="309" t="s">
        <v>2034</v>
      </c>
      <c r="BK173" s="309" t="s">
        <v>2034</v>
      </c>
      <c r="BL173" s="309" t="s">
        <v>2034</v>
      </c>
      <c r="BM173" s="309" t="s">
        <v>2034</v>
      </c>
      <c r="BN173" s="309" t="s">
        <v>2034</v>
      </c>
      <c r="BO173" s="309" t="s">
        <v>2034</v>
      </c>
      <c r="BP173" s="309" t="s">
        <v>2034</v>
      </c>
      <c r="BQ173" s="309" t="s">
        <v>2034</v>
      </c>
      <c r="BR173" s="309" t="s">
        <v>2034</v>
      </c>
      <c r="BS173" s="309" t="s">
        <v>2034</v>
      </c>
      <c r="BT173" s="309" t="s">
        <v>2034</v>
      </c>
      <c r="BU173" s="309" t="s">
        <v>2034</v>
      </c>
      <c r="BV173" s="309" t="s">
        <v>2034</v>
      </c>
      <c r="BW173" s="309" t="s">
        <v>2034</v>
      </c>
      <c r="BY173" s="309" t="s">
        <v>2361</v>
      </c>
      <c r="BZ173" s="309" t="s">
        <v>2361</v>
      </c>
      <c r="CA173" s="309" t="s">
        <v>2361</v>
      </c>
      <c r="CB173" s="309" t="s">
        <v>2361</v>
      </c>
      <c r="CC173" s="309" t="s">
        <v>2361</v>
      </c>
      <c r="CD173" s="309" t="s">
        <v>2361</v>
      </c>
      <c r="CE173" s="309" t="s">
        <v>2361</v>
      </c>
      <c r="CF173" s="309" t="s">
        <v>2361</v>
      </c>
      <c r="CG173" s="309" t="s">
        <v>2359</v>
      </c>
      <c r="CH173" s="309" t="s">
        <v>2359</v>
      </c>
      <c r="CI173" s="309" t="s">
        <v>2359</v>
      </c>
      <c r="CJ173" s="309" t="s">
        <v>2359</v>
      </c>
      <c r="CK173" s="309" t="s">
        <v>2359</v>
      </c>
      <c r="CL173" s="309" t="s">
        <v>2359</v>
      </c>
    </row>
    <row r="174" spans="1:92" x14ac:dyDescent="0.25">
      <c r="A174" s="335">
        <v>6</v>
      </c>
      <c r="B174" s="335">
        <v>15</v>
      </c>
      <c r="C174" s="335">
        <v>16</v>
      </c>
      <c r="D174" s="335" t="s">
        <v>2691</v>
      </c>
      <c r="E174" s="336" t="s">
        <v>2435</v>
      </c>
      <c r="F174" s="336" t="s">
        <v>2435</v>
      </c>
      <c r="G174" s="336" t="s">
        <v>2435</v>
      </c>
      <c r="H174" s="336" t="s">
        <v>2435</v>
      </c>
      <c r="I174" s="335">
        <v>8</v>
      </c>
      <c r="J174" s="335">
        <v>0</v>
      </c>
      <c r="K174" s="335">
        <v>0</v>
      </c>
      <c r="L174" s="335">
        <v>0</v>
      </c>
      <c r="M174" s="337">
        <v>190</v>
      </c>
      <c r="N174" s="401" t="s">
        <v>2697</v>
      </c>
      <c r="O174" s="338" t="s">
        <v>1519</v>
      </c>
      <c r="P174" s="338" t="s">
        <v>1497</v>
      </c>
      <c r="Q174" s="339" t="s">
        <v>2330</v>
      </c>
      <c r="R174" s="340">
        <v>241226</v>
      </c>
      <c r="S174" s="341" t="s">
        <v>1163</v>
      </c>
      <c r="T174" s="342">
        <v>79</v>
      </c>
      <c r="U174" s="343" t="s">
        <v>2331</v>
      </c>
      <c r="V174" s="344"/>
      <c r="W174" s="344"/>
      <c r="X174" s="344"/>
      <c r="Y174" s="344"/>
      <c r="Z174" s="344"/>
      <c r="AA174" s="344"/>
      <c r="AB174" s="344"/>
      <c r="AC174" s="344"/>
      <c r="AD174" s="344"/>
      <c r="AE174" s="344"/>
      <c r="AF174" s="344"/>
      <c r="AG174" s="344"/>
      <c r="AH174" s="344" t="s">
        <v>2370</v>
      </c>
      <c r="AI174" s="344" t="s">
        <v>2370</v>
      </c>
      <c r="AJ174" s="344" t="s">
        <v>2370</v>
      </c>
      <c r="AK174" s="344" t="s">
        <v>2370</v>
      </c>
      <c r="AL174" s="344" t="s">
        <v>2370</v>
      </c>
      <c r="AM174" s="344" t="s">
        <v>2370</v>
      </c>
      <c r="AN174" s="344" t="s">
        <v>2370</v>
      </c>
      <c r="AO174" s="344"/>
      <c r="AP174" s="344"/>
      <c r="AQ174" s="344"/>
      <c r="AR174" s="344"/>
      <c r="AS174" s="344" t="s">
        <v>2033</v>
      </c>
      <c r="AT174" s="344" t="s">
        <v>2033</v>
      </c>
      <c r="AU174" s="344" t="s">
        <v>2033</v>
      </c>
      <c r="AV174" s="344" t="s">
        <v>2033</v>
      </c>
      <c r="AW174" s="344" t="s">
        <v>2033</v>
      </c>
      <c r="AX174" s="344" t="s">
        <v>2033</v>
      </c>
      <c r="AY174" s="344" t="s">
        <v>2033</v>
      </c>
      <c r="AZ174" s="344" t="s">
        <v>2033</v>
      </c>
      <c r="BA174" s="344" t="s">
        <v>2033</v>
      </c>
      <c r="BB174" s="344" t="s">
        <v>2033</v>
      </c>
      <c r="BC174" s="344" t="s">
        <v>2033</v>
      </c>
      <c r="BD174" s="344" t="s">
        <v>2033</v>
      </c>
      <c r="BE174" s="344" t="s">
        <v>2033</v>
      </c>
      <c r="BF174" s="344" t="s">
        <v>2033</v>
      </c>
      <c r="BG174" s="344" t="s">
        <v>2033</v>
      </c>
      <c r="BH174" s="344" t="s">
        <v>2033</v>
      </c>
      <c r="BI174" s="344" t="s">
        <v>2034</v>
      </c>
      <c r="BJ174" s="344" t="s">
        <v>2034</v>
      </c>
      <c r="BK174" s="344" t="s">
        <v>2034</v>
      </c>
      <c r="BL174" s="344" t="s">
        <v>2034</v>
      </c>
      <c r="BM174" s="344" t="s">
        <v>2034</v>
      </c>
      <c r="BN174" s="344" t="s">
        <v>2034</v>
      </c>
      <c r="BO174" s="344" t="s">
        <v>2034</v>
      </c>
      <c r="BP174" s="344" t="s">
        <v>2034</v>
      </c>
      <c r="BQ174" s="344" t="s">
        <v>2034</v>
      </c>
      <c r="BR174" s="344" t="s">
        <v>2034</v>
      </c>
      <c r="BS174" s="344" t="s">
        <v>2034</v>
      </c>
      <c r="BT174" s="344" t="s">
        <v>2034</v>
      </c>
      <c r="BU174" s="344" t="s">
        <v>2034</v>
      </c>
      <c r="BV174" s="344" t="s">
        <v>2034</v>
      </c>
      <c r="BW174" s="344" t="s">
        <v>2034</v>
      </c>
      <c r="BX174" s="344"/>
      <c r="BY174" s="344" t="s">
        <v>2361</v>
      </c>
      <c r="BZ174" s="344" t="s">
        <v>2361</v>
      </c>
      <c r="CA174" s="344" t="s">
        <v>2361</v>
      </c>
      <c r="CB174" s="344" t="s">
        <v>2361</v>
      </c>
      <c r="CC174" s="344" t="s">
        <v>2361</v>
      </c>
      <c r="CD174" s="344" t="s">
        <v>2361</v>
      </c>
      <c r="CE174" s="344" t="s">
        <v>2361</v>
      </c>
      <c r="CF174" s="344" t="s">
        <v>2361</v>
      </c>
      <c r="CG174" s="344" t="s">
        <v>2359</v>
      </c>
      <c r="CH174" s="344" t="s">
        <v>2359</v>
      </c>
      <c r="CI174" s="344" t="s">
        <v>2359</v>
      </c>
      <c r="CJ174" s="344" t="s">
        <v>2359</v>
      </c>
      <c r="CK174" s="344" t="s">
        <v>2359</v>
      </c>
      <c r="CL174" s="344" t="s">
        <v>2359</v>
      </c>
      <c r="CM174" s="344"/>
      <c r="CN174" s="344"/>
    </row>
    <row r="175" spans="1:92" x14ac:dyDescent="0.25">
      <c r="A175" s="325">
        <v>6</v>
      </c>
      <c r="B175" s="325">
        <v>15</v>
      </c>
      <c r="C175" s="325">
        <v>16</v>
      </c>
      <c r="D175" s="325" t="s">
        <v>2703</v>
      </c>
      <c r="E175" s="326" t="s">
        <v>2435</v>
      </c>
      <c r="F175" s="326" t="s">
        <v>2435</v>
      </c>
      <c r="G175" s="326" t="s">
        <v>2435</v>
      </c>
      <c r="H175" s="326" t="s">
        <v>2435</v>
      </c>
      <c r="I175" s="325">
        <v>8</v>
      </c>
      <c r="J175" s="325">
        <v>0</v>
      </c>
      <c r="K175" s="325">
        <v>0</v>
      </c>
      <c r="L175" s="325">
        <v>0</v>
      </c>
      <c r="M175" s="327">
        <v>148</v>
      </c>
      <c r="N175" s="402" t="s">
        <v>2709</v>
      </c>
      <c r="O175" s="328" t="s">
        <v>1519</v>
      </c>
      <c r="P175" s="328" t="s">
        <v>1497</v>
      </c>
      <c r="Q175" s="329" t="s">
        <v>2328</v>
      </c>
      <c r="R175" s="330">
        <v>244810</v>
      </c>
      <c r="S175" s="331" t="s">
        <v>1163</v>
      </c>
      <c r="T175" s="332">
        <v>75</v>
      </c>
      <c r="U175" s="333" t="s">
        <v>2329</v>
      </c>
      <c r="V175" s="334"/>
      <c r="W175" s="334"/>
      <c r="X175" s="334"/>
      <c r="Y175" s="334"/>
      <c r="Z175" s="334"/>
      <c r="AA175" s="334"/>
      <c r="AB175" s="334"/>
      <c r="AC175" s="334"/>
      <c r="AD175" s="334"/>
      <c r="AE175" s="334"/>
      <c r="AF175" s="334"/>
      <c r="AG175" s="334"/>
      <c r="AH175" s="334" t="s">
        <v>2370</v>
      </c>
      <c r="AI175" s="334" t="s">
        <v>2370</v>
      </c>
      <c r="AJ175" s="334" t="s">
        <v>2370</v>
      </c>
      <c r="AK175" s="334" t="s">
        <v>2370</v>
      </c>
      <c r="AL175" s="334" t="s">
        <v>2370</v>
      </c>
      <c r="AM175" s="334" t="s">
        <v>2370</v>
      </c>
      <c r="AN175" s="334" t="s">
        <v>2370</v>
      </c>
      <c r="AO175" s="334" t="s">
        <v>2370</v>
      </c>
      <c r="AP175" s="334"/>
      <c r="AQ175" s="334"/>
      <c r="AR175" s="334"/>
      <c r="AS175" s="334" t="s">
        <v>2033</v>
      </c>
      <c r="AT175" s="334" t="s">
        <v>2033</v>
      </c>
      <c r="AU175" s="334" t="s">
        <v>2033</v>
      </c>
      <c r="AV175" s="334" t="s">
        <v>2033</v>
      </c>
      <c r="AW175" s="334" t="s">
        <v>2033</v>
      </c>
      <c r="AX175" s="334" t="s">
        <v>2033</v>
      </c>
      <c r="AY175" s="334" t="s">
        <v>2033</v>
      </c>
      <c r="AZ175" s="334" t="s">
        <v>2033</v>
      </c>
      <c r="BA175" s="334" t="s">
        <v>2033</v>
      </c>
      <c r="BB175" s="334" t="s">
        <v>2033</v>
      </c>
      <c r="BC175" s="334" t="s">
        <v>2033</v>
      </c>
      <c r="BD175" s="334" t="s">
        <v>2033</v>
      </c>
      <c r="BE175" s="334" t="s">
        <v>2033</v>
      </c>
      <c r="BF175" s="334" t="s">
        <v>2033</v>
      </c>
      <c r="BG175" s="334" t="s">
        <v>2033</v>
      </c>
      <c r="BH175" s="334" t="s">
        <v>2033</v>
      </c>
      <c r="BI175" s="334" t="s">
        <v>2034</v>
      </c>
      <c r="BJ175" s="334" t="s">
        <v>2034</v>
      </c>
      <c r="BK175" s="334" t="s">
        <v>2034</v>
      </c>
      <c r="BL175" s="334" t="s">
        <v>2034</v>
      </c>
      <c r="BM175" s="334" t="s">
        <v>2034</v>
      </c>
      <c r="BN175" s="334" t="s">
        <v>2034</v>
      </c>
      <c r="BO175" s="334" t="s">
        <v>2034</v>
      </c>
      <c r="BP175" s="334" t="s">
        <v>2034</v>
      </c>
      <c r="BQ175" s="334" t="s">
        <v>2034</v>
      </c>
      <c r="BR175" s="334" t="s">
        <v>2034</v>
      </c>
      <c r="BS175" s="334" t="s">
        <v>2034</v>
      </c>
      <c r="BT175" s="334" t="s">
        <v>2034</v>
      </c>
      <c r="BU175" s="334" t="s">
        <v>2034</v>
      </c>
      <c r="BV175" s="334" t="s">
        <v>2034</v>
      </c>
      <c r="BW175" s="334" t="s">
        <v>2034</v>
      </c>
      <c r="BX175" s="334"/>
      <c r="BY175" s="334" t="s">
        <v>2361</v>
      </c>
      <c r="BZ175" s="334" t="s">
        <v>2361</v>
      </c>
      <c r="CA175" s="334" t="s">
        <v>2361</v>
      </c>
      <c r="CB175" s="334" t="s">
        <v>2361</v>
      </c>
      <c r="CC175" s="334" t="s">
        <v>2361</v>
      </c>
      <c r="CD175" s="334" t="s">
        <v>2361</v>
      </c>
      <c r="CE175" s="334" t="s">
        <v>2361</v>
      </c>
      <c r="CF175" s="334" t="s">
        <v>2361</v>
      </c>
      <c r="CG175" s="334" t="s">
        <v>2359</v>
      </c>
      <c r="CH175" s="334" t="s">
        <v>2359</v>
      </c>
      <c r="CI175" s="334" t="s">
        <v>2359</v>
      </c>
      <c r="CJ175" s="334" t="s">
        <v>2359</v>
      </c>
      <c r="CK175" s="334" t="s">
        <v>2359</v>
      </c>
      <c r="CL175" s="334" t="s">
        <v>2359</v>
      </c>
      <c r="CM175" s="334"/>
      <c r="CN175" s="334"/>
    </row>
    <row r="176" spans="1:92" x14ac:dyDescent="0.25">
      <c r="A176" s="335">
        <v>6</v>
      </c>
      <c r="B176" s="335">
        <v>15</v>
      </c>
      <c r="C176" s="335">
        <v>16</v>
      </c>
      <c r="D176" s="335" t="s">
        <v>2692</v>
      </c>
      <c r="E176" s="336" t="s">
        <v>2435</v>
      </c>
      <c r="F176" s="336" t="s">
        <v>2435</v>
      </c>
      <c r="G176" s="336" t="s">
        <v>2435</v>
      </c>
      <c r="H176" s="336" t="s">
        <v>2435</v>
      </c>
      <c r="I176" s="335">
        <v>8</v>
      </c>
      <c r="J176" s="335">
        <v>0</v>
      </c>
      <c r="K176" s="335">
        <v>0</v>
      </c>
      <c r="L176" s="335">
        <v>0</v>
      </c>
      <c r="M176" s="337">
        <v>232</v>
      </c>
      <c r="N176" s="401" t="s">
        <v>2698</v>
      </c>
      <c r="O176" s="338" t="s">
        <v>1519</v>
      </c>
      <c r="P176" s="338" t="s">
        <v>1497</v>
      </c>
      <c r="Q176" s="339" t="s">
        <v>2332</v>
      </c>
      <c r="R176" s="340">
        <v>254174</v>
      </c>
      <c r="S176" s="341" t="s">
        <v>1163</v>
      </c>
      <c r="T176" s="342">
        <v>77</v>
      </c>
      <c r="U176" s="343" t="s">
        <v>2333</v>
      </c>
      <c r="V176" s="344"/>
      <c r="W176" s="344"/>
      <c r="X176" s="344"/>
      <c r="Y176" s="344"/>
      <c r="Z176" s="344"/>
      <c r="AA176" s="344"/>
      <c r="AB176" s="344"/>
      <c r="AC176" s="344"/>
      <c r="AD176" s="344"/>
      <c r="AE176" s="344"/>
      <c r="AF176" s="344"/>
      <c r="AG176" s="344"/>
      <c r="AH176" s="344" t="s">
        <v>2370</v>
      </c>
      <c r="AI176" s="344" t="s">
        <v>2370</v>
      </c>
      <c r="AJ176" s="344" t="s">
        <v>2370</v>
      </c>
      <c r="AK176" s="344" t="s">
        <v>2370</v>
      </c>
      <c r="AL176" s="344" t="s">
        <v>2370</v>
      </c>
      <c r="AM176" s="344" t="s">
        <v>2370</v>
      </c>
      <c r="AN176" s="344" t="s">
        <v>2370</v>
      </c>
      <c r="AO176" s="344"/>
      <c r="AP176" s="344"/>
      <c r="AQ176" s="344"/>
      <c r="AR176" s="344"/>
      <c r="AS176" s="344" t="s">
        <v>2033</v>
      </c>
      <c r="AT176" s="344" t="s">
        <v>2033</v>
      </c>
      <c r="AU176" s="344" t="s">
        <v>2033</v>
      </c>
      <c r="AV176" s="344" t="s">
        <v>2033</v>
      </c>
      <c r="AW176" s="344" t="s">
        <v>2033</v>
      </c>
      <c r="AX176" s="344" t="s">
        <v>2033</v>
      </c>
      <c r="AY176" s="344" t="s">
        <v>2033</v>
      </c>
      <c r="AZ176" s="344" t="s">
        <v>2033</v>
      </c>
      <c r="BA176" s="344" t="s">
        <v>2033</v>
      </c>
      <c r="BB176" s="344" t="s">
        <v>2033</v>
      </c>
      <c r="BC176" s="344" t="s">
        <v>2033</v>
      </c>
      <c r="BD176" s="344" t="s">
        <v>2033</v>
      </c>
      <c r="BE176" s="344" t="s">
        <v>2033</v>
      </c>
      <c r="BF176" s="344" t="s">
        <v>2033</v>
      </c>
      <c r="BG176" s="344" t="s">
        <v>2033</v>
      </c>
      <c r="BH176" s="344" t="s">
        <v>2033</v>
      </c>
      <c r="BI176" s="344" t="s">
        <v>2034</v>
      </c>
      <c r="BJ176" s="344" t="s">
        <v>2034</v>
      </c>
      <c r="BK176" s="344" t="s">
        <v>2034</v>
      </c>
      <c r="BL176" s="344" t="s">
        <v>2034</v>
      </c>
      <c r="BM176" s="344" t="s">
        <v>2034</v>
      </c>
      <c r="BN176" s="344" t="s">
        <v>2034</v>
      </c>
      <c r="BO176" s="344" t="s">
        <v>2034</v>
      </c>
      <c r="BP176" s="344" t="s">
        <v>2034</v>
      </c>
      <c r="BQ176" s="344" t="s">
        <v>2034</v>
      </c>
      <c r="BR176" s="344" t="s">
        <v>2034</v>
      </c>
      <c r="BS176" s="344" t="s">
        <v>2034</v>
      </c>
      <c r="BT176" s="344" t="s">
        <v>2034</v>
      </c>
      <c r="BU176" s="344" t="s">
        <v>2034</v>
      </c>
      <c r="BV176" s="344" t="s">
        <v>2034</v>
      </c>
      <c r="BW176" s="344" t="s">
        <v>2034</v>
      </c>
      <c r="BX176" s="344"/>
      <c r="BY176" s="344" t="s">
        <v>2361</v>
      </c>
      <c r="BZ176" s="344" t="s">
        <v>2361</v>
      </c>
      <c r="CA176" s="344" t="s">
        <v>2361</v>
      </c>
      <c r="CB176" s="344" t="s">
        <v>2361</v>
      </c>
      <c r="CC176" s="344" t="s">
        <v>2361</v>
      </c>
      <c r="CD176" s="344" t="s">
        <v>2361</v>
      </c>
      <c r="CE176" s="344" t="s">
        <v>2361</v>
      </c>
      <c r="CF176" s="344" t="s">
        <v>2361</v>
      </c>
      <c r="CG176" s="344" t="s">
        <v>2359</v>
      </c>
      <c r="CH176" s="344" t="s">
        <v>2359</v>
      </c>
      <c r="CI176" s="344" t="s">
        <v>2359</v>
      </c>
      <c r="CJ176" s="344" t="s">
        <v>2359</v>
      </c>
      <c r="CK176" s="344" t="s">
        <v>2359</v>
      </c>
      <c r="CL176" s="344" t="s">
        <v>2359</v>
      </c>
      <c r="CM176" s="344"/>
      <c r="CN176" s="344"/>
    </row>
    <row r="177" spans="1:92 1590:1757" s="344" customFormat="1" x14ac:dyDescent="0.25">
      <c r="A177" s="325">
        <v>6</v>
      </c>
      <c r="B177" s="325">
        <v>15</v>
      </c>
      <c r="C177" s="325">
        <v>16</v>
      </c>
      <c r="D177" s="325" t="s">
        <v>2704</v>
      </c>
      <c r="E177" s="326" t="s">
        <v>2435</v>
      </c>
      <c r="F177" s="326" t="s">
        <v>2435</v>
      </c>
      <c r="G177" s="326" t="s">
        <v>2435</v>
      </c>
      <c r="H177" s="326" t="s">
        <v>2435</v>
      </c>
      <c r="I177" s="325">
        <v>8</v>
      </c>
      <c r="J177" s="325">
        <v>0</v>
      </c>
      <c r="K177" s="325">
        <v>0</v>
      </c>
      <c r="L177" s="325">
        <v>0</v>
      </c>
      <c r="M177" s="327">
        <v>190</v>
      </c>
      <c r="N177" s="402" t="s">
        <v>2710</v>
      </c>
      <c r="O177" s="328" t="s">
        <v>1519</v>
      </c>
      <c r="P177" s="328" t="s">
        <v>1497</v>
      </c>
      <c r="Q177" s="329" t="s">
        <v>2330</v>
      </c>
      <c r="R177" s="330">
        <v>256226</v>
      </c>
      <c r="S177" s="331" t="s">
        <v>1163</v>
      </c>
      <c r="T177" s="332">
        <v>79</v>
      </c>
      <c r="U177" s="333" t="s">
        <v>2331</v>
      </c>
      <c r="V177" s="334"/>
      <c r="W177" s="334"/>
      <c r="X177" s="334"/>
      <c r="Y177" s="334"/>
      <c r="Z177" s="334"/>
      <c r="AA177" s="334"/>
      <c r="AB177" s="334"/>
      <c r="AC177" s="334"/>
      <c r="AD177" s="334"/>
      <c r="AE177" s="334"/>
      <c r="AF177" s="334"/>
      <c r="AG177" s="334"/>
      <c r="AH177" s="334" t="s">
        <v>2370</v>
      </c>
      <c r="AI177" s="334" t="s">
        <v>2370</v>
      </c>
      <c r="AJ177" s="334" t="s">
        <v>2370</v>
      </c>
      <c r="AK177" s="334" t="s">
        <v>2370</v>
      </c>
      <c r="AL177" s="334" t="s">
        <v>2370</v>
      </c>
      <c r="AM177" s="334" t="s">
        <v>2370</v>
      </c>
      <c r="AN177" s="334" t="s">
        <v>2370</v>
      </c>
      <c r="AO177" s="334" t="s">
        <v>2370</v>
      </c>
      <c r="AP177" s="334"/>
      <c r="AQ177" s="334"/>
      <c r="AR177" s="334"/>
      <c r="AS177" s="334" t="s">
        <v>2033</v>
      </c>
      <c r="AT177" s="334" t="s">
        <v>2033</v>
      </c>
      <c r="AU177" s="334" t="s">
        <v>2033</v>
      </c>
      <c r="AV177" s="334" t="s">
        <v>2033</v>
      </c>
      <c r="AW177" s="334" t="s">
        <v>2033</v>
      </c>
      <c r="AX177" s="334" t="s">
        <v>2033</v>
      </c>
      <c r="AY177" s="334" t="s">
        <v>2033</v>
      </c>
      <c r="AZ177" s="334" t="s">
        <v>2033</v>
      </c>
      <c r="BA177" s="334" t="s">
        <v>2033</v>
      </c>
      <c r="BB177" s="334" t="s">
        <v>2033</v>
      </c>
      <c r="BC177" s="334" t="s">
        <v>2033</v>
      </c>
      <c r="BD177" s="334" t="s">
        <v>2033</v>
      </c>
      <c r="BE177" s="334" t="s">
        <v>2033</v>
      </c>
      <c r="BF177" s="334" t="s">
        <v>2033</v>
      </c>
      <c r="BG177" s="334" t="s">
        <v>2033</v>
      </c>
      <c r="BH177" s="334" t="s">
        <v>2033</v>
      </c>
      <c r="BI177" s="334" t="s">
        <v>2034</v>
      </c>
      <c r="BJ177" s="334" t="s">
        <v>2034</v>
      </c>
      <c r="BK177" s="334" t="s">
        <v>2034</v>
      </c>
      <c r="BL177" s="334" t="s">
        <v>2034</v>
      </c>
      <c r="BM177" s="334" t="s">
        <v>2034</v>
      </c>
      <c r="BN177" s="334" t="s">
        <v>2034</v>
      </c>
      <c r="BO177" s="334" t="s">
        <v>2034</v>
      </c>
      <c r="BP177" s="334" t="s">
        <v>2034</v>
      </c>
      <c r="BQ177" s="334" t="s">
        <v>2034</v>
      </c>
      <c r="BR177" s="334" t="s">
        <v>2034</v>
      </c>
      <c r="BS177" s="334" t="s">
        <v>2034</v>
      </c>
      <c r="BT177" s="334" t="s">
        <v>2034</v>
      </c>
      <c r="BU177" s="334" t="s">
        <v>2034</v>
      </c>
      <c r="BV177" s="334" t="s">
        <v>2034</v>
      </c>
      <c r="BW177" s="334" t="s">
        <v>2034</v>
      </c>
      <c r="BX177" s="334"/>
      <c r="BY177" s="334" t="s">
        <v>2361</v>
      </c>
      <c r="BZ177" s="334" t="s">
        <v>2361</v>
      </c>
      <c r="CA177" s="334" t="s">
        <v>2361</v>
      </c>
      <c r="CB177" s="334" t="s">
        <v>2361</v>
      </c>
      <c r="CC177" s="334" t="s">
        <v>2361</v>
      </c>
      <c r="CD177" s="334" t="s">
        <v>2361</v>
      </c>
      <c r="CE177" s="334" t="s">
        <v>2361</v>
      </c>
      <c r="CF177" s="334" t="s">
        <v>2361</v>
      </c>
      <c r="CG177" s="334" t="s">
        <v>2359</v>
      </c>
      <c r="CH177" s="334" t="s">
        <v>2359</v>
      </c>
      <c r="CI177" s="334" t="s">
        <v>2359</v>
      </c>
      <c r="CJ177" s="334" t="s">
        <v>2359</v>
      </c>
      <c r="CK177" s="334" t="s">
        <v>2359</v>
      </c>
      <c r="CL177" s="334" t="s">
        <v>2359</v>
      </c>
      <c r="CM177" s="334"/>
      <c r="CN177" s="334"/>
      <c r="BID177" s="344" t="s">
        <v>2361</v>
      </c>
      <c r="BIE177" s="344" t="s">
        <v>2361</v>
      </c>
      <c r="BIF177" s="344" t="s">
        <v>2361</v>
      </c>
      <c r="BIG177" s="344" t="s">
        <v>2361</v>
      </c>
      <c r="BIH177" s="344" t="s">
        <v>2361</v>
      </c>
      <c r="BII177" s="344" t="s">
        <v>2361</v>
      </c>
      <c r="BIJ177" s="344" t="s">
        <v>2372</v>
      </c>
      <c r="BIK177" s="344" t="s">
        <v>2372</v>
      </c>
      <c r="BIL177" s="344" t="s">
        <v>2372</v>
      </c>
      <c r="BIM177" s="344" t="s">
        <v>2372</v>
      </c>
      <c r="BIN177" s="344" t="s">
        <v>2372</v>
      </c>
      <c r="BIO177" s="344" t="s">
        <v>2372</v>
      </c>
      <c r="BIP177" s="344" t="s">
        <v>2362</v>
      </c>
      <c r="BIQ177" s="344" t="s">
        <v>2362</v>
      </c>
      <c r="BIR177" s="344" t="s">
        <v>2362</v>
      </c>
      <c r="BIS177" s="344" t="s">
        <v>2362</v>
      </c>
      <c r="BIT177" s="344" t="s">
        <v>2362</v>
      </c>
      <c r="BIU177" s="344" t="s">
        <v>2362</v>
      </c>
      <c r="BIV177" s="344" t="s">
        <v>2036</v>
      </c>
      <c r="BIW177" s="344" t="s">
        <v>2036</v>
      </c>
      <c r="BIX177" s="344" t="s">
        <v>2036</v>
      </c>
      <c r="BIY177" s="344" t="s">
        <v>2036</v>
      </c>
      <c r="BIZ177" s="344" t="s">
        <v>2036</v>
      </c>
      <c r="BJA177" s="344" t="s">
        <v>2036</v>
      </c>
    </row>
    <row r="178" spans="1:92 1590:1757" s="344" customFormat="1" x14ac:dyDescent="0.25">
      <c r="A178" s="372">
        <v>6</v>
      </c>
      <c r="B178" s="372">
        <v>15</v>
      </c>
      <c r="C178" s="372">
        <v>16</v>
      </c>
      <c r="D178" s="372" t="s">
        <v>2418</v>
      </c>
      <c r="E178" s="372" t="s">
        <v>2435</v>
      </c>
      <c r="F178" s="372" t="s">
        <v>2435</v>
      </c>
      <c r="G178" s="372" t="s">
        <v>2435</v>
      </c>
      <c r="H178" s="372" t="s">
        <v>2435</v>
      </c>
      <c r="I178" s="372">
        <v>8</v>
      </c>
      <c r="J178" s="372">
        <v>0</v>
      </c>
      <c r="K178" s="372">
        <v>0</v>
      </c>
      <c r="L178" s="372">
        <v>0</v>
      </c>
      <c r="M178" s="359">
        <v>250</v>
      </c>
      <c r="N178" s="399" t="s">
        <v>1171</v>
      </c>
      <c r="O178" s="237" t="s">
        <v>2777</v>
      </c>
      <c r="P178" s="237" t="s">
        <v>1497</v>
      </c>
      <c r="Q178" s="360" t="s">
        <v>2334</v>
      </c>
      <c r="R178" s="361">
        <v>260264</v>
      </c>
      <c r="S178" s="369" t="s">
        <v>1163</v>
      </c>
      <c r="T178" s="380">
        <v>79</v>
      </c>
      <c r="U178" s="364" t="s">
        <v>2335</v>
      </c>
      <c r="V178" s="309"/>
      <c r="W178" s="309"/>
      <c r="X178" s="309"/>
      <c r="Y178" s="309"/>
      <c r="Z178" s="309"/>
      <c r="AA178" s="309"/>
      <c r="AB178" s="309"/>
      <c r="AC178" s="309"/>
      <c r="AD178" s="309"/>
      <c r="AE178" s="309"/>
      <c r="AF178" s="309"/>
      <c r="AG178" s="309"/>
      <c r="AH178" s="309" t="s">
        <v>2370</v>
      </c>
      <c r="AI178" s="309" t="s">
        <v>2370</v>
      </c>
      <c r="AJ178" s="309" t="s">
        <v>2370</v>
      </c>
      <c r="AK178" s="309" t="s">
        <v>2370</v>
      </c>
      <c r="AL178" s="309" t="s">
        <v>2370</v>
      </c>
      <c r="AM178" s="309" t="s">
        <v>2370</v>
      </c>
      <c r="AN178" s="309"/>
      <c r="AO178" s="309"/>
      <c r="AP178" s="309"/>
      <c r="AQ178" s="309"/>
      <c r="AR178" s="309"/>
      <c r="AS178" s="309" t="s">
        <v>2033</v>
      </c>
      <c r="AT178" s="309" t="s">
        <v>2033</v>
      </c>
      <c r="AU178" s="309" t="s">
        <v>2033</v>
      </c>
      <c r="AV178" s="309" t="s">
        <v>2033</v>
      </c>
      <c r="AW178" s="309" t="s">
        <v>2033</v>
      </c>
      <c r="AX178" s="309" t="s">
        <v>2033</v>
      </c>
      <c r="AY178" s="309" t="s">
        <v>2033</v>
      </c>
      <c r="AZ178" s="309" t="s">
        <v>2033</v>
      </c>
      <c r="BA178" s="309" t="s">
        <v>2033</v>
      </c>
      <c r="BB178" s="309" t="s">
        <v>2033</v>
      </c>
      <c r="BC178" s="309" t="s">
        <v>2033</v>
      </c>
      <c r="BD178" s="309" t="s">
        <v>2033</v>
      </c>
      <c r="BE178" s="309" t="s">
        <v>2033</v>
      </c>
      <c r="BF178" s="309" t="s">
        <v>2033</v>
      </c>
      <c r="BG178" s="309" t="s">
        <v>2033</v>
      </c>
      <c r="BH178" s="309" t="s">
        <v>2033</v>
      </c>
      <c r="BI178" s="309" t="s">
        <v>2034</v>
      </c>
      <c r="BJ178" s="309" t="s">
        <v>2034</v>
      </c>
      <c r="BK178" s="309" t="s">
        <v>2034</v>
      </c>
      <c r="BL178" s="309" t="s">
        <v>2034</v>
      </c>
      <c r="BM178" s="309" t="s">
        <v>2034</v>
      </c>
      <c r="BN178" s="309" t="s">
        <v>2034</v>
      </c>
      <c r="BO178" s="309" t="s">
        <v>2034</v>
      </c>
      <c r="BP178" s="309" t="s">
        <v>2034</v>
      </c>
      <c r="BQ178" s="309" t="s">
        <v>2034</v>
      </c>
      <c r="BR178" s="309" t="s">
        <v>2034</v>
      </c>
      <c r="BS178" s="309" t="s">
        <v>2034</v>
      </c>
      <c r="BT178" s="309" t="s">
        <v>2034</v>
      </c>
      <c r="BU178" s="309" t="s">
        <v>2034</v>
      </c>
      <c r="BV178" s="309" t="s">
        <v>2034</v>
      </c>
      <c r="BW178" s="309" t="s">
        <v>2034</v>
      </c>
      <c r="BX178" s="309"/>
      <c r="BY178" s="309" t="s">
        <v>2361</v>
      </c>
      <c r="BZ178" s="309" t="s">
        <v>2361</v>
      </c>
      <c r="CA178" s="309" t="s">
        <v>2361</v>
      </c>
      <c r="CB178" s="309" t="s">
        <v>2361</v>
      </c>
      <c r="CC178" s="309" t="s">
        <v>2361</v>
      </c>
      <c r="CD178" s="309" t="s">
        <v>2361</v>
      </c>
      <c r="CE178" s="309" t="s">
        <v>2361</v>
      </c>
      <c r="CF178" s="309" t="s">
        <v>2361</v>
      </c>
      <c r="CG178" s="309" t="s">
        <v>2359</v>
      </c>
      <c r="CH178" s="309" t="s">
        <v>2359</v>
      </c>
      <c r="CI178" s="309" t="s">
        <v>2359</v>
      </c>
      <c r="CJ178" s="309" t="s">
        <v>2359</v>
      </c>
      <c r="CK178" s="309" t="s">
        <v>2359</v>
      </c>
      <c r="CL178" s="309" t="s">
        <v>2359</v>
      </c>
      <c r="CM178" s="309"/>
      <c r="CN178" s="309"/>
      <c r="BJB178" s="344" t="s">
        <v>2361</v>
      </c>
      <c r="BJC178" s="344" t="s">
        <v>2361</v>
      </c>
      <c r="BJD178" s="344" t="s">
        <v>2361</v>
      </c>
      <c r="BJE178" s="344" t="s">
        <v>2361</v>
      </c>
      <c r="BJF178" s="344" t="s">
        <v>2361</v>
      </c>
      <c r="BJG178" s="344" t="s">
        <v>2361</v>
      </c>
      <c r="BJH178" s="344" t="s">
        <v>2372</v>
      </c>
      <c r="BJI178" s="344" t="s">
        <v>2372</v>
      </c>
      <c r="BJJ178" s="344" t="s">
        <v>2372</v>
      </c>
      <c r="BJK178" s="344" t="s">
        <v>2372</v>
      </c>
      <c r="BJL178" s="344" t="s">
        <v>2372</v>
      </c>
      <c r="BJM178" s="344" t="s">
        <v>2372</v>
      </c>
      <c r="BJN178" s="344" t="s">
        <v>2362</v>
      </c>
      <c r="BJO178" s="344" t="s">
        <v>2362</v>
      </c>
      <c r="BJP178" s="344" t="s">
        <v>2362</v>
      </c>
      <c r="BJQ178" s="344" t="s">
        <v>2362</v>
      </c>
      <c r="BJR178" s="344" t="s">
        <v>2362</v>
      </c>
      <c r="BJS178" s="344" t="s">
        <v>2362</v>
      </c>
      <c r="BJT178" s="344" t="s">
        <v>2036</v>
      </c>
      <c r="BJU178" s="344" t="s">
        <v>2036</v>
      </c>
      <c r="BJV178" s="344" t="s">
        <v>2036</v>
      </c>
      <c r="BJW178" s="344" t="s">
        <v>2036</v>
      </c>
      <c r="BJX178" s="344" t="s">
        <v>2036</v>
      </c>
      <c r="BJY178" s="344" t="s">
        <v>2036</v>
      </c>
    </row>
    <row r="179" spans="1:92 1590:1757" s="344" customFormat="1" x14ac:dyDescent="0.25">
      <c r="A179" s="325">
        <v>6</v>
      </c>
      <c r="B179" s="325">
        <v>15</v>
      </c>
      <c r="C179" s="325">
        <v>16</v>
      </c>
      <c r="D179" s="325" t="s">
        <v>2705</v>
      </c>
      <c r="E179" s="326" t="s">
        <v>2435</v>
      </c>
      <c r="F179" s="326" t="s">
        <v>2435</v>
      </c>
      <c r="G179" s="326" t="s">
        <v>2435</v>
      </c>
      <c r="H179" s="326" t="s">
        <v>2435</v>
      </c>
      <c r="I179" s="325">
        <v>8</v>
      </c>
      <c r="J179" s="325">
        <v>0</v>
      </c>
      <c r="K179" s="325">
        <v>0</v>
      </c>
      <c r="L179" s="325">
        <v>0</v>
      </c>
      <c r="M179" s="327">
        <v>232</v>
      </c>
      <c r="N179" s="402" t="s">
        <v>2711</v>
      </c>
      <c r="O179" s="328" t="s">
        <v>1519</v>
      </c>
      <c r="P179" s="328" t="s">
        <v>1497</v>
      </c>
      <c r="Q179" s="329" t="s">
        <v>2332</v>
      </c>
      <c r="R179" s="330">
        <v>269174</v>
      </c>
      <c r="S179" s="331" t="s">
        <v>1163</v>
      </c>
      <c r="T179" s="332">
        <v>77</v>
      </c>
      <c r="U179" s="333" t="s">
        <v>2333</v>
      </c>
      <c r="V179" s="334"/>
      <c r="W179" s="334"/>
      <c r="X179" s="334"/>
      <c r="Y179" s="334"/>
      <c r="Z179" s="334"/>
      <c r="AA179" s="334"/>
      <c r="AB179" s="334"/>
      <c r="AC179" s="334"/>
      <c r="AD179" s="334"/>
      <c r="AE179" s="334"/>
      <c r="AF179" s="334"/>
      <c r="AG179" s="334"/>
      <c r="AH179" s="334" t="s">
        <v>2370</v>
      </c>
      <c r="AI179" s="334" t="s">
        <v>2370</v>
      </c>
      <c r="AJ179" s="334" t="s">
        <v>2370</v>
      </c>
      <c r="AK179" s="334" t="s">
        <v>2370</v>
      </c>
      <c r="AL179" s="334" t="s">
        <v>2370</v>
      </c>
      <c r="AM179" s="334" t="s">
        <v>2370</v>
      </c>
      <c r="AN179" s="334" t="s">
        <v>2370</v>
      </c>
      <c r="AO179" s="334" t="s">
        <v>2370</v>
      </c>
      <c r="AP179" s="334"/>
      <c r="AQ179" s="334"/>
      <c r="AR179" s="334"/>
      <c r="AS179" s="334" t="s">
        <v>2033</v>
      </c>
      <c r="AT179" s="334" t="s">
        <v>2033</v>
      </c>
      <c r="AU179" s="334" t="s">
        <v>2033</v>
      </c>
      <c r="AV179" s="334" t="s">
        <v>2033</v>
      </c>
      <c r="AW179" s="334" t="s">
        <v>2033</v>
      </c>
      <c r="AX179" s="334" t="s">
        <v>2033</v>
      </c>
      <c r="AY179" s="334" t="s">
        <v>2033</v>
      </c>
      <c r="AZ179" s="334" t="s">
        <v>2033</v>
      </c>
      <c r="BA179" s="334" t="s">
        <v>2033</v>
      </c>
      <c r="BB179" s="334" t="s">
        <v>2033</v>
      </c>
      <c r="BC179" s="334" t="s">
        <v>2033</v>
      </c>
      <c r="BD179" s="334" t="s">
        <v>2033</v>
      </c>
      <c r="BE179" s="334" t="s">
        <v>2033</v>
      </c>
      <c r="BF179" s="334" t="s">
        <v>2033</v>
      </c>
      <c r="BG179" s="334" t="s">
        <v>2033</v>
      </c>
      <c r="BH179" s="334" t="s">
        <v>2033</v>
      </c>
      <c r="BI179" s="334" t="s">
        <v>2034</v>
      </c>
      <c r="BJ179" s="334" t="s">
        <v>2034</v>
      </c>
      <c r="BK179" s="334" t="s">
        <v>2034</v>
      </c>
      <c r="BL179" s="334" t="s">
        <v>2034</v>
      </c>
      <c r="BM179" s="334" t="s">
        <v>2034</v>
      </c>
      <c r="BN179" s="334" t="s">
        <v>2034</v>
      </c>
      <c r="BO179" s="334" t="s">
        <v>2034</v>
      </c>
      <c r="BP179" s="334" t="s">
        <v>2034</v>
      </c>
      <c r="BQ179" s="334" t="s">
        <v>2034</v>
      </c>
      <c r="BR179" s="334" t="s">
        <v>2034</v>
      </c>
      <c r="BS179" s="334" t="s">
        <v>2034</v>
      </c>
      <c r="BT179" s="334" t="s">
        <v>2034</v>
      </c>
      <c r="BU179" s="334" t="s">
        <v>2034</v>
      </c>
      <c r="BV179" s="334" t="s">
        <v>2034</v>
      </c>
      <c r="BW179" s="334" t="s">
        <v>2034</v>
      </c>
      <c r="BX179" s="334"/>
      <c r="BY179" s="334" t="s">
        <v>2361</v>
      </c>
      <c r="BZ179" s="334" t="s">
        <v>2361</v>
      </c>
      <c r="CA179" s="334" t="s">
        <v>2361</v>
      </c>
      <c r="CB179" s="334" t="s">
        <v>2361</v>
      </c>
      <c r="CC179" s="334" t="s">
        <v>2361</v>
      </c>
      <c r="CD179" s="334" t="s">
        <v>2361</v>
      </c>
      <c r="CE179" s="334" t="s">
        <v>2361</v>
      </c>
      <c r="CF179" s="334" t="s">
        <v>2361</v>
      </c>
      <c r="CG179" s="334" t="s">
        <v>2359</v>
      </c>
      <c r="CH179" s="334" t="s">
        <v>2359</v>
      </c>
      <c r="CI179" s="334" t="s">
        <v>2359</v>
      </c>
      <c r="CJ179" s="334" t="s">
        <v>2359</v>
      </c>
      <c r="CK179" s="334" t="s">
        <v>2359</v>
      </c>
      <c r="CL179" s="334" t="s">
        <v>2359</v>
      </c>
      <c r="CM179" s="334"/>
      <c r="CN179" s="334"/>
      <c r="BJZ179" s="344" t="s">
        <v>2361</v>
      </c>
      <c r="BKA179" s="344" t="s">
        <v>2361</v>
      </c>
      <c r="BKB179" s="344" t="s">
        <v>2361</v>
      </c>
      <c r="BKC179" s="344" t="s">
        <v>2361</v>
      </c>
      <c r="BKD179" s="344" t="s">
        <v>2361</v>
      </c>
      <c r="BKE179" s="344" t="s">
        <v>2361</v>
      </c>
      <c r="BKF179" s="344" t="s">
        <v>2372</v>
      </c>
      <c r="BKG179" s="344" t="s">
        <v>2372</v>
      </c>
      <c r="BKH179" s="344" t="s">
        <v>2372</v>
      </c>
      <c r="BKI179" s="344" t="s">
        <v>2372</v>
      </c>
      <c r="BKJ179" s="344" t="s">
        <v>2372</v>
      </c>
      <c r="BKK179" s="344" t="s">
        <v>2372</v>
      </c>
      <c r="BKL179" s="344" t="s">
        <v>2362</v>
      </c>
      <c r="BKM179" s="344" t="s">
        <v>2362</v>
      </c>
      <c r="BKN179" s="344" t="s">
        <v>2362</v>
      </c>
      <c r="BKO179" s="344" t="s">
        <v>2362</v>
      </c>
      <c r="BKP179" s="344" t="s">
        <v>2362</v>
      </c>
      <c r="BKQ179" s="344" t="s">
        <v>2362</v>
      </c>
      <c r="BKR179" s="344" t="s">
        <v>2036</v>
      </c>
      <c r="BKS179" s="344" t="s">
        <v>2036</v>
      </c>
      <c r="BKT179" s="344" t="s">
        <v>2036</v>
      </c>
      <c r="BKU179" s="344" t="s">
        <v>2036</v>
      </c>
      <c r="BKV179" s="344" t="s">
        <v>2036</v>
      </c>
      <c r="BKW179" s="344" t="s">
        <v>2036</v>
      </c>
    </row>
    <row r="180" spans="1:92 1590:1757" s="344" customFormat="1" x14ac:dyDescent="0.25">
      <c r="A180" s="335">
        <v>6</v>
      </c>
      <c r="B180" s="335">
        <v>15</v>
      </c>
      <c r="C180" s="335">
        <v>16</v>
      </c>
      <c r="D180" s="335" t="s">
        <v>2693</v>
      </c>
      <c r="E180" s="336" t="s">
        <v>2435</v>
      </c>
      <c r="F180" s="336" t="s">
        <v>2435</v>
      </c>
      <c r="G180" s="336" t="s">
        <v>2435</v>
      </c>
      <c r="H180" s="336" t="s">
        <v>2435</v>
      </c>
      <c r="I180" s="335">
        <v>8</v>
      </c>
      <c r="J180" s="335">
        <v>0</v>
      </c>
      <c r="K180" s="335">
        <v>0</v>
      </c>
      <c r="L180" s="335">
        <v>0</v>
      </c>
      <c r="M180" s="337">
        <v>250</v>
      </c>
      <c r="N180" s="401" t="s">
        <v>2699</v>
      </c>
      <c r="O180" s="338" t="s">
        <v>1519</v>
      </c>
      <c r="P180" s="338" t="s">
        <v>1497</v>
      </c>
      <c r="Q180" s="339" t="s">
        <v>2334</v>
      </c>
      <c r="R180" s="340">
        <v>275264</v>
      </c>
      <c r="S180" s="341" t="s">
        <v>1163</v>
      </c>
      <c r="T180" s="342">
        <v>79</v>
      </c>
      <c r="U180" s="343" t="s">
        <v>2335</v>
      </c>
      <c r="AH180" s="344" t="s">
        <v>2370</v>
      </c>
      <c r="AI180" s="344" t="s">
        <v>2370</v>
      </c>
      <c r="AJ180" s="344" t="s">
        <v>2370</v>
      </c>
      <c r="AK180" s="344" t="s">
        <v>2370</v>
      </c>
      <c r="AL180" s="344" t="s">
        <v>2370</v>
      </c>
      <c r="AM180" s="344" t="s">
        <v>2370</v>
      </c>
      <c r="AN180" s="344" t="s">
        <v>2370</v>
      </c>
      <c r="AS180" s="344" t="s">
        <v>2033</v>
      </c>
      <c r="AT180" s="344" t="s">
        <v>2033</v>
      </c>
      <c r="AU180" s="344" t="s">
        <v>2033</v>
      </c>
      <c r="AV180" s="344" t="s">
        <v>2033</v>
      </c>
      <c r="AW180" s="344" t="s">
        <v>2033</v>
      </c>
      <c r="AX180" s="344" t="s">
        <v>2033</v>
      </c>
      <c r="AY180" s="344" t="s">
        <v>2033</v>
      </c>
      <c r="AZ180" s="344" t="s">
        <v>2033</v>
      </c>
      <c r="BA180" s="344" t="s">
        <v>2033</v>
      </c>
      <c r="BB180" s="344" t="s">
        <v>2033</v>
      </c>
      <c r="BC180" s="344" t="s">
        <v>2033</v>
      </c>
      <c r="BD180" s="344" t="s">
        <v>2033</v>
      </c>
      <c r="BE180" s="344" t="s">
        <v>2033</v>
      </c>
      <c r="BF180" s="344" t="s">
        <v>2033</v>
      </c>
      <c r="BG180" s="344" t="s">
        <v>2033</v>
      </c>
      <c r="BH180" s="344" t="s">
        <v>2033</v>
      </c>
      <c r="BI180" s="344" t="s">
        <v>2034</v>
      </c>
      <c r="BJ180" s="344" t="s">
        <v>2034</v>
      </c>
      <c r="BK180" s="344" t="s">
        <v>2034</v>
      </c>
      <c r="BL180" s="344" t="s">
        <v>2034</v>
      </c>
      <c r="BM180" s="344" t="s">
        <v>2034</v>
      </c>
      <c r="BN180" s="344" t="s">
        <v>2034</v>
      </c>
      <c r="BO180" s="344" t="s">
        <v>2034</v>
      </c>
      <c r="BP180" s="344" t="s">
        <v>2034</v>
      </c>
      <c r="BQ180" s="344" t="s">
        <v>2034</v>
      </c>
      <c r="BR180" s="344" t="s">
        <v>2034</v>
      </c>
      <c r="BS180" s="344" t="s">
        <v>2034</v>
      </c>
      <c r="BT180" s="344" t="s">
        <v>2034</v>
      </c>
      <c r="BU180" s="344" t="s">
        <v>2034</v>
      </c>
      <c r="BV180" s="344" t="s">
        <v>2034</v>
      </c>
      <c r="BW180" s="344" t="s">
        <v>2034</v>
      </c>
      <c r="BY180" s="344" t="s">
        <v>2361</v>
      </c>
      <c r="BZ180" s="344" t="s">
        <v>2361</v>
      </c>
      <c r="CA180" s="344" t="s">
        <v>2361</v>
      </c>
      <c r="CB180" s="344" t="s">
        <v>2361</v>
      </c>
      <c r="CC180" s="344" t="s">
        <v>2361</v>
      </c>
      <c r="CD180" s="344" t="s">
        <v>2361</v>
      </c>
      <c r="CE180" s="344" t="s">
        <v>2361</v>
      </c>
      <c r="CF180" s="344" t="s">
        <v>2361</v>
      </c>
      <c r="CG180" s="344" t="s">
        <v>2359</v>
      </c>
      <c r="CH180" s="344" t="s">
        <v>2359</v>
      </c>
      <c r="CI180" s="344" t="s">
        <v>2359</v>
      </c>
      <c r="CJ180" s="344" t="s">
        <v>2359</v>
      </c>
      <c r="CK180" s="344" t="s">
        <v>2359</v>
      </c>
      <c r="CL180" s="344" t="s">
        <v>2359</v>
      </c>
      <c r="BKX180" s="344" t="s">
        <v>2361</v>
      </c>
      <c r="BKY180" s="344" t="s">
        <v>2361</v>
      </c>
      <c r="BKZ180" s="344" t="s">
        <v>2361</v>
      </c>
      <c r="BLA180" s="344" t="s">
        <v>2361</v>
      </c>
      <c r="BLB180" s="344" t="s">
        <v>2361</v>
      </c>
      <c r="BLC180" s="344" t="s">
        <v>2361</v>
      </c>
      <c r="BLD180" s="344" t="s">
        <v>2372</v>
      </c>
      <c r="BLE180" s="344" t="s">
        <v>2372</v>
      </c>
      <c r="BLF180" s="344" t="s">
        <v>2372</v>
      </c>
      <c r="BLG180" s="344" t="s">
        <v>2372</v>
      </c>
      <c r="BLH180" s="344" t="s">
        <v>2372</v>
      </c>
      <c r="BLI180" s="344" t="s">
        <v>2372</v>
      </c>
      <c r="BLJ180" s="344" t="s">
        <v>2362</v>
      </c>
      <c r="BLK180" s="344" t="s">
        <v>2362</v>
      </c>
      <c r="BLL180" s="344" t="s">
        <v>2362</v>
      </c>
      <c r="BLM180" s="344" t="s">
        <v>2362</v>
      </c>
      <c r="BLN180" s="344" t="s">
        <v>2362</v>
      </c>
      <c r="BLO180" s="344" t="s">
        <v>2362</v>
      </c>
      <c r="BLP180" s="344" t="s">
        <v>2036</v>
      </c>
      <c r="BLQ180" s="344" t="s">
        <v>2036</v>
      </c>
      <c r="BLR180" s="344" t="s">
        <v>2036</v>
      </c>
      <c r="BLS180" s="344" t="s">
        <v>2036</v>
      </c>
      <c r="BLT180" s="344" t="s">
        <v>2036</v>
      </c>
      <c r="BLU180" s="344" t="s">
        <v>2036</v>
      </c>
    </row>
    <row r="181" spans="1:92 1590:1757" s="344" customFormat="1" x14ac:dyDescent="0.25">
      <c r="A181" s="372">
        <v>4</v>
      </c>
      <c r="B181" s="372">
        <v>7</v>
      </c>
      <c r="C181" s="372">
        <v>8</v>
      </c>
      <c r="D181" s="372" t="s">
        <v>2408</v>
      </c>
      <c r="E181" s="372" t="s">
        <v>2435</v>
      </c>
      <c r="F181" s="372" t="s">
        <v>2435</v>
      </c>
      <c r="G181" s="372" t="s">
        <v>2435</v>
      </c>
      <c r="H181" s="372" t="s">
        <v>2435</v>
      </c>
      <c r="I181" s="372">
        <v>4</v>
      </c>
      <c r="J181" s="372">
        <v>0</v>
      </c>
      <c r="K181" s="372">
        <v>0</v>
      </c>
      <c r="L181" s="372">
        <v>0</v>
      </c>
      <c r="M181" s="359">
        <v>272</v>
      </c>
      <c r="N181" s="399" t="s">
        <v>1133</v>
      </c>
      <c r="O181" s="237" t="s">
        <v>2776</v>
      </c>
      <c r="P181" s="237"/>
      <c r="Q181" s="360" t="s">
        <v>2311</v>
      </c>
      <c r="R181" s="361">
        <v>286277</v>
      </c>
      <c r="S181" s="369" t="s">
        <v>1135</v>
      </c>
      <c r="T181" s="380">
        <v>109</v>
      </c>
      <c r="U181" s="364" t="s">
        <v>2312</v>
      </c>
      <c r="V181" s="309"/>
      <c r="W181" s="309"/>
      <c r="X181" s="309"/>
      <c r="Y181" s="309"/>
      <c r="Z181" s="309"/>
      <c r="AA181" s="309"/>
      <c r="AB181" s="309"/>
      <c r="AC181" s="309"/>
      <c r="AD181" s="309"/>
      <c r="AE181" s="309"/>
      <c r="AF181" s="309"/>
      <c r="AG181" s="309"/>
      <c r="AH181" s="309" t="s">
        <v>2370</v>
      </c>
      <c r="AI181" s="309" t="s">
        <v>2370</v>
      </c>
      <c r="AJ181" s="309" t="s">
        <v>2370</v>
      </c>
      <c r="AK181" s="309" t="s">
        <v>2370</v>
      </c>
      <c r="AL181" s="309"/>
      <c r="AM181" s="309"/>
      <c r="AN181" s="309"/>
      <c r="AO181" s="309"/>
      <c r="AP181" s="309"/>
      <c r="AQ181" s="309"/>
      <c r="AR181" s="309"/>
      <c r="AS181" s="309" t="s">
        <v>2033</v>
      </c>
      <c r="AT181" s="309" t="s">
        <v>2033</v>
      </c>
      <c r="AU181" s="309" t="s">
        <v>2033</v>
      </c>
      <c r="AV181" s="309" t="s">
        <v>2033</v>
      </c>
      <c r="AW181" s="309" t="s">
        <v>2033</v>
      </c>
      <c r="AX181" s="309" t="s">
        <v>2033</v>
      </c>
      <c r="AY181" s="309" t="s">
        <v>2033</v>
      </c>
      <c r="AZ181" s="309" t="s">
        <v>2033</v>
      </c>
      <c r="BA181" s="309" t="s">
        <v>2034</v>
      </c>
      <c r="BB181" s="309" t="s">
        <v>2034</v>
      </c>
      <c r="BC181" s="309" t="s">
        <v>2034</v>
      </c>
      <c r="BD181" s="309" t="s">
        <v>2034</v>
      </c>
      <c r="BE181" s="309" t="s">
        <v>2034</v>
      </c>
      <c r="BF181" s="309" t="s">
        <v>2034</v>
      </c>
      <c r="BG181" s="309" t="s">
        <v>2034</v>
      </c>
      <c r="BH181" s="309"/>
      <c r="BI181" s="309"/>
      <c r="BJ181" s="309"/>
      <c r="BK181" s="309"/>
      <c r="BL181" s="309"/>
      <c r="BM181" s="309"/>
      <c r="BN181" s="309"/>
      <c r="BO181" s="309"/>
      <c r="BP181" s="309"/>
      <c r="BQ181" s="309"/>
      <c r="BR181" s="309"/>
      <c r="BS181" s="309"/>
      <c r="BT181" s="309"/>
      <c r="BU181" s="309"/>
      <c r="BV181" s="309"/>
      <c r="BW181" s="309"/>
      <c r="BX181" s="309"/>
      <c r="BY181" s="309" t="s">
        <v>2361</v>
      </c>
      <c r="BZ181" s="309" t="s">
        <v>2361</v>
      </c>
      <c r="CA181" s="309" t="s">
        <v>2361</v>
      </c>
      <c r="CB181" s="309" t="s">
        <v>2361</v>
      </c>
      <c r="CC181" s="309" t="s">
        <v>2359</v>
      </c>
      <c r="CD181" s="309" t="s">
        <v>2359</v>
      </c>
      <c r="CE181" s="309" t="s">
        <v>2359</v>
      </c>
      <c r="CF181" s="309" t="s">
        <v>2359</v>
      </c>
      <c r="CG181" s="309"/>
      <c r="CH181" s="309"/>
      <c r="CI181" s="309"/>
      <c r="CJ181" s="309"/>
      <c r="CK181" s="309"/>
      <c r="CL181" s="309"/>
      <c r="CM181" s="309"/>
      <c r="CN181" s="309"/>
      <c r="BLV181" s="344" t="s">
        <v>2361</v>
      </c>
      <c r="BLW181" s="344" t="s">
        <v>2361</v>
      </c>
      <c r="BLX181" s="344" t="s">
        <v>2361</v>
      </c>
      <c r="BLY181" s="344" t="s">
        <v>2361</v>
      </c>
      <c r="BLZ181" s="344" t="s">
        <v>2361</v>
      </c>
      <c r="BMA181" s="344" t="s">
        <v>2361</v>
      </c>
      <c r="BMB181" s="344" t="s">
        <v>2372</v>
      </c>
      <c r="BMC181" s="344" t="s">
        <v>2372</v>
      </c>
      <c r="BMD181" s="344" t="s">
        <v>2372</v>
      </c>
      <c r="BME181" s="344" t="s">
        <v>2372</v>
      </c>
      <c r="BMF181" s="344" t="s">
        <v>2372</v>
      </c>
      <c r="BMG181" s="344" t="s">
        <v>2372</v>
      </c>
      <c r="BMH181" s="344" t="s">
        <v>2362</v>
      </c>
      <c r="BMI181" s="344" t="s">
        <v>2362</v>
      </c>
      <c r="BMJ181" s="344" t="s">
        <v>2362</v>
      </c>
      <c r="BMK181" s="344" t="s">
        <v>2362</v>
      </c>
      <c r="BML181" s="344" t="s">
        <v>2362</v>
      </c>
      <c r="BMM181" s="344" t="s">
        <v>2362</v>
      </c>
      <c r="BMN181" s="344" t="s">
        <v>2036</v>
      </c>
      <c r="BMO181" s="344" t="s">
        <v>2036</v>
      </c>
      <c r="BMP181" s="344" t="s">
        <v>2036</v>
      </c>
      <c r="BMQ181" s="344" t="s">
        <v>2036</v>
      </c>
      <c r="BMR181" s="344" t="s">
        <v>2036</v>
      </c>
      <c r="BMS181" s="344" t="s">
        <v>2036</v>
      </c>
    </row>
    <row r="182" spans="1:92 1590:1757" s="344" customFormat="1" x14ac:dyDescent="0.25">
      <c r="A182" s="325">
        <v>6</v>
      </c>
      <c r="B182" s="325">
        <v>15</v>
      </c>
      <c r="C182" s="325">
        <v>16</v>
      </c>
      <c r="D182" s="325" t="s">
        <v>2706</v>
      </c>
      <c r="E182" s="326" t="s">
        <v>2435</v>
      </c>
      <c r="F182" s="326" t="s">
        <v>2435</v>
      </c>
      <c r="G182" s="326" t="s">
        <v>2435</v>
      </c>
      <c r="H182" s="326" t="s">
        <v>2435</v>
      </c>
      <c r="I182" s="325">
        <v>8</v>
      </c>
      <c r="J182" s="325">
        <v>0</v>
      </c>
      <c r="K182" s="325">
        <v>0</v>
      </c>
      <c r="L182" s="325">
        <v>0</v>
      </c>
      <c r="M182" s="327">
        <v>250</v>
      </c>
      <c r="N182" s="402" t="s">
        <v>2712</v>
      </c>
      <c r="O182" s="328" t="s">
        <v>1519</v>
      </c>
      <c r="P182" s="328" t="s">
        <v>1497</v>
      </c>
      <c r="Q182" s="329" t="s">
        <v>2334</v>
      </c>
      <c r="R182" s="330">
        <v>290264</v>
      </c>
      <c r="S182" s="331" t="s">
        <v>1163</v>
      </c>
      <c r="T182" s="332">
        <v>79</v>
      </c>
      <c r="U182" s="333" t="s">
        <v>2335</v>
      </c>
      <c r="V182" s="334"/>
      <c r="W182" s="334"/>
      <c r="X182" s="334"/>
      <c r="Y182" s="334"/>
      <c r="Z182" s="334"/>
      <c r="AA182" s="334"/>
      <c r="AB182" s="334"/>
      <c r="AC182" s="334"/>
      <c r="AD182" s="334"/>
      <c r="AE182" s="334"/>
      <c r="AF182" s="334"/>
      <c r="AG182" s="334"/>
      <c r="AH182" s="334" t="s">
        <v>2370</v>
      </c>
      <c r="AI182" s="334" t="s">
        <v>2370</v>
      </c>
      <c r="AJ182" s="334" t="s">
        <v>2370</v>
      </c>
      <c r="AK182" s="334" t="s">
        <v>2370</v>
      </c>
      <c r="AL182" s="334" t="s">
        <v>2370</v>
      </c>
      <c r="AM182" s="334" t="s">
        <v>2370</v>
      </c>
      <c r="AN182" s="334" t="s">
        <v>2370</v>
      </c>
      <c r="AO182" s="334" t="s">
        <v>2370</v>
      </c>
      <c r="AP182" s="334"/>
      <c r="AQ182" s="334"/>
      <c r="AR182" s="334"/>
      <c r="AS182" s="334" t="s">
        <v>2033</v>
      </c>
      <c r="AT182" s="334" t="s">
        <v>2033</v>
      </c>
      <c r="AU182" s="334" t="s">
        <v>2033</v>
      </c>
      <c r="AV182" s="334" t="s">
        <v>2033</v>
      </c>
      <c r="AW182" s="334" t="s">
        <v>2033</v>
      </c>
      <c r="AX182" s="334" t="s">
        <v>2033</v>
      </c>
      <c r="AY182" s="334" t="s">
        <v>2033</v>
      </c>
      <c r="AZ182" s="334" t="s">
        <v>2033</v>
      </c>
      <c r="BA182" s="334" t="s">
        <v>2033</v>
      </c>
      <c r="BB182" s="334" t="s">
        <v>2033</v>
      </c>
      <c r="BC182" s="334" t="s">
        <v>2033</v>
      </c>
      <c r="BD182" s="334" t="s">
        <v>2033</v>
      </c>
      <c r="BE182" s="334" t="s">
        <v>2033</v>
      </c>
      <c r="BF182" s="334" t="s">
        <v>2033</v>
      </c>
      <c r="BG182" s="334" t="s">
        <v>2033</v>
      </c>
      <c r="BH182" s="334" t="s">
        <v>2033</v>
      </c>
      <c r="BI182" s="334" t="s">
        <v>2034</v>
      </c>
      <c r="BJ182" s="334" t="s">
        <v>2034</v>
      </c>
      <c r="BK182" s="334" t="s">
        <v>2034</v>
      </c>
      <c r="BL182" s="334" t="s">
        <v>2034</v>
      </c>
      <c r="BM182" s="334" t="s">
        <v>2034</v>
      </c>
      <c r="BN182" s="334" t="s">
        <v>2034</v>
      </c>
      <c r="BO182" s="334" t="s">
        <v>2034</v>
      </c>
      <c r="BP182" s="334" t="s">
        <v>2034</v>
      </c>
      <c r="BQ182" s="334" t="s">
        <v>2034</v>
      </c>
      <c r="BR182" s="334" t="s">
        <v>2034</v>
      </c>
      <c r="BS182" s="334" t="s">
        <v>2034</v>
      </c>
      <c r="BT182" s="334" t="s">
        <v>2034</v>
      </c>
      <c r="BU182" s="334" t="s">
        <v>2034</v>
      </c>
      <c r="BV182" s="334" t="s">
        <v>2034</v>
      </c>
      <c r="BW182" s="334" t="s">
        <v>2034</v>
      </c>
      <c r="BX182" s="334"/>
      <c r="BY182" s="334" t="s">
        <v>2361</v>
      </c>
      <c r="BZ182" s="334" t="s">
        <v>2361</v>
      </c>
      <c r="CA182" s="334" t="s">
        <v>2361</v>
      </c>
      <c r="CB182" s="334" t="s">
        <v>2361</v>
      </c>
      <c r="CC182" s="334" t="s">
        <v>2361</v>
      </c>
      <c r="CD182" s="334" t="s">
        <v>2361</v>
      </c>
      <c r="CE182" s="334" t="s">
        <v>2361</v>
      </c>
      <c r="CF182" s="334" t="s">
        <v>2361</v>
      </c>
      <c r="CG182" s="334" t="s">
        <v>2359</v>
      </c>
      <c r="CH182" s="334" t="s">
        <v>2359</v>
      </c>
      <c r="CI182" s="334" t="s">
        <v>2359</v>
      </c>
      <c r="CJ182" s="334" t="s">
        <v>2359</v>
      </c>
      <c r="CK182" s="334" t="s">
        <v>2359</v>
      </c>
      <c r="CL182" s="334" t="s">
        <v>2359</v>
      </c>
      <c r="CM182" s="334"/>
      <c r="CN182" s="334"/>
      <c r="BMT182" s="344" t="s">
        <v>2361</v>
      </c>
      <c r="BMU182" s="344" t="s">
        <v>2361</v>
      </c>
      <c r="BMV182" s="344" t="s">
        <v>2361</v>
      </c>
      <c r="BMW182" s="344" t="s">
        <v>2361</v>
      </c>
      <c r="BMX182" s="344" t="s">
        <v>2361</v>
      </c>
      <c r="BMY182" s="344" t="s">
        <v>2361</v>
      </c>
      <c r="BMZ182" s="344" t="s">
        <v>2372</v>
      </c>
      <c r="BNA182" s="344" t="s">
        <v>2372</v>
      </c>
      <c r="BNB182" s="344" t="s">
        <v>2372</v>
      </c>
      <c r="BNC182" s="344" t="s">
        <v>2372</v>
      </c>
      <c r="BND182" s="344" t="s">
        <v>2372</v>
      </c>
      <c r="BNE182" s="344" t="s">
        <v>2372</v>
      </c>
      <c r="BNF182" s="344" t="s">
        <v>2362</v>
      </c>
      <c r="BNG182" s="344" t="s">
        <v>2362</v>
      </c>
      <c r="BNH182" s="344" t="s">
        <v>2362</v>
      </c>
      <c r="BNI182" s="344" t="s">
        <v>2362</v>
      </c>
      <c r="BNJ182" s="344" t="s">
        <v>2362</v>
      </c>
      <c r="BNK182" s="344" t="s">
        <v>2362</v>
      </c>
      <c r="BNL182" s="344" t="s">
        <v>2036</v>
      </c>
      <c r="BNM182" s="344" t="s">
        <v>2036</v>
      </c>
      <c r="BNN182" s="344" t="s">
        <v>2036</v>
      </c>
      <c r="BNO182" s="344" t="s">
        <v>2036</v>
      </c>
      <c r="BNP182" s="344" t="s">
        <v>2036</v>
      </c>
      <c r="BNQ182" s="344" t="s">
        <v>2036</v>
      </c>
    </row>
    <row r="183" spans="1:92 1590:1757" s="344" customFormat="1" x14ac:dyDescent="0.25">
      <c r="A183" s="372">
        <v>5</v>
      </c>
      <c r="B183" s="372">
        <v>7</v>
      </c>
      <c r="C183" s="372">
        <v>12</v>
      </c>
      <c r="D183" s="372" t="s">
        <v>2412</v>
      </c>
      <c r="E183" s="372" t="s">
        <v>2435</v>
      </c>
      <c r="F183" s="372" t="s">
        <v>2435</v>
      </c>
      <c r="G183" s="372" t="s">
        <v>2435</v>
      </c>
      <c r="H183" s="372" t="s">
        <v>2435</v>
      </c>
      <c r="I183" s="372">
        <v>5</v>
      </c>
      <c r="J183" s="372">
        <v>0</v>
      </c>
      <c r="K183" s="372">
        <v>0</v>
      </c>
      <c r="L183" s="372">
        <v>0</v>
      </c>
      <c r="M183" s="359">
        <v>275</v>
      </c>
      <c r="N183" s="399" t="s">
        <v>1152</v>
      </c>
      <c r="O183" s="237" t="s">
        <v>2777</v>
      </c>
      <c r="P183" s="237"/>
      <c r="Q183" s="360" t="s">
        <v>2323</v>
      </c>
      <c r="R183" s="361">
        <v>313948</v>
      </c>
      <c r="S183" s="369" t="s">
        <v>1135</v>
      </c>
      <c r="T183" s="380">
        <v>113</v>
      </c>
      <c r="U183" s="364" t="s">
        <v>2324</v>
      </c>
      <c r="V183" s="309"/>
      <c r="W183" s="309"/>
      <c r="X183" s="309"/>
      <c r="Y183" s="309"/>
      <c r="Z183" s="309"/>
      <c r="AA183" s="309"/>
      <c r="AB183" s="309"/>
      <c r="AC183" s="309"/>
      <c r="AD183" s="309"/>
      <c r="AE183" s="309"/>
      <c r="AF183" s="309"/>
      <c r="AG183" s="309"/>
      <c r="AH183" s="309" t="s">
        <v>2370</v>
      </c>
      <c r="AI183" s="309" t="s">
        <v>2370</v>
      </c>
      <c r="AJ183" s="309" t="s">
        <v>2370</v>
      </c>
      <c r="AK183" s="309" t="s">
        <v>2370</v>
      </c>
      <c r="AL183" s="309" t="s">
        <v>2370</v>
      </c>
      <c r="AM183" s="309"/>
      <c r="AN183" s="309"/>
      <c r="AO183" s="309"/>
      <c r="AP183" s="309"/>
      <c r="AQ183" s="309"/>
      <c r="AR183" s="309"/>
      <c r="AS183" s="309" t="s">
        <v>2033</v>
      </c>
      <c r="AT183" s="309" t="s">
        <v>2033</v>
      </c>
      <c r="AU183" s="309" t="s">
        <v>2033</v>
      </c>
      <c r="AV183" s="309" t="s">
        <v>2033</v>
      </c>
      <c r="AW183" s="309" t="s">
        <v>2033</v>
      </c>
      <c r="AX183" s="309" t="s">
        <v>2033</v>
      </c>
      <c r="AY183" s="309" t="s">
        <v>2033</v>
      </c>
      <c r="AZ183" s="309" t="s">
        <v>2033</v>
      </c>
      <c r="BA183" s="309" t="s">
        <v>2033</v>
      </c>
      <c r="BB183" s="309" t="s">
        <v>2033</v>
      </c>
      <c r="BC183" s="309" t="s">
        <v>2033</v>
      </c>
      <c r="BD183" s="309" t="s">
        <v>2033</v>
      </c>
      <c r="BE183" s="309" t="s">
        <v>2034</v>
      </c>
      <c r="BF183" s="309" t="s">
        <v>2034</v>
      </c>
      <c r="BG183" s="309" t="s">
        <v>2034</v>
      </c>
      <c r="BH183" s="309" t="s">
        <v>2034</v>
      </c>
      <c r="BI183" s="309" t="s">
        <v>2034</v>
      </c>
      <c r="BJ183" s="309" t="s">
        <v>2034</v>
      </c>
      <c r="BK183" s="309" t="s">
        <v>2034</v>
      </c>
      <c r="BL183" s="309"/>
      <c r="BM183" s="309"/>
      <c r="BN183" s="309"/>
      <c r="BO183" s="309"/>
      <c r="BP183" s="309"/>
      <c r="BQ183" s="309"/>
      <c r="BR183" s="309"/>
      <c r="BS183" s="309"/>
      <c r="BT183" s="309"/>
      <c r="BU183" s="309"/>
      <c r="BV183" s="309"/>
      <c r="BW183" s="309"/>
      <c r="BX183" s="309"/>
      <c r="BY183" s="309" t="s">
        <v>2361</v>
      </c>
      <c r="BZ183" s="309" t="s">
        <v>2361</v>
      </c>
      <c r="CA183" s="309" t="s">
        <v>2361</v>
      </c>
      <c r="CB183" s="309" t="s">
        <v>2361</v>
      </c>
      <c r="CC183" s="309" t="s">
        <v>2361</v>
      </c>
      <c r="CD183" s="309" t="s">
        <v>2359</v>
      </c>
      <c r="CE183" s="309" t="s">
        <v>2359</v>
      </c>
      <c r="CF183" s="309" t="s">
        <v>2359</v>
      </c>
      <c r="CG183" s="309" t="s">
        <v>2359</v>
      </c>
      <c r="CH183" s="309" t="s">
        <v>2359</v>
      </c>
      <c r="CI183" s="309"/>
      <c r="CJ183" s="309"/>
      <c r="CK183" s="309"/>
      <c r="CL183" s="309"/>
      <c r="CM183" s="309"/>
      <c r="CN183" s="309"/>
      <c r="BNR183" s="344" t="s">
        <v>2361</v>
      </c>
      <c r="BNS183" s="344" t="s">
        <v>2361</v>
      </c>
      <c r="BNT183" s="344" t="s">
        <v>2361</v>
      </c>
      <c r="BNU183" s="344" t="s">
        <v>2361</v>
      </c>
      <c r="BNV183" s="344" t="s">
        <v>2361</v>
      </c>
      <c r="BNW183" s="344" t="s">
        <v>2361</v>
      </c>
      <c r="BNX183" s="344" t="s">
        <v>2372</v>
      </c>
      <c r="BNY183" s="344" t="s">
        <v>2372</v>
      </c>
      <c r="BNZ183" s="344" t="s">
        <v>2372</v>
      </c>
      <c r="BOA183" s="344" t="s">
        <v>2372</v>
      </c>
      <c r="BOB183" s="344" t="s">
        <v>2372</v>
      </c>
      <c r="BOC183" s="344" t="s">
        <v>2372</v>
      </c>
      <c r="BOD183" s="344" t="s">
        <v>2362</v>
      </c>
      <c r="BOE183" s="344" t="s">
        <v>2362</v>
      </c>
      <c r="BOF183" s="344" t="s">
        <v>2362</v>
      </c>
      <c r="BOG183" s="344" t="s">
        <v>2362</v>
      </c>
      <c r="BOH183" s="344" t="s">
        <v>2362</v>
      </c>
      <c r="BOI183" s="344" t="s">
        <v>2362</v>
      </c>
      <c r="BOJ183" s="344" t="s">
        <v>2036</v>
      </c>
      <c r="BOK183" s="344" t="s">
        <v>2036</v>
      </c>
      <c r="BOL183" s="344" t="s">
        <v>2036</v>
      </c>
      <c r="BOM183" s="344" t="s">
        <v>2036</v>
      </c>
      <c r="BON183" s="344" t="s">
        <v>2036</v>
      </c>
      <c r="BOO183" s="344" t="s">
        <v>2036</v>
      </c>
    </row>
    <row r="184" spans="1:92 1590:1757" s="324" customFormat="1" x14ac:dyDescent="0.25">
      <c r="A184" s="404">
        <v>5</v>
      </c>
      <c r="B184" s="404">
        <v>7</v>
      </c>
      <c r="C184" s="404">
        <v>12</v>
      </c>
      <c r="D184" s="404" t="s">
        <v>2412</v>
      </c>
      <c r="E184" s="404" t="s">
        <v>2435</v>
      </c>
      <c r="F184" s="404" t="s">
        <v>2435</v>
      </c>
      <c r="G184" s="404" t="s">
        <v>2407</v>
      </c>
      <c r="H184" s="404" t="s">
        <v>2435</v>
      </c>
      <c r="I184" s="404">
        <v>5</v>
      </c>
      <c r="J184" s="404">
        <v>0</v>
      </c>
      <c r="K184" s="404">
        <v>0</v>
      </c>
      <c r="L184" s="404">
        <v>0</v>
      </c>
      <c r="M184" s="405">
        <v>275</v>
      </c>
      <c r="N184" s="412" t="s">
        <v>2778</v>
      </c>
      <c r="O184" s="406" t="s">
        <v>2777</v>
      </c>
      <c r="P184" s="406"/>
      <c r="Q184" s="407" t="s">
        <v>2323</v>
      </c>
      <c r="R184" s="408">
        <f>313948+30000</f>
        <v>343948</v>
      </c>
      <c r="S184" s="409" t="s">
        <v>1135</v>
      </c>
      <c r="T184" s="410">
        <v>113</v>
      </c>
      <c r="U184" s="411" t="s">
        <v>2324</v>
      </c>
      <c r="AH184" s="324" t="s">
        <v>2370</v>
      </c>
      <c r="AI184" s="324" t="s">
        <v>2370</v>
      </c>
      <c r="AJ184" s="324" t="s">
        <v>2370</v>
      </c>
      <c r="AK184" s="324" t="s">
        <v>2370</v>
      </c>
      <c r="AL184" s="324" t="s">
        <v>2370</v>
      </c>
      <c r="AM184" s="324" t="s">
        <v>2037</v>
      </c>
      <c r="AN184" s="324" t="s">
        <v>2037</v>
      </c>
      <c r="AO184" s="324" t="s">
        <v>2037</v>
      </c>
      <c r="AP184" s="324" t="s">
        <v>2037</v>
      </c>
      <c r="AS184" s="324" t="s">
        <v>2033</v>
      </c>
      <c r="AT184" s="324" t="s">
        <v>2033</v>
      </c>
      <c r="AU184" s="324" t="s">
        <v>2033</v>
      </c>
      <c r="AV184" s="324" t="s">
        <v>2033</v>
      </c>
      <c r="AW184" s="324" t="s">
        <v>2033</v>
      </c>
      <c r="AX184" s="324" t="s">
        <v>2033</v>
      </c>
      <c r="AY184" s="324" t="s">
        <v>2033</v>
      </c>
      <c r="AZ184" s="324" t="s">
        <v>2033</v>
      </c>
      <c r="BA184" s="324" t="s">
        <v>2033</v>
      </c>
      <c r="BB184" s="324" t="s">
        <v>2033</v>
      </c>
      <c r="BC184" s="324" t="s">
        <v>2033</v>
      </c>
      <c r="BD184" s="324" t="s">
        <v>2033</v>
      </c>
      <c r="BE184" s="324" t="s">
        <v>2034</v>
      </c>
      <c r="BF184" s="324" t="s">
        <v>2034</v>
      </c>
      <c r="BG184" s="324" t="s">
        <v>2034</v>
      </c>
      <c r="BH184" s="324" t="s">
        <v>2034</v>
      </c>
      <c r="BI184" s="324" t="s">
        <v>2034</v>
      </c>
      <c r="BJ184" s="324" t="s">
        <v>2034</v>
      </c>
      <c r="BK184" s="324" t="s">
        <v>2034</v>
      </c>
      <c r="BY184" s="324" t="s">
        <v>2361</v>
      </c>
      <c r="BZ184" s="324" t="s">
        <v>2361</v>
      </c>
      <c r="CA184" s="324" t="s">
        <v>2361</v>
      </c>
      <c r="CB184" s="324" t="s">
        <v>2361</v>
      </c>
      <c r="CC184" s="324" t="s">
        <v>2361</v>
      </c>
      <c r="CD184" s="324" t="s">
        <v>2359</v>
      </c>
      <c r="CE184" s="324" t="s">
        <v>2359</v>
      </c>
      <c r="CF184" s="324" t="s">
        <v>2359</v>
      </c>
      <c r="CG184" s="324" t="s">
        <v>2359</v>
      </c>
      <c r="CH184" s="324" t="s">
        <v>2359</v>
      </c>
      <c r="BNR184" s="324" t="s">
        <v>2361</v>
      </c>
      <c r="BNS184" s="324" t="s">
        <v>2361</v>
      </c>
      <c r="BNT184" s="324" t="s">
        <v>2361</v>
      </c>
      <c r="BNU184" s="324" t="s">
        <v>2361</v>
      </c>
      <c r="BNV184" s="324" t="s">
        <v>2361</v>
      </c>
      <c r="BNW184" s="324" t="s">
        <v>2361</v>
      </c>
      <c r="BNX184" s="324" t="s">
        <v>2372</v>
      </c>
      <c r="BNY184" s="324" t="s">
        <v>2372</v>
      </c>
      <c r="BNZ184" s="324" t="s">
        <v>2372</v>
      </c>
      <c r="BOA184" s="324" t="s">
        <v>2372</v>
      </c>
      <c r="BOB184" s="324" t="s">
        <v>2372</v>
      </c>
      <c r="BOC184" s="324" t="s">
        <v>2372</v>
      </c>
      <c r="BOD184" s="324" t="s">
        <v>2362</v>
      </c>
      <c r="BOE184" s="324" t="s">
        <v>2362</v>
      </c>
      <c r="BOF184" s="324" t="s">
        <v>2362</v>
      </c>
      <c r="BOG184" s="324" t="s">
        <v>2362</v>
      </c>
      <c r="BOH184" s="324" t="s">
        <v>2362</v>
      </c>
      <c r="BOI184" s="324" t="s">
        <v>2362</v>
      </c>
      <c r="BOJ184" s="324" t="s">
        <v>2036</v>
      </c>
      <c r="BOK184" s="324" t="s">
        <v>2036</v>
      </c>
      <c r="BOL184" s="324" t="s">
        <v>2036</v>
      </c>
      <c r="BOM184" s="324" t="s">
        <v>2036</v>
      </c>
      <c r="BON184" s="324" t="s">
        <v>2036</v>
      </c>
      <c r="BOO184" s="324" t="s">
        <v>2036</v>
      </c>
    </row>
    <row r="185" spans="1:92 1590:1757" s="324" customFormat="1" ht="18.75" customHeight="1" x14ac:dyDescent="0.25">
      <c r="A185" s="372">
        <v>5</v>
      </c>
      <c r="B185" s="372">
        <v>7</v>
      </c>
      <c r="C185" s="372">
        <v>12</v>
      </c>
      <c r="D185" s="372" t="s">
        <v>2413</v>
      </c>
      <c r="E185" s="372" t="s">
        <v>2435</v>
      </c>
      <c r="F185" s="372" t="s">
        <v>2435</v>
      </c>
      <c r="G185" s="372" t="s">
        <v>2435</v>
      </c>
      <c r="H185" s="372" t="s">
        <v>2435</v>
      </c>
      <c r="I185" s="372">
        <v>5</v>
      </c>
      <c r="J185" s="372">
        <v>0</v>
      </c>
      <c r="K185" s="372">
        <v>0</v>
      </c>
      <c r="L185" s="372">
        <v>0</v>
      </c>
      <c r="M185" s="359">
        <v>340</v>
      </c>
      <c r="N185" s="399" t="s">
        <v>1155</v>
      </c>
      <c r="O185" s="237" t="s">
        <v>2777</v>
      </c>
      <c r="P185" s="237"/>
      <c r="Q185" s="360" t="s">
        <v>2325</v>
      </c>
      <c r="R185" s="361">
        <v>328899</v>
      </c>
      <c r="S185" s="369" t="s">
        <v>1135</v>
      </c>
      <c r="T185" s="380">
        <v>115</v>
      </c>
      <c r="U185" s="364" t="s">
        <v>2326</v>
      </c>
      <c r="V185" s="309"/>
      <c r="W185" s="309"/>
      <c r="X185" s="309"/>
      <c r="Y185" s="309"/>
      <c r="Z185" s="309"/>
      <c r="AA185" s="309"/>
      <c r="AB185" s="309"/>
      <c r="AC185" s="309"/>
      <c r="AD185" s="309"/>
      <c r="AE185" s="309"/>
      <c r="AF185" s="309"/>
      <c r="AG185" s="309"/>
      <c r="AH185" s="309" t="s">
        <v>2370</v>
      </c>
      <c r="AI185" s="309" t="s">
        <v>2370</v>
      </c>
      <c r="AJ185" s="309" t="s">
        <v>2370</v>
      </c>
      <c r="AK185" s="309" t="s">
        <v>2370</v>
      </c>
      <c r="AL185" s="309" t="s">
        <v>2370</v>
      </c>
      <c r="AM185" s="309"/>
      <c r="AN185" s="309"/>
      <c r="AO185" s="309"/>
      <c r="AP185" s="309"/>
      <c r="AQ185" s="309"/>
      <c r="AR185" s="309"/>
      <c r="AS185" s="309" t="s">
        <v>2033</v>
      </c>
      <c r="AT185" s="309" t="s">
        <v>2033</v>
      </c>
      <c r="AU185" s="309" t="s">
        <v>2033</v>
      </c>
      <c r="AV185" s="309" t="s">
        <v>2033</v>
      </c>
      <c r="AW185" s="309" t="s">
        <v>2033</v>
      </c>
      <c r="AX185" s="309" t="s">
        <v>2033</v>
      </c>
      <c r="AY185" s="309" t="s">
        <v>2033</v>
      </c>
      <c r="AZ185" s="309" t="s">
        <v>2033</v>
      </c>
      <c r="BA185" s="309" t="s">
        <v>2033</v>
      </c>
      <c r="BB185" s="309" t="s">
        <v>2033</v>
      </c>
      <c r="BC185" s="309" t="s">
        <v>2033</v>
      </c>
      <c r="BD185" s="309" t="s">
        <v>2033</v>
      </c>
      <c r="BE185" s="309" t="s">
        <v>2034</v>
      </c>
      <c r="BF185" s="309" t="s">
        <v>2034</v>
      </c>
      <c r="BG185" s="309" t="s">
        <v>2034</v>
      </c>
      <c r="BH185" s="309" t="s">
        <v>2034</v>
      </c>
      <c r="BI185" s="309" t="s">
        <v>2034</v>
      </c>
      <c r="BJ185" s="309" t="s">
        <v>2034</v>
      </c>
      <c r="BK185" s="309" t="s">
        <v>2034</v>
      </c>
      <c r="BL185" s="309"/>
      <c r="BM185" s="309"/>
      <c r="BN185" s="309"/>
      <c r="BO185" s="309"/>
      <c r="BP185" s="309"/>
      <c r="BQ185" s="309"/>
      <c r="BR185" s="309"/>
      <c r="BS185" s="309"/>
      <c r="BT185" s="309"/>
      <c r="BU185" s="309"/>
      <c r="BV185" s="309"/>
      <c r="BW185" s="309"/>
      <c r="BX185" s="309"/>
      <c r="BY185" s="309" t="s">
        <v>2361</v>
      </c>
      <c r="BZ185" s="309" t="s">
        <v>2361</v>
      </c>
      <c r="CA185" s="309" t="s">
        <v>2361</v>
      </c>
      <c r="CB185" s="309" t="s">
        <v>2361</v>
      </c>
      <c r="CC185" s="309" t="s">
        <v>2361</v>
      </c>
      <c r="CD185" s="309" t="s">
        <v>2359</v>
      </c>
      <c r="CE185" s="309" t="s">
        <v>2359</v>
      </c>
      <c r="CF185" s="309" t="s">
        <v>2359</v>
      </c>
      <c r="CG185" s="309" t="s">
        <v>2359</v>
      </c>
      <c r="CH185" s="309" t="s">
        <v>2359</v>
      </c>
      <c r="CI185" s="309"/>
      <c r="CJ185" s="309"/>
      <c r="CK185" s="309"/>
      <c r="CL185" s="309"/>
      <c r="CM185" s="309"/>
      <c r="CN185" s="309"/>
      <c r="BNR185" s="324" t="s">
        <v>2361</v>
      </c>
      <c r="BNS185" s="324" t="s">
        <v>2361</v>
      </c>
      <c r="BNT185" s="324" t="s">
        <v>2361</v>
      </c>
      <c r="BNU185" s="324" t="s">
        <v>2361</v>
      </c>
      <c r="BNV185" s="324" t="s">
        <v>2361</v>
      </c>
      <c r="BNW185" s="324" t="s">
        <v>2361</v>
      </c>
      <c r="BNX185" s="324" t="s">
        <v>2372</v>
      </c>
      <c r="BNY185" s="324" t="s">
        <v>2372</v>
      </c>
      <c r="BNZ185" s="324" t="s">
        <v>2372</v>
      </c>
      <c r="BOA185" s="324" t="s">
        <v>2372</v>
      </c>
      <c r="BOB185" s="324" t="s">
        <v>2372</v>
      </c>
      <c r="BOC185" s="324" t="s">
        <v>2372</v>
      </c>
      <c r="BOD185" s="324" t="s">
        <v>2362</v>
      </c>
      <c r="BOE185" s="324" t="s">
        <v>2362</v>
      </c>
      <c r="BOF185" s="324" t="s">
        <v>2362</v>
      </c>
      <c r="BOG185" s="324" t="s">
        <v>2362</v>
      </c>
      <c r="BOH185" s="324" t="s">
        <v>2362</v>
      </c>
      <c r="BOI185" s="324" t="s">
        <v>2362</v>
      </c>
      <c r="BOJ185" s="324" t="s">
        <v>2036</v>
      </c>
      <c r="BOK185" s="324" t="s">
        <v>2036</v>
      </c>
      <c r="BOL185" s="324" t="s">
        <v>2036</v>
      </c>
      <c r="BOM185" s="324" t="s">
        <v>2036</v>
      </c>
      <c r="BON185" s="324" t="s">
        <v>2036</v>
      </c>
      <c r="BOO185" s="324" t="s">
        <v>2036</v>
      </c>
    </row>
    <row r="186" spans="1:92 1590:1757" s="324" customFormat="1" ht="18.75" customHeight="1" x14ac:dyDescent="0.25">
      <c r="A186" s="372">
        <v>6</v>
      </c>
      <c r="B186" s="372">
        <v>15</v>
      </c>
      <c r="C186" s="372">
        <v>16</v>
      </c>
      <c r="D186" s="372" t="s">
        <v>2419</v>
      </c>
      <c r="E186" s="372" t="s">
        <v>2435</v>
      </c>
      <c r="F186" s="372" t="s">
        <v>2435</v>
      </c>
      <c r="G186" s="372" t="s">
        <v>2435</v>
      </c>
      <c r="H186" s="372" t="s">
        <v>2435</v>
      </c>
      <c r="I186" s="372">
        <v>8</v>
      </c>
      <c r="J186" s="372">
        <v>0</v>
      </c>
      <c r="K186" s="372">
        <v>0</v>
      </c>
      <c r="L186" s="372">
        <v>0</v>
      </c>
      <c r="M186" s="359">
        <v>340</v>
      </c>
      <c r="N186" s="399" t="s">
        <v>1174</v>
      </c>
      <c r="O186" s="237" t="s">
        <v>2777</v>
      </c>
      <c r="P186" s="237" t="s">
        <v>1497</v>
      </c>
      <c r="Q186" s="360" t="s">
        <v>2336</v>
      </c>
      <c r="R186" s="361">
        <v>374231</v>
      </c>
      <c r="S186" s="369" t="s">
        <v>1176</v>
      </c>
      <c r="T186" s="380">
        <v>122</v>
      </c>
      <c r="U186" s="364" t="s">
        <v>2337</v>
      </c>
      <c r="V186" s="309"/>
      <c r="W186" s="309"/>
      <c r="X186" s="309"/>
      <c r="Y186" s="309"/>
      <c r="Z186" s="309"/>
      <c r="AA186" s="309"/>
      <c r="AB186" s="309"/>
      <c r="AC186" s="309"/>
      <c r="AD186" s="309"/>
      <c r="AE186" s="309"/>
      <c r="AF186" s="309"/>
      <c r="AG186" s="309"/>
      <c r="AH186" s="309" t="s">
        <v>2370</v>
      </c>
      <c r="AI186" s="309" t="s">
        <v>2370</v>
      </c>
      <c r="AJ186" s="309" t="s">
        <v>2370</v>
      </c>
      <c r="AK186" s="309" t="s">
        <v>2370</v>
      </c>
      <c r="AL186" s="309" t="s">
        <v>2370</v>
      </c>
      <c r="AM186" s="309" t="s">
        <v>2370</v>
      </c>
      <c r="AN186" s="309"/>
      <c r="AO186" s="309"/>
      <c r="AP186" s="309"/>
      <c r="AQ186" s="309"/>
      <c r="AR186" s="309"/>
      <c r="AS186" s="309" t="s">
        <v>2033</v>
      </c>
      <c r="AT186" s="309" t="s">
        <v>2033</v>
      </c>
      <c r="AU186" s="309" t="s">
        <v>2033</v>
      </c>
      <c r="AV186" s="309" t="s">
        <v>2033</v>
      </c>
      <c r="AW186" s="309" t="s">
        <v>2033</v>
      </c>
      <c r="AX186" s="309" t="s">
        <v>2033</v>
      </c>
      <c r="AY186" s="309" t="s">
        <v>2033</v>
      </c>
      <c r="AZ186" s="309" t="s">
        <v>2033</v>
      </c>
      <c r="BA186" s="309" t="s">
        <v>2033</v>
      </c>
      <c r="BB186" s="309" t="s">
        <v>2033</v>
      </c>
      <c r="BC186" s="309" t="s">
        <v>2033</v>
      </c>
      <c r="BD186" s="309" t="s">
        <v>2033</v>
      </c>
      <c r="BE186" s="309" t="s">
        <v>2033</v>
      </c>
      <c r="BF186" s="309" t="s">
        <v>2033</v>
      </c>
      <c r="BG186" s="309" t="s">
        <v>2033</v>
      </c>
      <c r="BH186" s="309" t="s">
        <v>2033</v>
      </c>
      <c r="BI186" s="309" t="s">
        <v>2034</v>
      </c>
      <c r="BJ186" s="309" t="s">
        <v>2034</v>
      </c>
      <c r="BK186" s="309" t="s">
        <v>2034</v>
      </c>
      <c r="BL186" s="309" t="s">
        <v>2034</v>
      </c>
      <c r="BM186" s="309" t="s">
        <v>2034</v>
      </c>
      <c r="BN186" s="309" t="s">
        <v>2034</v>
      </c>
      <c r="BO186" s="309" t="s">
        <v>2034</v>
      </c>
      <c r="BP186" s="309" t="s">
        <v>2034</v>
      </c>
      <c r="BQ186" s="309" t="s">
        <v>2034</v>
      </c>
      <c r="BR186" s="309" t="s">
        <v>2034</v>
      </c>
      <c r="BS186" s="309" t="s">
        <v>2034</v>
      </c>
      <c r="BT186" s="309" t="s">
        <v>2034</v>
      </c>
      <c r="BU186" s="309" t="s">
        <v>2034</v>
      </c>
      <c r="BV186" s="309" t="s">
        <v>2034</v>
      </c>
      <c r="BW186" s="309" t="s">
        <v>2034</v>
      </c>
      <c r="BX186" s="309"/>
      <c r="BY186" s="309" t="s">
        <v>2361</v>
      </c>
      <c r="BZ186" s="309" t="s">
        <v>2361</v>
      </c>
      <c r="CA186" s="309" t="s">
        <v>2361</v>
      </c>
      <c r="CB186" s="309" t="s">
        <v>2361</v>
      </c>
      <c r="CC186" s="309" t="s">
        <v>2361</v>
      </c>
      <c r="CD186" s="309" t="s">
        <v>2361</v>
      </c>
      <c r="CE186" s="309" t="s">
        <v>2361</v>
      </c>
      <c r="CF186" s="309" t="s">
        <v>2361</v>
      </c>
      <c r="CG186" s="309" t="s">
        <v>2359</v>
      </c>
      <c r="CH186" s="309" t="s">
        <v>2359</v>
      </c>
      <c r="CI186" s="309" t="s">
        <v>2359</v>
      </c>
      <c r="CJ186" s="309" t="s">
        <v>2359</v>
      </c>
      <c r="CK186" s="309" t="s">
        <v>2359</v>
      </c>
      <c r="CL186" s="309" t="s">
        <v>2359</v>
      </c>
      <c r="CM186" s="309"/>
      <c r="CN186" s="309"/>
      <c r="BNR186" s="324" t="s">
        <v>2361</v>
      </c>
      <c r="BNS186" s="324" t="s">
        <v>2361</v>
      </c>
      <c r="BNT186" s="324" t="s">
        <v>2361</v>
      </c>
      <c r="BNU186" s="324" t="s">
        <v>2361</v>
      </c>
      <c r="BNV186" s="324" t="s">
        <v>2361</v>
      </c>
      <c r="BNW186" s="324" t="s">
        <v>2361</v>
      </c>
      <c r="BNX186" s="324" t="s">
        <v>2372</v>
      </c>
      <c r="BNY186" s="324" t="s">
        <v>2372</v>
      </c>
      <c r="BNZ186" s="324" t="s">
        <v>2372</v>
      </c>
      <c r="BOA186" s="324" t="s">
        <v>2372</v>
      </c>
      <c r="BOB186" s="324" t="s">
        <v>2372</v>
      </c>
      <c r="BOC186" s="324" t="s">
        <v>2372</v>
      </c>
      <c r="BOD186" s="324" t="s">
        <v>2362</v>
      </c>
      <c r="BOE186" s="324" t="s">
        <v>2362</v>
      </c>
      <c r="BOF186" s="324" t="s">
        <v>2362</v>
      </c>
      <c r="BOG186" s="324" t="s">
        <v>2362</v>
      </c>
      <c r="BOH186" s="324" t="s">
        <v>2362</v>
      </c>
      <c r="BOI186" s="324" t="s">
        <v>2362</v>
      </c>
      <c r="BOJ186" s="324" t="s">
        <v>2036</v>
      </c>
      <c r="BOK186" s="324" t="s">
        <v>2036</v>
      </c>
      <c r="BOL186" s="324" t="s">
        <v>2036</v>
      </c>
      <c r="BOM186" s="324" t="s">
        <v>2036</v>
      </c>
      <c r="BON186" s="324" t="s">
        <v>2036</v>
      </c>
      <c r="BOO186" s="324" t="s">
        <v>2036</v>
      </c>
    </row>
    <row r="187" spans="1:92 1590:1757" s="324" customFormat="1" ht="18.75" customHeight="1" x14ac:dyDescent="0.25">
      <c r="A187" s="335">
        <v>6</v>
      </c>
      <c r="B187" s="335">
        <v>15</v>
      </c>
      <c r="C187" s="335">
        <v>16</v>
      </c>
      <c r="D187" s="335" t="s">
        <v>2694</v>
      </c>
      <c r="E187" s="336" t="s">
        <v>2435</v>
      </c>
      <c r="F187" s="336" t="s">
        <v>2435</v>
      </c>
      <c r="G187" s="336" t="s">
        <v>2435</v>
      </c>
      <c r="H187" s="336" t="s">
        <v>2435</v>
      </c>
      <c r="I187" s="335">
        <v>8</v>
      </c>
      <c r="J187" s="335">
        <v>0</v>
      </c>
      <c r="K187" s="335">
        <v>0</v>
      </c>
      <c r="L187" s="335">
        <v>0</v>
      </c>
      <c r="M187" s="337">
        <v>340</v>
      </c>
      <c r="N187" s="401" t="s">
        <v>2700</v>
      </c>
      <c r="O187" s="338" t="s">
        <v>1519</v>
      </c>
      <c r="P187" s="338" t="s">
        <v>1497</v>
      </c>
      <c r="Q187" s="339" t="s">
        <v>2336</v>
      </c>
      <c r="R187" s="340">
        <v>389231</v>
      </c>
      <c r="S187" s="341" t="s">
        <v>1176</v>
      </c>
      <c r="T187" s="342">
        <v>122</v>
      </c>
      <c r="U187" s="343" t="s">
        <v>2337</v>
      </c>
      <c r="V187" s="344"/>
      <c r="W187" s="344"/>
      <c r="X187" s="344"/>
      <c r="Y187" s="344"/>
      <c r="Z187" s="344"/>
      <c r="AA187" s="344"/>
      <c r="AB187" s="344"/>
      <c r="AC187" s="344"/>
      <c r="AD187" s="344"/>
      <c r="AE187" s="344"/>
      <c r="AF187" s="344"/>
      <c r="AG187" s="344"/>
      <c r="AH187" s="344" t="s">
        <v>2370</v>
      </c>
      <c r="AI187" s="344" t="s">
        <v>2370</v>
      </c>
      <c r="AJ187" s="344" t="s">
        <v>2370</v>
      </c>
      <c r="AK187" s="344" t="s">
        <v>2370</v>
      </c>
      <c r="AL187" s="344" t="s">
        <v>2370</v>
      </c>
      <c r="AM187" s="344" t="s">
        <v>2370</v>
      </c>
      <c r="AN187" s="344" t="s">
        <v>2370</v>
      </c>
      <c r="AO187" s="344"/>
      <c r="AP187" s="344"/>
      <c r="AQ187" s="344"/>
      <c r="AR187" s="344"/>
      <c r="AS187" s="344" t="s">
        <v>2033</v>
      </c>
      <c r="AT187" s="344" t="s">
        <v>2033</v>
      </c>
      <c r="AU187" s="344" t="s">
        <v>2033</v>
      </c>
      <c r="AV187" s="344" t="s">
        <v>2033</v>
      </c>
      <c r="AW187" s="344" t="s">
        <v>2033</v>
      </c>
      <c r="AX187" s="344" t="s">
        <v>2033</v>
      </c>
      <c r="AY187" s="344" t="s">
        <v>2033</v>
      </c>
      <c r="AZ187" s="344" t="s">
        <v>2033</v>
      </c>
      <c r="BA187" s="344" t="s">
        <v>2033</v>
      </c>
      <c r="BB187" s="344" t="s">
        <v>2033</v>
      </c>
      <c r="BC187" s="344" t="s">
        <v>2033</v>
      </c>
      <c r="BD187" s="344" t="s">
        <v>2033</v>
      </c>
      <c r="BE187" s="344" t="s">
        <v>2033</v>
      </c>
      <c r="BF187" s="344" t="s">
        <v>2033</v>
      </c>
      <c r="BG187" s="344" t="s">
        <v>2033</v>
      </c>
      <c r="BH187" s="344" t="s">
        <v>2033</v>
      </c>
      <c r="BI187" s="344" t="s">
        <v>2034</v>
      </c>
      <c r="BJ187" s="344" t="s">
        <v>2034</v>
      </c>
      <c r="BK187" s="344" t="s">
        <v>2034</v>
      </c>
      <c r="BL187" s="344" t="s">
        <v>2034</v>
      </c>
      <c r="BM187" s="344" t="s">
        <v>2034</v>
      </c>
      <c r="BN187" s="344" t="s">
        <v>2034</v>
      </c>
      <c r="BO187" s="344" t="s">
        <v>2034</v>
      </c>
      <c r="BP187" s="344" t="s">
        <v>2034</v>
      </c>
      <c r="BQ187" s="344" t="s">
        <v>2034</v>
      </c>
      <c r="BR187" s="344" t="s">
        <v>2034</v>
      </c>
      <c r="BS187" s="344" t="s">
        <v>2034</v>
      </c>
      <c r="BT187" s="344" t="s">
        <v>2034</v>
      </c>
      <c r="BU187" s="344" t="s">
        <v>2034</v>
      </c>
      <c r="BV187" s="344" t="s">
        <v>2034</v>
      </c>
      <c r="BW187" s="344" t="s">
        <v>2034</v>
      </c>
      <c r="BX187" s="344"/>
      <c r="BY187" s="344" t="s">
        <v>2361</v>
      </c>
      <c r="BZ187" s="344" t="s">
        <v>2361</v>
      </c>
      <c r="CA187" s="344" t="s">
        <v>2361</v>
      </c>
      <c r="CB187" s="344" t="s">
        <v>2361</v>
      </c>
      <c r="CC187" s="344" t="s">
        <v>2361</v>
      </c>
      <c r="CD187" s="344" t="s">
        <v>2361</v>
      </c>
      <c r="CE187" s="344" t="s">
        <v>2361</v>
      </c>
      <c r="CF187" s="344" t="s">
        <v>2361</v>
      </c>
      <c r="CG187" s="344" t="s">
        <v>2359</v>
      </c>
      <c r="CH187" s="344" t="s">
        <v>2359</v>
      </c>
      <c r="CI187" s="344" t="s">
        <v>2359</v>
      </c>
      <c r="CJ187" s="344" t="s">
        <v>2359</v>
      </c>
      <c r="CK187" s="344" t="s">
        <v>2359</v>
      </c>
      <c r="CL187" s="344" t="s">
        <v>2359</v>
      </c>
      <c r="CM187" s="344"/>
      <c r="CN187" s="344"/>
      <c r="BNR187" s="324" t="s">
        <v>2361</v>
      </c>
      <c r="BNS187" s="324" t="s">
        <v>2361</v>
      </c>
      <c r="BNT187" s="324" t="s">
        <v>2361</v>
      </c>
      <c r="BNU187" s="324" t="s">
        <v>2361</v>
      </c>
      <c r="BNV187" s="324" t="s">
        <v>2361</v>
      </c>
      <c r="BNW187" s="324" t="s">
        <v>2361</v>
      </c>
      <c r="BNX187" s="324" t="s">
        <v>2372</v>
      </c>
      <c r="BNY187" s="324" t="s">
        <v>2372</v>
      </c>
      <c r="BNZ187" s="324" t="s">
        <v>2372</v>
      </c>
      <c r="BOA187" s="324" t="s">
        <v>2372</v>
      </c>
      <c r="BOB187" s="324" t="s">
        <v>2372</v>
      </c>
      <c r="BOC187" s="324" t="s">
        <v>2372</v>
      </c>
      <c r="BOD187" s="324" t="s">
        <v>2362</v>
      </c>
      <c r="BOE187" s="324" t="s">
        <v>2362</v>
      </c>
      <c r="BOF187" s="324" t="s">
        <v>2362</v>
      </c>
      <c r="BOG187" s="324" t="s">
        <v>2362</v>
      </c>
      <c r="BOH187" s="324" t="s">
        <v>2362</v>
      </c>
      <c r="BOI187" s="324" t="s">
        <v>2362</v>
      </c>
      <c r="BOJ187" s="324" t="s">
        <v>2036</v>
      </c>
      <c r="BOK187" s="324" t="s">
        <v>2036</v>
      </c>
      <c r="BOL187" s="324" t="s">
        <v>2036</v>
      </c>
      <c r="BOM187" s="324" t="s">
        <v>2036</v>
      </c>
      <c r="BON187" s="324" t="s">
        <v>2036</v>
      </c>
      <c r="BOO187" s="324" t="s">
        <v>2036</v>
      </c>
    </row>
    <row r="188" spans="1:92 1590:1757" s="324" customFormat="1" ht="18.75" customHeight="1" x14ac:dyDescent="0.25">
      <c r="A188" s="372">
        <v>6</v>
      </c>
      <c r="B188" s="372">
        <v>15</v>
      </c>
      <c r="C188" s="372">
        <v>16</v>
      </c>
      <c r="D188" s="372" t="s">
        <v>2420</v>
      </c>
      <c r="E188" s="372" t="s">
        <v>2435</v>
      </c>
      <c r="F188" s="372" t="s">
        <v>2435</v>
      </c>
      <c r="G188" s="372" t="s">
        <v>2435</v>
      </c>
      <c r="H188" s="372" t="s">
        <v>2435</v>
      </c>
      <c r="I188" s="372">
        <v>8</v>
      </c>
      <c r="J188" s="372">
        <v>0</v>
      </c>
      <c r="K188" s="372">
        <v>0</v>
      </c>
      <c r="L188" s="372">
        <v>0</v>
      </c>
      <c r="M188" s="359">
        <v>396</v>
      </c>
      <c r="N188" s="399" t="s">
        <v>1178</v>
      </c>
      <c r="O188" s="237" t="s">
        <v>2777</v>
      </c>
      <c r="P188" s="237" t="s">
        <v>1497</v>
      </c>
      <c r="Q188" s="360" t="s">
        <v>2338</v>
      </c>
      <c r="R188" s="361">
        <v>395096</v>
      </c>
      <c r="S188" s="369" t="s">
        <v>1176</v>
      </c>
      <c r="T188" s="380">
        <v>123</v>
      </c>
      <c r="U188" s="364" t="s">
        <v>2339</v>
      </c>
      <c r="V188" s="309"/>
      <c r="W188" s="309"/>
      <c r="X188" s="309"/>
      <c r="Y188" s="309"/>
      <c r="Z188" s="309"/>
      <c r="AA188" s="309"/>
      <c r="AB188" s="309"/>
      <c r="AC188" s="309"/>
      <c r="AD188" s="309"/>
      <c r="AE188" s="309"/>
      <c r="AF188" s="309"/>
      <c r="AG188" s="309"/>
      <c r="AH188" s="309" t="s">
        <v>2370</v>
      </c>
      <c r="AI188" s="309" t="s">
        <v>2370</v>
      </c>
      <c r="AJ188" s="309" t="s">
        <v>2370</v>
      </c>
      <c r="AK188" s="309" t="s">
        <v>2370</v>
      </c>
      <c r="AL188" s="309" t="s">
        <v>2370</v>
      </c>
      <c r="AM188" s="309" t="s">
        <v>2370</v>
      </c>
      <c r="AN188" s="309"/>
      <c r="AO188" s="309"/>
      <c r="AP188" s="309"/>
      <c r="AQ188" s="309"/>
      <c r="AR188" s="309"/>
      <c r="AS188" s="309" t="s">
        <v>2033</v>
      </c>
      <c r="AT188" s="309" t="s">
        <v>2033</v>
      </c>
      <c r="AU188" s="309" t="s">
        <v>2033</v>
      </c>
      <c r="AV188" s="309" t="s">
        <v>2033</v>
      </c>
      <c r="AW188" s="309" t="s">
        <v>2033</v>
      </c>
      <c r="AX188" s="309" t="s">
        <v>2033</v>
      </c>
      <c r="AY188" s="309" t="s">
        <v>2033</v>
      </c>
      <c r="AZ188" s="309" t="s">
        <v>2033</v>
      </c>
      <c r="BA188" s="309" t="s">
        <v>2033</v>
      </c>
      <c r="BB188" s="309" t="s">
        <v>2033</v>
      </c>
      <c r="BC188" s="309" t="s">
        <v>2033</v>
      </c>
      <c r="BD188" s="309" t="s">
        <v>2033</v>
      </c>
      <c r="BE188" s="309" t="s">
        <v>2033</v>
      </c>
      <c r="BF188" s="309" t="s">
        <v>2033</v>
      </c>
      <c r="BG188" s="309" t="s">
        <v>2033</v>
      </c>
      <c r="BH188" s="309" t="s">
        <v>2033</v>
      </c>
      <c r="BI188" s="309" t="s">
        <v>2034</v>
      </c>
      <c r="BJ188" s="309" t="s">
        <v>2034</v>
      </c>
      <c r="BK188" s="309" t="s">
        <v>2034</v>
      </c>
      <c r="BL188" s="309" t="s">
        <v>2034</v>
      </c>
      <c r="BM188" s="309" t="s">
        <v>2034</v>
      </c>
      <c r="BN188" s="309" t="s">
        <v>2034</v>
      </c>
      <c r="BO188" s="309" t="s">
        <v>2034</v>
      </c>
      <c r="BP188" s="309" t="s">
        <v>2034</v>
      </c>
      <c r="BQ188" s="309" t="s">
        <v>2034</v>
      </c>
      <c r="BR188" s="309" t="s">
        <v>2034</v>
      </c>
      <c r="BS188" s="309" t="s">
        <v>2034</v>
      </c>
      <c r="BT188" s="309" t="s">
        <v>2034</v>
      </c>
      <c r="BU188" s="309" t="s">
        <v>2034</v>
      </c>
      <c r="BV188" s="309" t="s">
        <v>2034</v>
      </c>
      <c r="BW188" s="309" t="s">
        <v>2034</v>
      </c>
      <c r="BX188" s="309"/>
      <c r="BY188" s="309" t="s">
        <v>2361</v>
      </c>
      <c r="BZ188" s="309" t="s">
        <v>2361</v>
      </c>
      <c r="CA188" s="309" t="s">
        <v>2361</v>
      </c>
      <c r="CB188" s="309" t="s">
        <v>2361</v>
      </c>
      <c r="CC188" s="309" t="s">
        <v>2361</v>
      </c>
      <c r="CD188" s="309" t="s">
        <v>2361</v>
      </c>
      <c r="CE188" s="309" t="s">
        <v>2361</v>
      </c>
      <c r="CF188" s="309" t="s">
        <v>2361</v>
      </c>
      <c r="CG188" s="309" t="s">
        <v>2359</v>
      </c>
      <c r="CH188" s="309" t="s">
        <v>2359</v>
      </c>
      <c r="CI188" s="309" t="s">
        <v>2359</v>
      </c>
      <c r="CJ188" s="309" t="s">
        <v>2359</v>
      </c>
      <c r="CK188" s="309" t="s">
        <v>2359</v>
      </c>
      <c r="CL188" s="309" t="s">
        <v>2359</v>
      </c>
      <c r="CM188" s="309"/>
      <c r="CN188" s="309"/>
      <c r="BNR188" s="324" t="s">
        <v>2361</v>
      </c>
      <c r="BNS188" s="324" t="s">
        <v>2361</v>
      </c>
      <c r="BNT188" s="324" t="s">
        <v>2361</v>
      </c>
      <c r="BNU188" s="324" t="s">
        <v>2361</v>
      </c>
      <c r="BNV188" s="324" t="s">
        <v>2361</v>
      </c>
      <c r="BNW188" s="324" t="s">
        <v>2361</v>
      </c>
      <c r="BNX188" s="324" t="s">
        <v>2372</v>
      </c>
      <c r="BNY188" s="324" t="s">
        <v>2372</v>
      </c>
      <c r="BNZ188" s="324" t="s">
        <v>2372</v>
      </c>
      <c r="BOA188" s="324" t="s">
        <v>2372</v>
      </c>
      <c r="BOB188" s="324" t="s">
        <v>2372</v>
      </c>
      <c r="BOC188" s="324" t="s">
        <v>2372</v>
      </c>
      <c r="BOD188" s="324" t="s">
        <v>2362</v>
      </c>
      <c r="BOE188" s="324" t="s">
        <v>2362</v>
      </c>
      <c r="BOF188" s="324" t="s">
        <v>2362</v>
      </c>
      <c r="BOG188" s="324" t="s">
        <v>2362</v>
      </c>
      <c r="BOH188" s="324" t="s">
        <v>2362</v>
      </c>
      <c r="BOI188" s="324" t="s">
        <v>2362</v>
      </c>
      <c r="BOJ188" s="324" t="s">
        <v>2036</v>
      </c>
      <c r="BOK188" s="324" t="s">
        <v>2036</v>
      </c>
      <c r="BOL188" s="324" t="s">
        <v>2036</v>
      </c>
      <c r="BOM188" s="324" t="s">
        <v>2036</v>
      </c>
      <c r="BON188" s="324" t="s">
        <v>2036</v>
      </c>
      <c r="BOO188" s="324" t="s">
        <v>2036</v>
      </c>
    </row>
    <row r="189" spans="1:92 1590:1757" s="334" customFormat="1" x14ac:dyDescent="0.25">
      <c r="A189" s="325">
        <v>6</v>
      </c>
      <c r="B189" s="325">
        <v>15</v>
      </c>
      <c r="C189" s="325">
        <v>16</v>
      </c>
      <c r="D189" s="325" t="s">
        <v>2707</v>
      </c>
      <c r="E189" s="326" t="s">
        <v>2435</v>
      </c>
      <c r="F189" s="326" t="s">
        <v>2435</v>
      </c>
      <c r="G189" s="326" t="s">
        <v>2435</v>
      </c>
      <c r="H189" s="326" t="s">
        <v>2435</v>
      </c>
      <c r="I189" s="325">
        <v>8</v>
      </c>
      <c r="J189" s="325">
        <v>0</v>
      </c>
      <c r="K189" s="325">
        <v>0</v>
      </c>
      <c r="L189" s="325">
        <v>0</v>
      </c>
      <c r="M189" s="327">
        <v>340</v>
      </c>
      <c r="N189" s="402" t="s">
        <v>2713</v>
      </c>
      <c r="O189" s="328" t="s">
        <v>1519</v>
      </c>
      <c r="P189" s="328" t="s">
        <v>1497</v>
      </c>
      <c r="Q189" s="329" t="s">
        <v>2336</v>
      </c>
      <c r="R189" s="330">
        <v>404231</v>
      </c>
      <c r="S189" s="331" t="s">
        <v>1176</v>
      </c>
      <c r="T189" s="332">
        <v>122</v>
      </c>
      <c r="U189" s="333" t="s">
        <v>2337</v>
      </c>
      <c r="AH189" s="334" t="s">
        <v>2370</v>
      </c>
      <c r="AI189" s="334" t="s">
        <v>2370</v>
      </c>
      <c r="AJ189" s="334" t="s">
        <v>2370</v>
      </c>
      <c r="AK189" s="334" t="s">
        <v>2370</v>
      </c>
      <c r="AL189" s="334" t="s">
        <v>2370</v>
      </c>
      <c r="AM189" s="334" t="s">
        <v>2370</v>
      </c>
      <c r="AN189" s="334" t="s">
        <v>2370</v>
      </c>
      <c r="AO189" s="334" t="s">
        <v>2370</v>
      </c>
      <c r="AS189" s="334" t="s">
        <v>2033</v>
      </c>
      <c r="AT189" s="334" t="s">
        <v>2033</v>
      </c>
      <c r="AU189" s="334" t="s">
        <v>2033</v>
      </c>
      <c r="AV189" s="334" t="s">
        <v>2033</v>
      </c>
      <c r="AW189" s="334" t="s">
        <v>2033</v>
      </c>
      <c r="AX189" s="334" t="s">
        <v>2033</v>
      </c>
      <c r="AY189" s="334" t="s">
        <v>2033</v>
      </c>
      <c r="AZ189" s="334" t="s">
        <v>2033</v>
      </c>
      <c r="BA189" s="334" t="s">
        <v>2033</v>
      </c>
      <c r="BB189" s="334" t="s">
        <v>2033</v>
      </c>
      <c r="BC189" s="334" t="s">
        <v>2033</v>
      </c>
      <c r="BD189" s="334" t="s">
        <v>2033</v>
      </c>
      <c r="BE189" s="334" t="s">
        <v>2033</v>
      </c>
      <c r="BF189" s="334" t="s">
        <v>2033</v>
      </c>
      <c r="BG189" s="334" t="s">
        <v>2033</v>
      </c>
      <c r="BH189" s="334" t="s">
        <v>2033</v>
      </c>
      <c r="BI189" s="334" t="s">
        <v>2034</v>
      </c>
      <c r="BJ189" s="334" t="s">
        <v>2034</v>
      </c>
      <c r="BK189" s="334" t="s">
        <v>2034</v>
      </c>
      <c r="BL189" s="334" t="s">
        <v>2034</v>
      </c>
      <c r="BM189" s="334" t="s">
        <v>2034</v>
      </c>
      <c r="BN189" s="334" t="s">
        <v>2034</v>
      </c>
      <c r="BO189" s="334" t="s">
        <v>2034</v>
      </c>
      <c r="BP189" s="334" t="s">
        <v>2034</v>
      </c>
      <c r="BQ189" s="334" t="s">
        <v>2034</v>
      </c>
      <c r="BR189" s="334" t="s">
        <v>2034</v>
      </c>
      <c r="BS189" s="334" t="s">
        <v>2034</v>
      </c>
      <c r="BT189" s="334" t="s">
        <v>2034</v>
      </c>
      <c r="BU189" s="334" t="s">
        <v>2034</v>
      </c>
      <c r="BV189" s="334" t="s">
        <v>2034</v>
      </c>
      <c r="BW189" s="334" t="s">
        <v>2034</v>
      </c>
      <c r="BY189" s="334" t="s">
        <v>2361</v>
      </c>
      <c r="BZ189" s="334" t="s">
        <v>2361</v>
      </c>
      <c r="CA189" s="334" t="s">
        <v>2361</v>
      </c>
      <c r="CB189" s="334" t="s">
        <v>2361</v>
      </c>
      <c r="CC189" s="334" t="s">
        <v>2361</v>
      </c>
      <c r="CD189" s="334" t="s">
        <v>2361</v>
      </c>
      <c r="CE189" s="334" t="s">
        <v>2361</v>
      </c>
      <c r="CF189" s="334" t="s">
        <v>2361</v>
      </c>
      <c r="CG189" s="334" t="s">
        <v>2359</v>
      </c>
      <c r="CH189" s="334" t="s">
        <v>2359</v>
      </c>
      <c r="CI189" s="334" t="s">
        <v>2359</v>
      </c>
      <c r="CJ189" s="334" t="s">
        <v>2359</v>
      </c>
      <c r="CK189" s="334" t="s">
        <v>2359</v>
      </c>
      <c r="CL189" s="334" t="s">
        <v>2359</v>
      </c>
      <c r="BID189" s="334" t="s">
        <v>2361</v>
      </c>
      <c r="BIE189" s="334" t="s">
        <v>2361</v>
      </c>
      <c r="BIF189" s="334" t="s">
        <v>2361</v>
      </c>
      <c r="BIG189" s="334" t="s">
        <v>2361</v>
      </c>
      <c r="BIH189" s="334" t="s">
        <v>2361</v>
      </c>
      <c r="BII189" s="334" t="s">
        <v>2361</v>
      </c>
      <c r="BIJ189" s="334" t="s">
        <v>2372</v>
      </c>
      <c r="BIK189" s="334" t="s">
        <v>2372</v>
      </c>
      <c r="BIL189" s="334" t="s">
        <v>2372</v>
      </c>
      <c r="BIM189" s="334" t="s">
        <v>2372</v>
      </c>
      <c r="BIN189" s="334" t="s">
        <v>2372</v>
      </c>
      <c r="BIO189" s="334" t="s">
        <v>2372</v>
      </c>
      <c r="BIP189" s="334" t="s">
        <v>2362</v>
      </c>
      <c r="BIQ189" s="334" t="s">
        <v>2362</v>
      </c>
      <c r="BIR189" s="334" t="s">
        <v>2362</v>
      </c>
      <c r="BIS189" s="334" t="s">
        <v>2362</v>
      </c>
      <c r="BIT189" s="334" t="s">
        <v>2362</v>
      </c>
      <c r="BIU189" s="334" t="s">
        <v>2362</v>
      </c>
      <c r="BIV189" s="334" t="s">
        <v>2036</v>
      </c>
      <c r="BIW189" s="334" t="s">
        <v>2036</v>
      </c>
      <c r="BIX189" s="334" t="s">
        <v>2036</v>
      </c>
      <c r="BIY189" s="334" t="s">
        <v>2036</v>
      </c>
      <c r="BIZ189" s="334" t="s">
        <v>2036</v>
      </c>
      <c r="BJA189" s="334" t="s">
        <v>2036</v>
      </c>
    </row>
    <row r="190" spans="1:92 1590:1757" s="334" customFormat="1" x14ac:dyDescent="0.25">
      <c r="A190" s="335">
        <v>6</v>
      </c>
      <c r="B190" s="335">
        <v>15</v>
      </c>
      <c r="C190" s="335">
        <v>16</v>
      </c>
      <c r="D190" s="335" t="s">
        <v>2695</v>
      </c>
      <c r="E190" s="336" t="s">
        <v>2435</v>
      </c>
      <c r="F190" s="336" t="s">
        <v>2435</v>
      </c>
      <c r="G190" s="336" t="s">
        <v>2435</v>
      </c>
      <c r="H190" s="336" t="s">
        <v>2435</v>
      </c>
      <c r="I190" s="335">
        <v>8</v>
      </c>
      <c r="J190" s="335">
        <v>0</v>
      </c>
      <c r="K190" s="335">
        <v>0</v>
      </c>
      <c r="L190" s="335">
        <v>0</v>
      </c>
      <c r="M190" s="337">
        <v>396</v>
      </c>
      <c r="N190" s="401" t="s">
        <v>2701</v>
      </c>
      <c r="O190" s="338" t="s">
        <v>1519</v>
      </c>
      <c r="P190" s="338" t="s">
        <v>1497</v>
      </c>
      <c r="Q190" s="339" t="s">
        <v>2338</v>
      </c>
      <c r="R190" s="340">
        <v>410096</v>
      </c>
      <c r="S190" s="341" t="s">
        <v>1176</v>
      </c>
      <c r="T190" s="342">
        <v>123</v>
      </c>
      <c r="U190" s="343" t="s">
        <v>2339</v>
      </c>
      <c r="V190" s="344"/>
      <c r="W190" s="344"/>
      <c r="X190" s="344"/>
      <c r="Y190" s="344"/>
      <c r="Z190" s="344"/>
      <c r="AA190" s="344"/>
      <c r="AB190" s="344"/>
      <c r="AC190" s="344"/>
      <c r="AD190" s="344"/>
      <c r="AE190" s="344"/>
      <c r="AF190" s="344"/>
      <c r="AG190" s="344"/>
      <c r="AH190" s="344" t="s">
        <v>2370</v>
      </c>
      <c r="AI190" s="344" t="s">
        <v>2370</v>
      </c>
      <c r="AJ190" s="344" t="s">
        <v>2370</v>
      </c>
      <c r="AK190" s="344" t="s">
        <v>2370</v>
      </c>
      <c r="AL190" s="344" t="s">
        <v>2370</v>
      </c>
      <c r="AM190" s="344" t="s">
        <v>2370</v>
      </c>
      <c r="AN190" s="344" t="s">
        <v>2370</v>
      </c>
      <c r="AO190" s="344"/>
      <c r="AP190" s="344"/>
      <c r="AQ190" s="344"/>
      <c r="AR190" s="344"/>
      <c r="AS190" s="344" t="s">
        <v>2033</v>
      </c>
      <c r="AT190" s="344" t="s">
        <v>2033</v>
      </c>
      <c r="AU190" s="344" t="s">
        <v>2033</v>
      </c>
      <c r="AV190" s="344" t="s">
        <v>2033</v>
      </c>
      <c r="AW190" s="344" t="s">
        <v>2033</v>
      </c>
      <c r="AX190" s="344" t="s">
        <v>2033</v>
      </c>
      <c r="AY190" s="344" t="s">
        <v>2033</v>
      </c>
      <c r="AZ190" s="344" t="s">
        <v>2033</v>
      </c>
      <c r="BA190" s="344" t="s">
        <v>2033</v>
      </c>
      <c r="BB190" s="344" t="s">
        <v>2033</v>
      </c>
      <c r="BC190" s="344" t="s">
        <v>2033</v>
      </c>
      <c r="BD190" s="344" t="s">
        <v>2033</v>
      </c>
      <c r="BE190" s="344" t="s">
        <v>2033</v>
      </c>
      <c r="BF190" s="344" t="s">
        <v>2033</v>
      </c>
      <c r="BG190" s="344" t="s">
        <v>2033</v>
      </c>
      <c r="BH190" s="344" t="s">
        <v>2033</v>
      </c>
      <c r="BI190" s="344" t="s">
        <v>2034</v>
      </c>
      <c r="BJ190" s="344" t="s">
        <v>2034</v>
      </c>
      <c r="BK190" s="344" t="s">
        <v>2034</v>
      </c>
      <c r="BL190" s="344" t="s">
        <v>2034</v>
      </c>
      <c r="BM190" s="344" t="s">
        <v>2034</v>
      </c>
      <c r="BN190" s="344" t="s">
        <v>2034</v>
      </c>
      <c r="BO190" s="344" t="s">
        <v>2034</v>
      </c>
      <c r="BP190" s="344" t="s">
        <v>2034</v>
      </c>
      <c r="BQ190" s="344" t="s">
        <v>2034</v>
      </c>
      <c r="BR190" s="344" t="s">
        <v>2034</v>
      </c>
      <c r="BS190" s="344" t="s">
        <v>2034</v>
      </c>
      <c r="BT190" s="344" t="s">
        <v>2034</v>
      </c>
      <c r="BU190" s="344" t="s">
        <v>2034</v>
      </c>
      <c r="BV190" s="344" t="s">
        <v>2034</v>
      </c>
      <c r="BW190" s="344" t="s">
        <v>2034</v>
      </c>
      <c r="BX190" s="344"/>
      <c r="BY190" s="344" t="s">
        <v>2361</v>
      </c>
      <c r="BZ190" s="344" t="s">
        <v>2361</v>
      </c>
      <c r="CA190" s="344" t="s">
        <v>2361</v>
      </c>
      <c r="CB190" s="344" t="s">
        <v>2361</v>
      </c>
      <c r="CC190" s="344" t="s">
        <v>2361</v>
      </c>
      <c r="CD190" s="344" t="s">
        <v>2361</v>
      </c>
      <c r="CE190" s="344" t="s">
        <v>2361</v>
      </c>
      <c r="CF190" s="344" t="s">
        <v>2361</v>
      </c>
      <c r="CG190" s="344" t="s">
        <v>2359</v>
      </c>
      <c r="CH190" s="344" t="s">
        <v>2359</v>
      </c>
      <c r="CI190" s="344" t="s">
        <v>2359</v>
      </c>
      <c r="CJ190" s="344" t="s">
        <v>2359</v>
      </c>
      <c r="CK190" s="344" t="s">
        <v>2359</v>
      </c>
      <c r="CL190" s="344" t="s">
        <v>2359</v>
      </c>
      <c r="CM190" s="344"/>
      <c r="CN190" s="344"/>
      <c r="BJB190" s="334" t="s">
        <v>2361</v>
      </c>
      <c r="BJC190" s="334" t="s">
        <v>2361</v>
      </c>
      <c r="BJD190" s="334" t="s">
        <v>2361</v>
      </c>
      <c r="BJE190" s="334" t="s">
        <v>2361</v>
      </c>
      <c r="BJF190" s="334" t="s">
        <v>2361</v>
      </c>
      <c r="BJG190" s="334" t="s">
        <v>2361</v>
      </c>
      <c r="BJH190" s="334" t="s">
        <v>2372</v>
      </c>
      <c r="BJI190" s="334" t="s">
        <v>2372</v>
      </c>
      <c r="BJJ190" s="334" t="s">
        <v>2372</v>
      </c>
      <c r="BJK190" s="334" t="s">
        <v>2372</v>
      </c>
      <c r="BJL190" s="334" t="s">
        <v>2372</v>
      </c>
      <c r="BJM190" s="334" t="s">
        <v>2372</v>
      </c>
      <c r="BJN190" s="334" t="s">
        <v>2362</v>
      </c>
      <c r="BJO190" s="334" t="s">
        <v>2362</v>
      </c>
      <c r="BJP190" s="334" t="s">
        <v>2362</v>
      </c>
      <c r="BJQ190" s="334" t="s">
        <v>2362</v>
      </c>
      <c r="BJR190" s="334" t="s">
        <v>2362</v>
      </c>
      <c r="BJS190" s="334" t="s">
        <v>2362</v>
      </c>
      <c r="BJT190" s="334" t="s">
        <v>2036</v>
      </c>
      <c r="BJU190" s="334" t="s">
        <v>2036</v>
      </c>
      <c r="BJV190" s="334" t="s">
        <v>2036</v>
      </c>
      <c r="BJW190" s="334" t="s">
        <v>2036</v>
      </c>
      <c r="BJX190" s="334" t="s">
        <v>2036</v>
      </c>
      <c r="BJY190" s="334" t="s">
        <v>2036</v>
      </c>
    </row>
    <row r="191" spans="1:92 1590:1757" s="334" customFormat="1" x14ac:dyDescent="0.25">
      <c r="A191" s="325">
        <v>6</v>
      </c>
      <c r="B191" s="325">
        <v>15</v>
      </c>
      <c r="C191" s="325">
        <v>16</v>
      </c>
      <c r="D191" s="325" t="s">
        <v>2708</v>
      </c>
      <c r="E191" s="326" t="s">
        <v>2435</v>
      </c>
      <c r="F191" s="326" t="s">
        <v>2435</v>
      </c>
      <c r="G191" s="326" t="s">
        <v>2435</v>
      </c>
      <c r="H191" s="326" t="s">
        <v>2435</v>
      </c>
      <c r="I191" s="325">
        <v>8</v>
      </c>
      <c r="J191" s="325">
        <v>0</v>
      </c>
      <c r="K191" s="325">
        <v>0</v>
      </c>
      <c r="L191" s="325">
        <v>0</v>
      </c>
      <c r="M191" s="327">
        <v>396</v>
      </c>
      <c r="N191" s="402" t="s">
        <v>2714</v>
      </c>
      <c r="O191" s="328" t="s">
        <v>1519</v>
      </c>
      <c r="P191" s="328" t="s">
        <v>1497</v>
      </c>
      <c r="Q191" s="329" t="s">
        <v>2338</v>
      </c>
      <c r="R191" s="330">
        <v>425096</v>
      </c>
      <c r="S191" s="331" t="s">
        <v>1176</v>
      </c>
      <c r="T191" s="332">
        <v>123</v>
      </c>
      <c r="U191" s="333" t="s">
        <v>2339</v>
      </c>
      <c r="AH191" s="334" t="s">
        <v>2370</v>
      </c>
      <c r="AI191" s="334" t="s">
        <v>2370</v>
      </c>
      <c r="AJ191" s="334" t="s">
        <v>2370</v>
      </c>
      <c r="AK191" s="334" t="s">
        <v>2370</v>
      </c>
      <c r="AL191" s="334" t="s">
        <v>2370</v>
      </c>
      <c r="AM191" s="334" t="s">
        <v>2370</v>
      </c>
      <c r="AN191" s="334" t="s">
        <v>2370</v>
      </c>
      <c r="AO191" s="334" t="s">
        <v>2370</v>
      </c>
      <c r="AS191" s="334" t="s">
        <v>2033</v>
      </c>
      <c r="AT191" s="334" t="s">
        <v>2033</v>
      </c>
      <c r="AU191" s="334" t="s">
        <v>2033</v>
      </c>
      <c r="AV191" s="334" t="s">
        <v>2033</v>
      </c>
      <c r="AW191" s="334" t="s">
        <v>2033</v>
      </c>
      <c r="AX191" s="334" t="s">
        <v>2033</v>
      </c>
      <c r="AY191" s="334" t="s">
        <v>2033</v>
      </c>
      <c r="AZ191" s="334" t="s">
        <v>2033</v>
      </c>
      <c r="BA191" s="334" t="s">
        <v>2033</v>
      </c>
      <c r="BB191" s="334" t="s">
        <v>2033</v>
      </c>
      <c r="BC191" s="334" t="s">
        <v>2033</v>
      </c>
      <c r="BD191" s="334" t="s">
        <v>2033</v>
      </c>
      <c r="BE191" s="334" t="s">
        <v>2033</v>
      </c>
      <c r="BF191" s="334" t="s">
        <v>2033</v>
      </c>
      <c r="BG191" s="334" t="s">
        <v>2033</v>
      </c>
      <c r="BH191" s="334" t="s">
        <v>2033</v>
      </c>
      <c r="BI191" s="334" t="s">
        <v>2034</v>
      </c>
      <c r="BJ191" s="334" t="s">
        <v>2034</v>
      </c>
      <c r="BK191" s="334" t="s">
        <v>2034</v>
      </c>
      <c r="BL191" s="334" t="s">
        <v>2034</v>
      </c>
      <c r="BM191" s="334" t="s">
        <v>2034</v>
      </c>
      <c r="BN191" s="334" t="s">
        <v>2034</v>
      </c>
      <c r="BO191" s="334" t="s">
        <v>2034</v>
      </c>
      <c r="BP191" s="334" t="s">
        <v>2034</v>
      </c>
      <c r="BQ191" s="334" t="s">
        <v>2034</v>
      </c>
      <c r="BR191" s="334" t="s">
        <v>2034</v>
      </c>
      <c r="BS191" s="334" t="s">
        <v>2034</v>
      </c>
      <c r="BT191" s="334" t="s">
        <v>2034</v>
      </c>
      <c r="BU191" s="334" t="s">
        <v>2034</v>
      </c>
      <c r="BV191" s="334" t="s">
        <v>2034</v>
      </c>
      <c r="BW191" s="334" t="s">
        <v>2034</v>
      </c>
      <c r="BY191" s="334" t="s">
        <v>2361</v>
      </c>
      <c r="BZ191" s="334" t="s">
        <v>2361</v>
      </c>
      <c r="CA191" s="334" t="s">
        <v>2361</v>
      </c>
      <c r="CB191" s="334" t="s">
        <v>2361</v>
      </c>
      <c r="CC191" s="334" t="s">
        <v>2361</v>
      </c>
      <c r="CD191" s="334" t="s">
        <v>2361</v>
      </c>
      <c r="CE191" s="334" t="s">
        <v>2361</v>
      </c>
      <c r="CF191" s="334" t="s">
        <v>2361</v>
      </c>
      <c r="CG191" s="334" t="s">
        <v>2359</v>
      </c>
      <c r="CH191" s="334" t="s">
        <v>2359</v>
      </c>
      <c r="CI191" s="334" t="s">
        <v>2359</v>
      </c>
      <c r="CJ191" s="334" t="s">
        <v>2359</v>
      </c>
      <c r="CK191" s="334" t="s">
        <v>2359</v>
      </c>
      <c r="CL191" s="334" t="s">
        <v>2359</v>
      </c>
      <c r="BJZ191" s="334" t="s">
        <v>2361</v>
      </c>
      <c r="BKA191" s="334" t="s">
        <v>2361</v>
      </c>
      <c r="BKB191" s="334" t="s">
        <v>2361</v>
      </c>
      <c r="BKC191" s="334" t="s">
        <v>2361</v>
      </c>
      <c r="BKD191" s="334" t="s">
        <v>2361</v>
      </c>
      <c r="BKE191" s="334" t="s">
        <v>2361</v>
      </c>
      <c r="BKF191" s="334" t="s">
        <v>2372</v>
      </c>
      <c r="BKG191" s="334" t="s">
        <v>2372</v>
      </c>
      <c r="BKH191" s="334" t="s">
        <v>2372</v>
      </c>
      <c r="BKI191" s="334" t="s">
        <v>2372</v>
      </c>
      <c r="BKJ191" s="334" t="s">
        <v>2372</v>
      </c>
      <c r="BKK191" s="334" t="s">
        <v>2372</v>
      </c>
      <c r="BKL191" s="334" t="s">
        <v>2362</v>
      </c>
      <c r="BKM191" s="334" t="s">
        <v>2362</v>
      </c>
      <c r="BKN191" s="334" t="s">
        <v>2362</v>
      </c>
      <c r="BKO191" s="334" t="s">
        <v>2362</v>
      </c>
      <c r="BKP191" s="334" t="s">
        <v>2362</v>
      </c>
      <c r="BKQ191" s="334" t="s">
        <v>2362</v>
      </c>
      <c r="BKR191" s="334" t="s">
        <v>2036</v>
      </c>
      <c r="BKS191" s="334" t="s">
        <v>2036</v>
      </c>
      <c r="BKT191" s="334" t="s">
        <v>2036</v>
      </c>
      <c r="BKU191" s="334" t="s">
        <v>2036</v>
      </c>
      <c r="BKV191" s="334" t="s">
        <v>2036</v>
      </c>
      <c r="BKW191" s="334" t="s">
        <v>2036</v>
      </c>
    </row>
    <row r="192" spans="1:92 1590:1757" s="334" customFormat="1" x14ac:dyDescent="0.25">
      <c r="A192" s="315">
        <v>6</v>
      </c>
      <c r="B192" s="315">
        <v>15</v>
      </c>
      <c r="C192" s="315">
        <v>16</v>
      </c>
      <c r="D192" s="315" t="s">
        <v>2695</v>
      </c>
      <c r="E192" s="316" t="s">
        <v>2716</v>
      </c>
      <c r="F192" s="316" t="s">
        <v>2435</v>
      </c>
      <c r="G192" s="316" t="s">
        <v>2435</v>
      </c>
      <c r="H192" s="316" t="s">
        <v>2435</v>
      </c>
      <c r="I192" s="315">
        <v>8</v>
      </c>
      <c r="J192" s="315">
        <v>0</v>
      </c>
      <c r="K192" s="315">
        <v>0</v>
      </c>
      <c r="L192" s="315">
        <v>0</v>
      </c>
      <c r="M192" s="317">
        <v>396</v>
      </c>
      <c r="N192" s="403" t="s">
        <v>2720</v>
      </c>
      <c r="O192" s="318" t="s">
        <v>1519</v>
      </c>
      <c r="P192" s="318" t="s">
        <v>1497</v>
      </c>
      <c r="Q192" s="319" t="s">
        <v>2338</v>
      </c>
      <c r="R192" s="320">
        <v>455096</v>
      </c>
      <c r="S192" s="321" t="s">
        <v>1176</v>
      </c>
      <c r="T192" s="322">
        <v>123</v>
      </c>
      <c r="U192" s="323" t="s">
        <v>2339</v>
      </c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  <c r="AF192" s="324"/>
      <c r="AG192" s="324"/>
      <c r="AH192" s="324" t="s">
        <v>2373</v>
      </c>
      <c r="AI192" s="324" t="s">
        <v>2370</v>
      </c>
      <c r="AJ192" s="324" t="s">
        <v>2370</v>
      </c>
      <c r="AK192" s="324" t="s">
        <v>2370</v>
      </c>
      <c r="AL192" s="324" t="s">
        <v>2370</v>
      </c>
      <c r="AM192" s="324" t="s">
        <v>2370</v>
      </c>
      <c r="AN192" s="324" t="s">
        <v>2370</v>
      </c>
      <c r="AO192" s="324" t="s">
        <v>2370</v>
      </c>
      <c r="AP192" s="324"/>
      <c r="AQ192" s="324"/>
      <c r="AR192" s="324"/>
      <c r="AS192" s="324" t="s">
        <v>2033</v>
      </c>
      <c r="AT192" s="324" t="s">
        <v>2033</v>
      </c>
      <c r="AU192" s="324" t="s">
        <v>2033</v>
      </c>
      <c r="AV192" s="324" t="s">
        <v>2033</v>
      </c>
      <c r="AW192" s="324" t="s">
        <v>2033</v>
      </c>
      <c r="AX192" s="324" t="s">
        <v>2033</v>
      </c>
      <c r="AY192" s="324" t="s">
        <v>2033</v>
      </c>
      <c r="AZ192" s="324" t="s">
        <v>2033</v>
      </c>
      <c r="BA192" s="324" t="s">
        <v>2033</v>
      </c>
      <c r="BB192" s="324" t="s">
        <v>2033</v>
      </c>
      <c r="BC192" s="324" t="s">
        <v>2033</v>
      </c>
      <c r="BD192" s="324" t="s">
        <v>2033</v>
      </c>
      <c r="BE192" s="324" t="s">
        <v>2033</v>
      </c>
      <c r="BF192" s="324" t="s">
        <v>2033</v>
      </c>
      <c r="BG192" s="324" t="s">
        <v>2033</v>
      </c>
      <c r="BH192" s="324" t="s">
        <v>2033</v>
      </c>
      <c r="BI192" s="324" t="s">
        <v>2034</v>
      </c>
      <c r="BJ192" s="324" t="s">
        <v>2034</v>
      </c>
      <c r="BK192" s="324" t="s">
        <v>2034</v>
      </c>
      <c r="BL192" s="324" t="s">
        <v>2034</v>
      </c>
      <c r="BM192" s="324" t="s">
        <v>2034</v>
      </c>
      <c r="BN192" s="324" t="s">
        <v>2034</v>
      </c>
      <c r="BO192" s="324" t="s">
        <v>2034</v>
      </c>
      <c r="BP192" s="324" t="s">
        <v>2034</v>
      </c>
      <c r="BQ192" s="324" t="s">
        <v>2034</v>
      </c>
      <c r="BR192" s="324" t="s">
        <v>2034</v>
      </c>
      <c r="BS192" s="324" t="s">
        <v>2034</v>
      </c>
      <c r="BT192" s="324" t="s">
        <v>2034</v>
      </c>
      <c r="BU192" s="324" t="s">
        <v>2034</v>
      </c>
      <c r="BV192" s="324" t="s">
        <v>2034</v>
      </c>
      <c r="BW192" s="324" t="s">
        <v>2034</v>
      </c>
      <c r="BX192" s="324"/>
      <c r="BY192" s="324" t="s">
        <v>2361</v>
      </c>
      <c r="BZ192" s="324" t="s">
        <v>2361</v>
      </c>
      <c r="CA192" s="324" t="s">
        <v>2361</v>
      </c>
      <c r="CB192" s="324" t="s">
        <v>2361</v>
      </c>
      <c r="CC192" s="324" t="s">
        <v>2361</v>
      </c>
      <c r="CD192" s="324" t="s">
        <v>2361</v>
      </c>
      <c r="CE192" s="324" t="s">
        <v>2361</v>
      </c>
      <c r="CF192" s="324" t="s">
        <v>2361</v>
      </c>
      <c r="CG192" s="324" t="s">
        <v>2359</v>
      </c>
      <c r="CH192" s="324" t="s">
        <v>2359</v>
      </c>
      <c r="CI192" s="324" t="s">
        <v>2359</v>
      </c>
      <c r="CJ192" s="324" t="s">
        <v>2359</v>
      </c>
      <c r="CK192" s="324" t="s">
        <v>2359</v>
      </c>
      <c r="CL192" s="324" t="s">
        <v>2359</v>
      </c>
      <c r="CM192" s="324"/>
      <c r="CN192" s="324"/>
      <c r="BKX192" s="334" t="s">
        <v>2361</v>
      </c>
      <c r="BKY192" s="334" t="s">
        <v>2361</v>
      </c>
      <c r="BKZ192" s="334" t="s">
        <v>2361</v>
      </c>
      <c r="BLA192" s="334" t="s">
        <v>2361</v>
      </c>
      <c r="BLB192" s="334" t="s">
        <v>2361</v>
      </c>
      <c r="BLC192" s="334" t="s">
        <v>2361</v>
      </c>
      <c r="BLD192" s="334" t="s">
        <v>2372</v>
      </c>
      <c r="BLE192" s="334" t="s">
        <v>2372</v>
      </c>
      <c r="BLF192" s="334" t="s">
        <v>2372</v>
      </c>
      <c r="BLG192" s="334" t="s">
        <v>2372</v>
      </c>
      <c r="BLH192" s="334" t="s">
        <v>2372</v>
      </c>
      <c r="BLI192" s="334" t="s">
        <v>2372</v>
      </c>
      <c r="BLJ192" s="334" t="s">
        <v>2362</v>
      </c>
      <c r="BLK192" s="334" t="s">
        <v>2362</v>
      </c>
      <c r="BLL192" s="334" t="s">
        <v>2362</v>
      </c>
      <c r="BLM192" s="334" t="s">
        <v>2362</v>
      </c>
      <c r="BLN192" s="334" t="s">
        <v>2362</v>
      </c>
      <c r="BLO192" s="334" t="s">
        <v>2362</v>
      </c>
      <c r="BLP192" s="334" t="s">
        <v>2036</v>
      </c>
      <c r="BLQ192" s="334" t="s">
        <v>2036</v>
      </c>
      <c r="BLR192" s="334" t="s">
        <v>2036</v>
      </c>
      <c r="BLS192" s="334" t="s">
        <v>2036</v>
      </c>
      <c r="BLT192" s="334" t="s">
        <v>2036</v>
      </c>
      <c r="BLU192" s="334" t="s">
        <v>2036</v>
      </c>
    </row>
    <row r="193" spans="1:92 1686:1757" s="334" customFormat="1" x14ac:dyDescent="0.25">
      <c r="A193" s="315">
        <v>6</v>
      </c>
      <c r="B193" s="315">
        <v>15</v>
      </c>
      <c r="C193" s="315">
        <v>16</v>
      </c>
      <c r="D193" s="315" t="s">
        <v>2695</v>
      </c>
      <c r="E193" s="316" t="s">
        <v>2727</v>
      </c>
      <c r="F193" s="316" t="s">
        <v>2435</v>
      </c>
      <c r="G193" s="316" t="s">
        <v>2435</v>
      </c>
      <c r="H193" s="316" t="s">
        <v>2435</v>
      </c>
      <c r="I193" s="315">
        <v>8</v>
      </c>
      <c r="J193" s="315">
        <v>0</v>
      </c>
      <c r="K193" s="315">
        <v>0</v>
      </c>
      <c r="L193" s="315">
        <v>0</v>
      </c>
      <c r="M193" s="317">
        <v>396</v>
      </c>
      <c r="N193" s="403" t="s">
        <v>2718</v>
      </c>
      <c r="O193" s="318" t="s">
        <v>1519</v>
      </c>
      <c r="P193" s="318" t="s">
        <v>1497</v>
      </c>
      <c r="Q193" s="319" t="s">
        <v>2338</v>
      </c>
      <c r="R193" s="320">
        <v>460096</v>
      </c>
      <c r="S193" s="321" t="s">
        <v>1176</v>
      </c>
      <c r="T193" s="322">
        <v>123</v>
      </c>
      <c r="U193" s="323" t="s">
        <v>2339</v>
      </c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  <c r="AF193" s="324"/>
      <c r="AG193" s="324"/>
      <c r="AH193" s="324" t="s">
        <v>2373</v>
      </c>
      <c r="AI193" s="324" t="s">
        <v>2370</v>
      </c>
      <c r="AJ193" s="324" t="s">
        <v>2370</v>
      </c>
      <c r="AK193" s="324" t="s">
        <v>2370</v>
      </c>
      <c r="AL193" s="324" t="s">
        <v>2370</v>
      </c>
      <c r="AM193" s="324" t="s">
        <v>2370</v>
      </c>
      <c r="AN193" s="324" t="s">
        <v>2370</v>
      </c>
      <c r="AO193" s="324" t="s">
        <v>2370</v>
      </c>
      <c r="AP193" s="324"/>
      <c r="AQ193" s="324"/>
      <c r="AR193" s="324"/>
      <c r="AS193" s="324" t="s">
        <v>2033</v>
      </c>
      <c r="AT193" s="324" t="s">
        <v>2033</v>
      </c>
      <c r="AU193" s="324" t="s">
        <v>2033</v>
      </c>
      <c r="AV193" s="324" t="s">
        <v>2033</v>
      </c>
      <c r="AW193" s="324" t="s">
        <v>2033</v>
      </c>
      <c r="AX193" s="324" t="s">
        <v>2033</v>
      </c>
      <c r="AY193" s="324" t="s">
        <v>2033</v>
      </c>
      <c r="AZ193" s="324" t="s">
        <v>2033</v>
      </c>
      <c r="BA193" s="324" t="s">
        <v>2033</v>
      </c>
      <c r="BB193" s="324" t="s">
        <v>2033</v>
      </c>
      <c r="BC193" s="324" t="s">
        <v>2033</v>
      </c>
      <c r="BD193" s="324" t="s">
        <v>2033</v>
      </c>
      <c r="BE193" s="324" t="s">
        <v>2033</v>
      </c>
      <c r="BF193" s="324" t="s">
        <v>2033</v>
      </c>
      <c r="BG193" s="324" t="s">
        <v>2033</v>
      </c>
      <c r="BH193" s="324" t="s">
        <v>2033</v>
      </c>
      <c r="BI193" s="324" t="s">
        <v>2034</v>
      </c>
      <c r="BJ193" s="324" t="s">
        <v>2034</v>
      </c>
      <c r="BK193" s="324" t="s">
        <v>2034</v>
      </c>
      <c r="BL193" s="324" t="s">
        <v>2034</v>
      </c>
      <c r="BM193" s="324" t="s">
        <v>2034</v>
      </c>
      <c r="BN193" s="324" t="s">
        <v>2034</v>
      </c>
      <c r="BO193" s="324" t="s">
        <v>2034</v>
      </c>
      <c r="BP193" s="324" t="s">
        <v>2034</v>
      </c>
      <c r="BQ193" s="324" t="s">
        <v>2034</v>
      </c>
      <c r="BR193" s="324" t="s">
        <v>2034</v>
      </c>
      <c r="BS193" s="324" t="s">
        <v>2034</v>
      </c>
      <c r="BT193" s="324" t="s">
        <v>2034</v>
      </c>
      <c r="BU193" s="324" t="s">
        <v>2034</v>
      </c>
      <c r="BV193" s="324" t="s">
        <v>2034</v>
      </c>
      <c r="BW193" s="324" t="s">
        <v>2034</v>
      </c>
      <c r="BX193" s="324"/>
      <c r="BY193" s="324" t="s">
        <v>2361</v>
      </c>
      <c r="BZ193" s="324" t="s">
        <v>2361</v>
      </c>
      <c r="CA193" s="324" t="s">
        <v>2361</v>
      </c>
      <c r="CB193" s="324" t="s">
        <v>2361</v>
      </c>
      <c r="CC193" s="324" t="s">
        <v>2361</v>
      </c>
      <c r="CD193" s="324" t="s">
        <v>2361</v>
      </c>
      <c r="CE193" s="324" t="s">
        <v>2361</v>
      </c>
      <c r="CF193" s="324" t="s">
        <v>2361</v>
      </c>
      <c r="CG193" s="324" t="s">
        <v>2359</v>
      </c>
      <c r="CH193" s="324" t="s">
        <v>2359</v>
      </c>
      <c r="CI193" s="324" t="s">
        <v>2359</v>
      </c>
      <c r="CJ193" s="324" t="s">
        <v>2359</v>
      </c>
      <c r="CK193" s="324" t="s">
        <v>2359</v>
      </c>
      <c r="CL193" s="324" t="s">
        <v>2359</v>
      </c>
      <c r="CM193" s="324"/>
      <c r="CN193" s="324"/>
      <c r="BLV193" s="334" t="s">
        <v>2361</v>
      </c>
      <c r="BLW193" s="334" t="s">
        <v>2361</v>
      </c>
      <c r="BLX193" s="334" t="s">
        <v>2361</v>
      </c>
      <c r="BLY193" s="334" t="s">
        <v>2361</v>
      </c>
      <c r="BLZ193" s="334" t="s">
        <v>2361</v>
      </c>
      <c r="BMA193" s="334" t="s">
        <v>2361</v>
      </c>
      <c r="BMB193" s="334" t="s">
        <v>2372</v>
      </c>
      <c r="BMC193" s="334" t="s">
        <v>2372</v>
      </c>
      <c r="BMD193" s="334" t="s">
        <v>2372</v>
      </c>
      <c r="BME193" s="334" t="s">
        <v>2372</v>
      </c>
      <c r="BMF193" s="334" t="s">
        <v>2372</v>
      </c>
      <c r="BMG193" s="334" t="s">
        <v>2372</v>
      </c>
      <c r="BMH193" s="334" t="s">
        <v>2362</v>
      </c>
      <c r="BMI193" s="334" t="s">
        <v>2362</v>
      </c>
      <c r="BMJ193" s="334" t="s">
        <v>2362</v>
      </c>
      <c r="BMK193" s="334" t="s">
        <v>2362</v>
      </c>
      <c r="BML193" s="334" t="s">
        <v>2362</v>
      </c>
      <c r="BMM193" s="334" t="s">
        <v>2362</v>
      </c>
      <c r="BMN193" s="334" t="s">
        <v>2036</v>
      </c>
      <c r="BMO193" s="334" t="s">
        <v>2036</v>
      </c>
      <c r="BMP193" s="334" t="s">
        <v>2036</v>
      </c>
      <c r="BMQ193" s="334" t="s">
        <v>2036</v>
      </c>
      <c r="BMR193" s="334" t="s">
        <v>2036</v>
      </c>
      <c r="BMS193" s="334" t="s">
        <v>2036</v>
      </c>
    </row>
    <row r="194" spans="1:92 1686:1757" s="334" customFormat="1" x14ac:dyDescent="0.25">
      <c r="A194" s="315">
        <v>6</v>
      </c>
      <c r="B194" s="315">
        <v>15</v>
      </c>
      <c r="C194" s="315">
        <v>16</v>
      </c>
      <c r="D194" s="315" t="s">
        <v>2708</v>
      </c>
      <c r="E194" s="316" t="s">
        <v>2716</v>
      </c>
      <c r="F194" s="316" t="s">
        <v>2435</v>
      </c>
      <c r="G194" s="316" t="s">
        <v>2435</v>
      </c>
      <c r="H194" s="316" t="s">
        <v>2435</v>
      </c>
      <c r="I194" s="315">
        <v>8</v>
      </c>
      <c r="J194" s="315">
        <v>0</v>
      </c>
      <c r="K194" s="315">
        <v>0</v>
      </c>
      <c r="L194" s="315">
        <v>0</v>
      </c>
      <c r="M194" s="317">
        <v>396</v>
      </c>
      <c r="N194" s="403" t="s">
        <v>2722</v>
      </c>
      <c r="O194" s="318" t="s">
        <v>1519</v>
      </c>
      <c r="P194" s="318" t="s">
        <v>1497</v>
      </c>
      <c r="Q194" s="319" t="s">
        <v>2338</v>
      </c>
      <c r="R194" s="320">
        <v>470096</v>
      </c>
      <c r="S194" s="321" t="s">
        <v>1176</v>
      </c>
      <c r="T194" s="322">
        <v>123</v>
      </c>
      <c r="U194" s="323" t="s">
        <v>2339</v>
      </c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  <c r="AF194" s="324"/>
      <c r="AG194" s="324"/>
      <c r="AH194" s="324" t="s">
        <v>2373</v>
      </c>
      <c r="AI194" s="324" t="s">
        <v>2370</v>
      </c>
      <c r="AJ194" s="324" t="s">
        <v>2370</v>
      </c>
      <c r="AK194" s="324" t="s">
        <v>2370</v>
      </c>
      <c r="AL194" s="324" t="s">
        <v>2370</v>
      </c>
      <c r="AM194" s="324" t="s">
        <v>2370</v>
      </c>
      <c r="AN194" s="324" t="s">
        <v>2370</v>
      </c>
      <c r="AO194" s="324" t="s">
        <v>2370</v>
      </c>
      <c r="AP194" s="324" t="s">
        <v>2370</v>
      </c>
      <c r="AQ194" s="324"/>
      <c r="AR194" s="324"/>
      <c r="AS194" s="324" t="s">
        <v>2033</v>
      </c>
      <c r="AT194" s="324" t="s">
        <v>2033</v>
      </c>
      <c r="AU194" s="324" t="s">
        <v>2033</v>
      </c>
      <c r="AV194" s="324" t="s">
        <v>2033</v>
      </c>
      <c r="AW194" s="324" t="s">
        <v>2033</v>
      </c>
      <c r="AX194" s="324" t="s">
        <v>2033</v>
      </c>
      <c r="AY194" s="324" t="s">
        <v>2033</v>
      </c>
      <c r="AZ194" s="324" t="s">
        <v>2033</v>
      </c>
      <c r="BA194" s="324" t="s">
        <v>2033</v>
      </c>
      <c r="BB194" s="324" t="s">
        <v>2033</v>
      </c>
      <c r="BC194" s="324" t="s">
        <v>2033</v>
      </c>
      <c r="BD194" s="324" t="s">
        <v>2033</v>
      </c>
      <c r="BE194" s="324" t="s">
        <v>2033</v>
      </c>
      <c r="BF194" s="324" t="s">
        <v>2033</v>
      </c>
      <c r="BG194" s="324" t="s">
        <v>2033</v>
      </c>
      <c r="BH194" s="324" t="s">
        <v>2033</v>
      </c>
      <c r="BI194" s="324" t="s">
        <v>2034</v>
      </c>
      <c r="BJ194" s="324" t="s">
        <v>2034</v>
      </c>
      <c r="BK194" s="324" t="s">
        <v>2034</v>
      </c>
      <c r="BL194" s="324" t="s">
        <v>2034</v>
      </c>
      <c r="BM194" s="324" t="s">
        <v>2034</v>
      </c>
      <c r="BN194" s="324" t="s">
        <v>2034</v>
      </c>
      <c r="BO194" s="324" t="s">
        <v>2034</v>
      </c>
      <c r="BP194" s="324" t="s">
        <v>2034</v>
      </c>
      <c r="BQ194" s="324" t="s">
        <v>2034</v>
      </c>
      <c r="BR194" s="324" t="s">
        <v>2034</v>
      </c>
      <c r="BS194" s="324" t="s">
        <v>2034</v>
      </c>
      <c r="BT194" s="324" t="s">
        <v>2034</v>
      </c>
      <c r="BU194" s="324" t="s">
        <v>2034</v>
      </c>
      <c r="BV194" s="324" t="s">
        <v>2034</v>
      </c>
      <c r="BW194" s="324" t="s">
        <v>2034</v>
      </c>
      <c r="BX194" s="324"/>
      <c r="BY194" s="324" t="s">
        <v>2361</v>
      </c>
      <c r="BZ194" s="324" t="s">
        <v>2361</v>
      </c>
      <c r="CA194" s="324" t="s">
        <v>2361</v>
      </c>
      <c r="CB194" s="324" t="s">
        <v>2361</v>
      </c>
      <c r="CC194" s="324" t="s">
        <v>2361</v>
      </c>
      <c r="CD194" s="324" t="s">
        <v>2361</v>
      </c>
      <c r="CE194" s="324" t="s">
        <v>2361</v>
      </c>
      <c r="CF194" s="324" t="s">
        <v>2361</v>
      </c>
      <c r="CG194" s="324" t="s">
        <v>2359</v>
      </c>
      <c r="CH194" s="324" t="s">
        <v>2359</v>
      </c>
      <c r="CI194" s="324" t="s">
        <v>2359</v>
      </c>
      <c r="CJ194" s="324" t="s">
        <v>2359</v>
      </c>
      <c r="CK194" s="324" t="s">
        <v>2359</v>
      </c>
      <c r="CL194" s="324" t="s">
        <v>2359</v>
      </c>
      <c r="CM194" s="324"/>
      <c r="CN194" s="324"/>
      <c r="BMT194" s="334" t="s">
        <v>2361</v>
      </c>
      <c r="BMU194" s="334" t="s">
        <v>2361</v>
      </c>
      <c r="BMV194" s="334" t="s">
        <v>2361</v>
      </c>
      <c r="BMW194" s="334" t="s">
        <v>2361</v>
      </c>
      <c r="BMX194" s="334" t="s">
        <v>2361</v>
      </c>
      <c r="BMY194" s="334" t="s">
        <v>2361</v>
      </c>
      <c r="BMZ194" s="334" t="s">
        <v>2372</v>
      </c>
      <c r="BNA194" s="334" t="s">
        <v>2372</v>
      </c>
      <c r="BNB194" s="334" t="s">
        <v>2372</v>
      </c>
      <c r="BNC194" s="334" t="s">
        <v>2372</v>
      </c>
      <c r="BND194" s="334" t="s">
        <v>2372</v>
      </c>
      <c r="BNE194" s="334" t="s">
        <v>2372</v>
      </c>
      <c r="BNF194" s="334" t="s">
        <v>2362</v>
      </c>
      <c r="BNG194" s="334" t="s">
        <v>2362</v>
      </c>
      <c r="BNH194" s="334" t="s">
        <v>2362</v>
      </c>
      <c r="BNI194" s="334" t="s">
        <v>2362</v>
      </c>
      <c r="BNJ194" s="334" t="s">
        <v>2362</v>
      </c>
      <c r="BNK194" s="334" t="s">
        <v>2362</v>
      </c>
      <c r="BNL194" s="334" t="s">
        <v>2036</v>
      </c>
      <c r="BNM194" s="334" t="s">
        <v>2036</v>
      </c>
      <c r="BNN194" s="334" t="s">
        <v>2036</v>
      </c>
      <c r="BNO194" s="334" t="s">
        <v>2036</v>
      </c>
      <c r="BNP194" s="334" t="s">
        <v>2036</v>
      </c>
      <c r="BNQ194" s="334" t="s">
        <v>2036</v>
      </c>
    </row>
    <row r="195" spans="1:92 1686:1757" s="334" customFormat="1" x14ac:dyDescent="0.25">
      <c r="A195" s="315">
        <v>6</v>
      </c>
      <c r="B195" s="315">
        <v>15</v>
      </c>
      <c r="C195" s="315">
        <v>16</v>
      </c>
      <c r="D195" s="315" t="s">
        <v>2708</v>
      </c>
      <c r="E195" s="316" t="s">
        <v>2727</v>
      </c>
      <c r="F195" s="316" t="s">
        <v>2435</v>
      </c>
      <c r="G195" s="316" t="s">
        <v>2435</v>
      </c>
      <c r="H195" s="316" t="s">
        <v>2435</v>
      </c>
      <c r="I195" s="315">
        <v>8</v>
      </c>
      <c r="J195" s="315">
        <v>0</v>
      </c>
      <c r="K195" s="315">
        <v>0</v>
      </c>
      <c r="L195" s="315">
        <v>0</v>
      </c>
      <c r="M195" s="317">
        <v>396</v>
      </c>
      <c r="N195" s="403" t="s">
        <v>2724</v>
      </c>
      <c r="O195" s="318" t="s">
        <v>1519</v>
      </c>
      <c r="P195" s="318" t="s">
        <v>1497</v>
      </c>
      <c r="Q195" s="319" t="s">
        <v>2338</v>
      </c>
      <c r="R195" s="320">
        <v>475096</v>
      </c>
      <c r="S195" s="321" t="s">
        <v>1176</v>
      </c>
      <c r="T195" s="322">
        <v>123</v>
      </c>
      <c r="U195" s="323" t="s">
        <v>2339</v>
      </c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  <c r="AF195" s="324"/>
      <c r="AG195" s="324"/>
      <c r="AH195" s="324" t="s">
        <v>2373</v>
      </c>
      <c r="AI195" s="324" t="s">
        <v>2370</v>
      </c>
      <c r="AJ195" s="324" t="s">
        <v>2370</v>
      </c>
      <c r="AK195" s="324" t="s">
        <v>2370</v>
      </c>
      <c r="AL195" s="324" t="s">
        <v>2370</v>
      </c>
      <c r="AM195" s="324" t="s">
        <v>2370</v>
      </c>
      <c r="AN195" s="324" t="s">
        <v>2370</v>
      </c>
      <c r="AO195" s="324" t="s">
        <v>2370</v>
      </c>
      <c r="AP195" s="324" t="s">
        <v>2370</v>
      </c>
      <c r="AQ195" s="324"/>
      <c r="AR195" s="324"/>
      <c r="AS195" s="324" t="s">
        <v>2033</v>
      </c>
      <c r="AT195" s="324" t="s">
        <v>2033</v>
      </c>
      <c r="AU195" s="324" t="s">
        <v>2033</v>
      </c>
      <c r="AV195" s="324" t="s">
        <v>2033</v>
      </c>
      <c r="AW195" s="324" t="s">
        <v>2033</v>
      </c>
      <c r="AX195" s="324" t="s">
        <v>2033</v>
      </c>
      <c r="AY195" s="324" t="s">
        <v>2033</v>
      </c>
      <c r="AZ195" s="324" t="s">
        <v>2033</v>
      </c>
      <c r="BA195" s="324" t="s">
        <v>2033</v>
      </c>
      <c r="BB195" s="324" t="s">
        <v>2033</v>
      </c>
      <c r="BC195" s="324" t="s">
        <v>2033</v>
      </c>
      <c r="BD195" s="324" t="s">
        <v>2033</v>
      </c>
      <c r="BE195" s="324" t="s">
        <v>2033</v>
      </c>
      <c r="BF195" s="324" t="s">
        <v>2033</v>
      </c>
      <c r="BG195" s="324" t="s">
        <v>2033</v>
      </c>
      <c r="BH195" s="324" t="s">
        <v>2033</v>
      </c>
      <c r="BI195" s="324" t="s">
        <v>2034</v>
      </c>
      <c r="BJ195" s="324" t="s">
        <v>2034</v>
      </c>
      <c r="BK195" s="324" t="s">
        <v>2034</v>
      </c>
      <c r="BL195" s="324" t="s">
        <v>2034</v>
      </c>
      <c r="BM195" s="324" t="s">
        <v>2034</v>
      </c>
      <c r="BN195" s="324" t="s">
        <v>2034</v>
      </c>
      <c r="BO195" s="324" t="s">
        <v>2034</v>
      </c>
      <c r="BP195" s="324" t="s">
        <v>2034</v>
      </c>
      <c r="BQ195" s="324" t="s">
        <v>2034</v>
      </c>
      <c r="BR195" s="324" t="s">
        <v>2034</v>
      </c>
      <c r="BS195" s="324" t="s">
        <v>2034</v>
      </c>
      <c r="BT195" s="324" t="s">
        <v>2034</v>
      </c>
      <c r="BU195" s="324" t="s">
        <v>2034</v>
      </c>
      <c r="BV195" s="324" t="s">
        <v>2034</v>
      </c>
      <c r="BW195" s="324" t="s">
        <v>2034</v>
      </c>
      <c r="BX195" s="324"/>
      <c r="BY195" s="324" t="s">
        <v>2361</v>
      </c>
      <c r="BZ195" s="324" t="s">
        <v>2361</v>
      </c>
      <c r="CA195" s="324" t="s">
        <v>2361</v>
      </c>
      <c r="CB195" s="324" t="s">
        <v>2361</v>
      </c>
      <c r="CC195" s="324" t="s">
        <v>2361</v>
      </c>
      <c r="CD195" s="324" t="s">
        <v>2361</v>
      </c>
      <c r="CE195" s="324" t="s">
        <v>2361</v>
      </c>
      <c r="CF195" s="324" t="s">
        <v>2361</v>
      </c>
      <c r="CG195" s="324" t="s">
        <v>2359</v>
      </c>
      <c r="CH195" s="324" t="s">
        <v>2359</v>
      </c>
      <c r="CI195" s="324" t="s">
        <v>2359</v>
      </c>
      <c r="CJ195" s="324" t="s">
        <v>2359</v>
      </c>
      <c r="CK195" s="324" t="s">
        <v>2359</v>
      </c>
      <c r="CL195" s="324" t="s">
        <v>2359</v>
      </c>
      <c r="CM195" s="324"/>
      <c r="CN195" s="324"/>
      <c r="BNR195" s="334" t="s">
        <v>2361</v>
      </c>
      <c r="BNS195" s="334" t="s">
        <v>2361</v>
      </c>
      <c r="BNT195" s="334" t="s">
        <v>2361</v>
      </c>
      <c r="BNU195" s="334" t="s">
        <v>2361</v>
      </c>
      <c r="BNV195" s="334" t="s">
        <v>2361</v>
      </c>
      <c r="BNW195" s="334" t="s">
        <v>2361</v>
      </c>
      <c r="BNX195" s="334" t="s">
        <v>2372</v>
      </c>
      <c r="BNY195" s="334" t="s">
        <v>2372</v>
      </c>
      <c r="BNZ195" s="334" t="s">
        <v>2372</v>
      </c>
      <c r="BOA195" s="334" t="s">
        <v>2372</v>
      </c>
      <c r="BOB195" s="334" t="s">
        <v>2372</v>
      </c>
      <c r="BOC195" s="334" t="s">
        <v>2372</v>
      </c>
      <c r="BOD195" s="334" t="s">
        <v>2362</v>
      </c>
      <c r="BOE195" s="334" t="s">
        <v>2362</v>
      </c>
      <c r="BOF195" s="334" t="s">
        <v>2362</v>
      </c>
      <c r="BOG195" s="334" t="s">
        <v>2362</v>
      </c>
      <c r="BOH195" s="334" t="s">
        <v>2362</v>
      </c>
      <c r="BOI195" s="334" t="s">
        <v>2362</v>
      </c>
      <c r="BOJ195" s="334" t="s">
        <v>2036</v>
      </c>
      <c r="BOK195" s="334" t="s">
        <v>2036</v>
      </c>
      <c r="BOL195" s="334" t="s">
        <v>2036</v>
      </c>
      <c r="BOM195" s="334" t="s">
        <v>2036</v>
      </c>
      <c r="BON195" s="334" t="s">
        <v>2036</v>
      </c>
      <c r="BOO195" s="334" t="s">
        <v>2036</v>
      </c>
    </row>
    <row r="196" spans="1:92 1686:1757" s="324" customFormat="1" x14ac:dyDescent="0.25">
      <c r="A196" s="315">
        <v>6</v>
      </c>
      <c r="B196" s="315">
        <v>15</v>
      </c>
      <c r="C196" s="315">
        <v>16</v>
      </c>
      <c r="D196" s="315" t="s">
        <v>2695</v>
      </c>
      <c r="E196" s="316" t="s">
        <v>2717</v>
      </c>
      <c r="F196" s="316" t="s">
        <v>2435</v>
      </c>
      <c r="G196" s="316" t="s">
        <v>2435</v>
      </c>
      <c r="H196" s="316" t="s">
        <v>2435</v>
      </c>
      <c r="I196" s="315">
        <v>8</v>
      </c>
      <c r="J196" s="315">
        <v>0</v>
      </c>
      <c r="K196" s="315">
        <v>0</v>
      </c>
      <c r="L196" s="315">
        <v>0</v>
      </c>
      <c r="M196" s="317">
        <v>396</v>
      </c>
      <c r="N196" s="403" t="s">
        <v>2721</v>
      </c>
      <c r="O196" s="318" t="s">
        <v>1519</v>
      </c>
      <c r="P196" s="318" t="s">
        <v>1497</v>
      </c>
      <c r="Q196" s="319" t="s">
        <v>2338</v>
      </c>
      <c r="R196" s="320">
        <v>500096</v>
      </c>
      <c r="S196" s="321" t="s">
        <v>1176</v>
      </c>
      <c r="T196" s="322">
        <v>123</v>
      </c>
      <c r="U196" s="323" t="s">
        <v>2339</v>
      </c>
      <c r="AH196" s="324" t="s">
        <v>2373</v>
      </c>
      <c r="AI196" s="324" t="s">
        <v>2373</v>
      </c>
      <c r="AJ196" s="324" t="s">
        <v>2370</v>
      </c>
      <c r="AK196" s="324" t="s">
        <v>2370</v>
      </c>
      <c r="AL196" s="324" t="s">
        <v>2370</v>
      </c>
      <c r="AM196" s="324" t="s">
        <v>2370</v>
      </c>
      <c r="AN196" s="324" t="s">
        <v>2370</v>
      </c>
      <c r="AO196" s="324" t="s">
        <v>2370</v>
      </c>
      <c r="AP196" s="324" t="s">
        <v>2370</v>
      </c>
      <c r="AS196" s="324" t="s">
        <v>2033</v>
      </c>
      <c r="AT196" s="324" t="s">
        <v>2033</v>
      </c>
      <c r="AU196" s="324" t="s">
        <v>2033</v>
      </c>
      <c r="AV196" s="324" t="s">
        <v>2033</v>
      </c>
      <c r="AW196" s="324" t="s">
        <v>2033</v>
      </c>
      <c r="AX196" s="324" t="s">
        <v>2033</v>
      </c>
      <c r="AY196" s="324" t="s">
        <v>2033</v>
      </c>
      <c r="AZ196" s="324" t="s">
        <v>2033</v>
      </c>
      <c r="BA196" s="324" t="s">
        <v>2033</v>
      </c>
      <c r="BB196" s="324" t="s">
        <v>2033</v>
      </c>
      <c r="BC196" s="324" t="s">
        <v>2033</v>
      </c>
      <c r="BD196" s="324" t="s">
        <v>2033</v>
      </c>
      <c r="BE196" s="324" t="s">
        <v>2033</v>
      </c>
      <c r="BF196" s="324" t="s">
        <v>2033</v>
      </c>
      <c r="BG196" s="324" t="s">
        <v>2033</v>
      </c>
      <c r="BH196" s="324" t="s">
        <v>2033</v>
      </c>
      <c r="BI196" s="324" t="s">
        <v>2034</v>
      </c>
      <c r="BJ196" s="324" t="s">
        <v>2034</v>
      </c>
      <c r="BK196" s="324" t="s">
        <v>2034</v>
      </c>
      <c r="BL196" s="324" t="s">
        <v>2034</v>
      </c>
      <c r="BM196" s="324" t="s">
        <v>2034</v>
      </c>
      <c r="BN196" s="324" t="s">
        <v>2034</v>
      </c>
      <c r="BO196" s="324" t="s">
        <v>2034</v>
      </c>
      <c r="BP196" s="324" t="s">
        <v>2034</v>
      </c>
      <c r="BQ196" s="324" t="s">
        <v>2034</v>
      </c>
      <c r="BR196" s="324" t="s">
        <v>2034</v>
      </c>
      <c r="BS196" s="324" t="s">
        <v>2034</v>
      </c>
      <c r="BT196" s="324" t="s">
        <v>2034</v>
      </c>
      <c r="BU196" s="324" t="s">
        <v>2034</v>
      </c>
      <c r="BV196" s="324" t="s">
        <v>2034</v>
      </c>
      <c r="BW196" s="324" t="s">
        <v>2034</v>
      </c>
      <c r="BY196" s="324" t="s">
        <v>2361</v>
      </c>
      <c r="BZ196" s="324" t="s">
        <v>2361</v>
      </c>
      <c r="CA196" s="324" t="s">
        <v>2361</v>
      </c>
      <c r="CB196" s="324" t="s">
        <v>2361</v>
      </c>
      <c r="CC196" s="324" t="s">
        <v>2361</v>
      </c>
      <c r="CD196" s="324" t="s">
        <v>2361</v>
      </c>
      <c r="CE196" s="324" t="s">
        <v>2361</v>
      </c>
      <c r="CF196" s="324" t="s">
        <v>2361</v>
      </c>
      <c r="CG196" s="324" t="s">
        <v>2359</v>
      </c>
      <c r="CH196" s="324" t="s">
        <v>2359</v>
      </c>
      <c r="CI196" s="324" t="s">
        <v>2359</v>
      </c>
      <c r="CJ196" s="324" t="s">
        <v>2359</v>
      </c>
      <c r="CK196" s="324" t="s">
        <v>2359</v>
      </c>
      <c r="CL196" s="324" t="s">
        <v>2359</v>
      </c>
      <c r="BNR196" s="324" t="s">
        <v>2361</v>
      </c>
      <c r="BNS196" s="324" t="s">
        <v>2361</v>
      </c>
      <c r="BNT196" s="324" t="s">
        <v>2361</v>
      </c>
      <c r="BNU196" s="324" t="s">
        <v>2361</v>
      </c>
      <c r="BNV196" s="324" t="s">
        <v>2361</v>
      </c>
      <c r="BNW196" s="324" t="s">
        <v>2361</v>
      </c>
      <c r="BNX196" s="324" t="s">
        <v>2372</v>
      </c>
      <c r="BNY196" s="324" t="s">
        <v>2372</v>
      </c>
      <c r="BNZ196" s="324" t="s">
        <v>2372</v>
      </c>
      <c r="BOA196" s="324" t="s">
        <v>2372</v>
      </c>
      <c r="BOB196" s="324" t="s">
        <v>2372</v>
      </c>
      <c r="BOC196" s="324" t="s">
        <v>2372</v>
      </c>
      <c r="BOD196" s="324" t="s">
        <v>2362</v>
      </c>
      <c r="BOE196" s="324" t="s">
        <v>2362</v>
      </c>
      <c r="BOF196" s="324" t="s">
        <v>2362</v>
      </c>
      <c r="BOG196" s="324" t="s">
        <v>2362</v>
      </c>
      <c r="BOH196" s="324" t="s">
        <v>2362</v>
      </c>
      <c r="BOI196" s="324" t="s">
        <v>2362</v>
      </c>
      <c r="BOJ196" s="324" t="s">
        <v>2036</v>
      </c>
      <c r="BOK196" s="324" t="s">
        <v>2036</v>
      </c>
      <c r="BOL196" s="324" t="s">
        <v>2036</v>
      </c>
      <c r="BOM196" s="324" t="s">
        <v>2036</v>
      </c>
      <c r="BON196" s="324" t="s">
        <v>2036</v>
      </c>
      <c r="BOO196" s="324" t="s">
        <v>2036</v>
      </c>
    </row>
    <row r="197" spans="1:92 1686:1757" s="324" customFormat="1" x14ac:dyDescent="0.25">
      <c r="A197" s="315">
        <v>6</v>
      </c>
      <c r="B197" s="315">
        <v>15</v>
      </c>
      <c r="C197" s="315">
        <v>16</v>
      </c>
      <c r="D197" s="315" t="s">
        <v>2695</v>
      </c>
      <c r="E197" s="316" t="s">
        <v>2726</v>
      </c>
      <c r="F197" s="316" t="s">
        <v>2435</v>
      </c>
      <c r="G197" s="316" t="s">
        <v>2435</v>
      </c>
      <c r="H197" s="316" t="s">
        <v>2435</v>
      </c>
      <c r="I197" s="315">
        <v>8</v>
      </c>
      <c r="J197" s="315">
        <v>0</v>
      </c>
      <c r="K197" s="315">
        <v>0</v>
      </c>
      <c r="L197" s="315">
        <v>0</v>
      </c>
      <c r="M197" s="317">
        <v>396</v>
      </c>
      <c r="N197" s="403" t="s">
        <v>2719</v>
      </c>
      <c r="O197" s="318" t="s">
        <v>1519</v>
      </c>
      <c r="P197" s="318" t="s">
        <v>1497</v>
      </c>
      <c r="Q197" s="319" t="s">
        <v>2338</v>
      </c>
      <c r="R197" s="320">
        <v>510096</v>
      </c>
      <c r="S197" s="321" t="s">
        <v>1176</v>
      </c>
      <c r="T197" s="322">
        <v>123</v>
      </c>
      <c r="U197" s="323" t="s">
        <v>2339</v>
      </c>
      <c r="AH197" s="324" t="s">
        <v>2373</v>
      </c>
      <c r="AI197" s="324" t="s">
        <v>2373</v>
      </c>
      <c r="AJ197" s="324" t="s">
        <v>2370</v>
      </c>
      <c r="AK197" s="324" t="s">
        <v>2370</v>
      </c>
      <c r="AL197" s="324" t="s">
        <v>2370</v>
      </c>
      <c r="AM197" s="324" t="s">
        <v>2370</v>
      </c>
      <c r="AN197" s="324" t="s">
        <v>2370</v>
      </c>
      <c r="AO197" s="324" t="s">
        <v>2370</v>
      </c>
      <c r="AP197" s="324" t="s">
        <v>2370</v>
      </c>
      <c r="AS197" s="324" t="s">
        <v>2033</v>
      </c>
      <c r="AT197" s="324" t="s">
        <v>2033</v>
      </c>
      <c r="AU197" s="324" t="s">
        <v>2033</v>
      </c>
      <c r="AV197" s="324" t="s">
        <v>2033</v>
      </c>
      <c r="AW197" s="324" t="s">
        <v>2033</v>
      </c>
      <c r="AX197" s="324" t="s">
        <v>2033</v>
      </c>
      <c r="AY197" s="324" t="s">
        <v>2033</v>
      </c>
      <c r="AZ197" s="324" t="s">
        <v>2033</v>
      </c>
      <c r="BA197" s="324" t="s">
        <v>2033</v>
      </c>
      <c r="BB197" s="324" t="s">
        <v>2033</v>
      </c>
      <c r="BC197" s="324" t="s">
        <v>2033</v>
      </c>
      <c r="BD197" s="324" t="s">
        <v>2033</v>
      </c>
      <c r="BE197" s="324" t="s">
        <v>2033</v>
      </c>
      <c r="BF197" s="324" t="s">
        <v>2033</v>
      </c>
      <c r="BG197" s="324" t="s">
        <v>2033</v>
      </c>
      <c r="BH197" s="324" t="s">
        <v>2033</v>
      </c>
      <c r="BI197" s="324" t="s">
        <v>2034</v>
      </c>
      <c r="BJ197" s="324" t="s">
        <v>2034</v>
      </c>
      <c r="BK197" s="324" t="s">
        <v>2034</v>
      </c>
      <c r="BL197" s="324" t="s">
        <v>2034</v>
      </c>
      <c r="BM197" s="324" t="s">
        <v>2034</v>
      </c>
      <c r="BN197" s="324" t="s">
        <v>2034</v>
      </c>
      <c r="BO197" s="324" t="s">
        <v>2034</v>
      </c>
      <c r="BP197" s="324" t="s">
        <v>2034</v>
      </c>
      <c r="BQ197" s="324" t="s">
        <v>2034</v>
      </c>
      <c r="BR197" s="324" t="s">
        <v>2034</v>
      </c>
      <c r="BS197" s="324" t="s">
        <v>2034</v>
      </c>
      <c r="BT197" s="324" t="s">
        <v>2034</v>
      </c>
      <c r="BU197" s="324" t="s">
        <v>2034</v>
      </c>
      <c r="BV197" s="324" t="s">
        <v>2034</v>
      </c>
      <c r="BW197" s="324" t="s">
        <v>2034</v>
      </c>
      <c r="BY197" s="324" t="s">
        <v>2361</v>
      </c>
      <c r="BZ197" s="324" t="s">
        <v>2361</v>
      </c>
      <c r="CA197" s="324" t="s">
        <v>2361</v>
      </c>
      <c r="CB197" s="324" t="s">
        <v>2361</v>
      </c>
      <c r="CC197" s="324" t="s">
        <v>2361</v>
      </c>
      <c r="CD197" s="324" t="s">
        <v>2361</v>
      </c>
      <c r="CE197" s="324" t="s">
        <v>2361</v>
      </c>
      <c r="CF197" s="324" t="s">
        <v>2361</v>
      </c>
      <c r="CG197" s="324" t="s">
        <v>2359</v>
      </c>
      <c r="CH197" s="324" t="s">
        <v>2359</v>
      </c>
      <c r="CI197" s="324" t="s">
        <v>2359</v>
      </c>
      <c r="CJ197" s="324" t="s">
        <v>2359</v>
      </c>
      <c r="CK197" s="324" t="s">
        <v>2359</v>
      </c>
      <c r="CL197" s="324" t="s">
        <v>2359</v>
      </c>
      <c r="BNR197" s="324" t="s">
        <v>2361</v>
      </c>
      <c r="BNS197" s="324" t="s">
        <v>2361</v>
      </c>
      <c r="BNT197" s="324" t="s">
        <v>2361</v>
      </c>
      <c r="BNU197" s="324" t="s">
        <v>2361</v>
      </c>
      <c r="BNV197" s="324" t="s">
        <v>2361</v>
      </c>
      <c r="BNW197" s="324" t="s">
        <v>2361</v>
      </c>
      <c r="BNX197" s="324" t="s">
        <v>2372</v>
      </c>
      <c r="BNY197" s="324" t="s">
        <v>2372</v>
      </c>
      <c r="BNZ197" s="324" t="s">
        <v>2372</v>
      </c>
      <c r="BOA197" s="324" t="s">
        <v>2372</v>
      </c>
      <c r="BOB197" s="324" t="s">
        <v>2372</v>
      </c>
      <c r="BOC197" s="324" t="s">
        <v>2372</v>
      </c>
      <c r="BOD197" s="324" t="s">
        <v>2362</v>
      </c>
      <c r="BOE197" s="324" t="s">
        <v>2362</v>
      </c>
      <c r="BOF197" s="324" t="s">
        <v>2362</v>
      </c>
      <c r="BOG197" s="324" t="s">
        <v>2362</v>
      </c>
      <c r="BOH197" s="324" t="s">
        <v>2362</v>
      </c>
      <c r="BOI197" s="324" t="s">
        <v>2362</v>
      </c>
      <c r="BOJ197" s="324" t="s">
        <v>2036</v>
      </c>
      <c r="BOK197" s="324" t="s">
        <v>2036</v>
      </c>
      <c r="BOL197" s="324" t="s">
        <v>2036</v>
      </c>
      <c r="BOM197" s="324" t="s">
        <v>2036</v>
      </c>
      <c r="BON197" s="324" t="s">
        <v>2036</v>
      </c>
      <c r="BOO197" s="324" t="s">
        <v>2036</v>
      </c>
    </row>
    <row r="198" spans="1:92 1686:1757" s="324" customFormat="1" x14ac:dyDescent="0.25">
      <c r="A198" s="315">
        <v>6</v>
      </c>
      <c r="B198" s="315">
        <v>15</v>
      </c>
      <c r="C198" s="315">
        <v>16</v>
      </c>
      <c r="D198" s="315" t="s">
        <v>2708</v>
      </c>
      <c r="E198" s="316" t="s">
        <v>2717</v>
      </c>
      <c r="F198" s="316" t="s">
        <v>2435</v>
      </c>
      <c r="G198" s="316" t="s">
        <v>2435</v>
      </c>
      <c r="H198" s="316" t="s">
        <v>2435</v>
      </c>
      <c r="I198" s="315">
        <v>8</v>
      </c>
      <c r="J198" s="315">
        <v>0</v>
      </c>
      <c r="K198" s="315">
        <v>0</v>
      </c>
      <c r="L198" s="315">
        <v>0</v>
      </c>
      <c r="M198" s="317">
        <v>396</v>
      </c>
      <c r="N198" s="403" t="s">
        <v>2723</v>
      </c>
      <c r="O198" s="318" t="s">
        <v>1519</v>
      </c>
      <c r="P198" s="318" t="s">
        <v>1497</v>
      </c>
      <c r="Q198" s="319" t="s">
        <v>2338</v>
      </c>
      <c r="R198" s="320">
        <v>515096</v>
      </c>
      <c r="S198" s="321" t="s">
        <v>1176</v>
      </c>
      <c r="T198" s="322">
        <v>123</v>
      </c>
      <c r="U198" s="323" t="s">
        <v>2339</v>
      </c>
      <c r="AH198" s="324" t="s">
        <v>2373</v>
      </c>
      <c r="AI198" s="324" t="s">
        <v>2373</v>
      </c>
      <c r="AJ198" s="324" t="s">
        <v>2370</v>
      </c>
      <c r="AK198" s="324" t="s">
        <v>2370</v>
      </c>
      <c r="AL198" s="324" t="s">
        <v>2370</v>
      </c>
      <c r="AM198" s="324" t="s">
        <v>2370</v>
      </c>
      <c r="AN198" s="324" t="s">
        <v>2370</v>
      </c>
      <c r="AO198" s="324" t="s">
        <v>2370</v>
      </c>
      <c r="AP198" s="324" t="s">
        <v>2370</v>
      </c>
      <c r="AQ198" s="324" t="s">
        <v>2370</v>
      </c>
      <c r="AS198" s="324" t="s">
        <v>2033</v>
      </c>
      <c r="AT198" s="324" t="s">
        <v>2033</v>
      </c>
      <c r="AU198" s="324" t="s">
        <v>2033</v>
      </c>
      <c r="AV198" s="324" t="s">
        <v>2033</v>
      </c>
      <c r="AW198" s="324" t="s">
        <v>2033</v>
      </c>
      <c r="AX198" s="324" t="s">
        <v>2033</v>
      </c>
      <c r="AY198" s="324" t="s">
        <v>2033</v>
      </c>
      <c r="AZ198" s="324" t="s">
        <v>2033</v>
      </c>
      <c r="BA198" s="324" t="s">
        <v>2033</v>
      </c>
      <c r="BB198" s="324" t="s">
        <v>2033</v>
      </c>
      <c r="BC198" s="324" t="s">
        <v>2033</v>
      </c>
      <c r="BD198" s="324" t="s">
        <v>2033</v>
      </c>
      <c r="BE198" s="324" t="s">
        <v>2033</v>
      </c>
      <c r="BF198" s="324" t="s">
        <v>2033</v>
      </c>
      <c r="BG198" s="324" t="s">
        <v>2033</v>
      </c>
      <c r="BH198" s="324" t="s">
        <v>2033</v>
      </c>
      <c r="BI198" s="324" t="s">
        <v>2034</v>
      </c>
      <c r="BJ198" s="324" t="s">
        <v>2034</v>
      </c>
      <c r="BK198" s="324" t="s">
        <v>2034</v>
      </c>
      <c r="BL198" s="324" t="s">
        <v>2034</v>
      </c>
      <c r="BM198" s="324" t="s">
        <v>2034</v>
      </c>
      <c r="BN198" s="324" t="s">
        <v>2034</v>
      </c>
      <c r="BO198" s="324" t="s">
        <v>2034</v>
      </c>
      <c r="BP198" s="324" t="s">
        <v>2034</v>
      </c>
      <c r="BQ198" s="324" t="s">
        <v>2034</v>
      </c>
      <c r="BR198" s="324" t="s">
        <v>2034</v>
      </c>
      <c r="BS198" s="324" t="s">
        <v>2034</v>
      </c>
      <c r="BT198" s="324" t="s">
        <v>2034</v>
      </c>
      <c r="BU198" s="324" t="s">
        <v>2034</v>
      </c>
      <c r="BV198" s="324" t="s">
        <v>2034</v>
      </c>
      <c r="BW198" s="324" t="s">
        <v>2034</v>
      </c>
      <c r="BY198" s="324" t="s">
        <v>2361</v>
      </c>
      <c r="BZ198" s="324" t="s">
        <v>2361</v>
      </c>
      <c r="CA198" s="324" t="s">
        <v>2361</v>
      </c>
      <c r="CB198" s="324" t="s">
        <v>2361</v>
      </c>
      <c r="CC198" s="324" t="s">
        <v>2361</v>
      </c>
      <c r="CD198" s="324" t="s">
        <v>2361</v>
      </c>
      <c r="CE198" s="324" t="s">
        <v>2361</v>
      </c>
      <c r="CF198" s="324" t="s">
        <v>2361</v>
      </c>
      <c r="CG198" s="324" t="s">
        <v>2359</v>
      </c>
      <c r="CH198" s="324" t="s">
        <v>2359</v>
      </c>
      <c r="CI198" s="324" t="s">
        <v>2359</v>
      </c>
      <c r="CJ198" s="324" t="s">
        <v>2359</v>
      </c>
      <c r="CK198" s="324" t="s">
        <v>2359</v>
      </c>
      <c r="CL198" s="324" t="s">
        <v>2359</v>
      </c>
      <c r="BNR198" s="324" t="s">
        <v>2361</v>
      </c>
      <c r="BNS198" s="324" t="s">
        <v>2361</v>
      </c>
      <c r="BNT198" s="324" t="s">
        <v>2361</v>
      </c>
      <c r="BNU198" s="324" t="s">
        <v>2361</v>
      </c>
      <c r="BNV198" s="324" t="s">
        <v>2361</v>
      </c>
      <c r="BNW198" s="324" t="s">
        <v>2361</v>
      </c>
      <c r="BNX198" s="324" t="s">
        <v>2372</v>
      </c>
      <c r="BNY198" s="324" t="s">
        <v>2372</v>
      </c>
      <c r="BNZ198" s="324" t="s">
        <v>2372</v>
      </c>
      <c r="BOA198" s="324" t="s">
        <v>2372</v>
      </c>
      <c r="BOB198" s="324" t="s">
        <v>2372</v>
      </c>
      <c r="BOC198" s="324" t="s">
        <v>2372</v>
      </c>
      <c r="BOD198" s="324" t="s">
        <v>2362</v>
      </c>
      <c r="BOE198" s="324" t="s">
        <v>2362</v>
      </c>
      <c r="BOF198" s="324" t="s">
        <v>2362</v>
      </c>
      <c r="BOG198" s="324" t="s">
        <v>2362</v>
      </c>
      <c r="BOH198" s="324" t="s">
        <v>2362</v>
      </c>
      <c r="BOI198" s="324" t="s">
        <v>2362</v>
      </c>
      <c r="BOJ198" s="324" t="s">
        <v>2036</v>
      </c>
      <c r="BOK198" s="324" t="s">
        <v>2036</v>
      </c>
      <c r="BOL198" s="324" t="s">
        <v>2036</v>
      </c>
      <c r="BOM198" s="324" t="s">
        <v>2036</v>
      </c>
      <c r="BON198" s="324" t="s">
        <v>2036</v>
      </c>
      <c r="BOO198" s="324" t="s">
        <v>2036</v>
      </c>
    </row>
    <row r="199" spans="1:92 1686:1757" s="324" customFormat="1" x14ac:dyDescent="0.25">
      <c r="A199" s="315">
        <v>6</v>
      </c>
      <c r="B199" s="315">
        <v>15</v>
      </c>
      <c r="C199" s="315">
        <v>16</v>
      </c>
      <c r="D199" s="315" t="s">
        <v>2708</v>
      </c>
      <c r="E199" s="316" t="s">
        <v>2726</v>
      </c>
      <c r="F199" s="316" t="s">
        <v>2435</v>
      </c>
      <c r="G199" s="316" t="s">
        <v>2435</v>
      </c>
      <c r="H199" s="316" t="s">
        <v>2435</v>
      </c>
      <c r="I199" s="315">
        <v>8</v>
      </c>
      <c r="J199" s="315">
        <v>0</v>
      </c>
      <c r="K199" s="315">
        <v>0</v>
      </c>
      <c r="L199" s="315">
        <v>0</v>
      </c>
      <c r="M199" s="317">
        <v>396</v>
      </c>
      <c r="N199" s="403" t="s">
        <v>2725</v>
      </c>
      <c r="O199" s="318" t="s">
        <v>1519</v>
      </c>
      <c r="P199" s="318" t="s">
        <v>1497</v>
      </c>
      <c r="Q199" s="319" t="s">
        <v>2338</v>
      </c>
      <c r="R199" s="320">
        <v>525096</v>
      </c>
      <c r="S199" s="321" t="s">
        <v>1176</v>
      </c>
      <c r="T199" s="322">
        <v>123</v>
      </c>
      <c r="U199" s="323" t="s">
        <v>2339</v>
      </c>
      <c r="AH199" s="324" t="s">
        <v>2373</v>
      </c>
      <c r="AI199" s="324" t="s">
        <v>2373</v>
      </c>
      <c r="AJ199" s="324" t="s">
        <v>2370</v>
      </c>
      <c r="AK199" s="324" t="s">
        <v>2370</v>
      </c>
      <c r="AL199" s="324" t="s">
        <v>2370</v>
      </c>
      <c r="AM199" s="324" t="s">
        <v>2370</v>
      </c>
      <c r="AN199" s="324" t="s">
        <v>2370</v>
      </c>
      <c r="AS199" s="324" t="s">
        <v>2033</v>
      </c>
      <c r="AT199" s="324" t="s">
        <v>2033</v>
      </c>
      <c r="AU199" s="324" t="s">
        <v>2033</v>
      </c>
      <c r="AV199" s="324" t="s">
        <v>2033</v>
      </c>
      <c r="AW199" s="324" t="s">
        <v>2033</v>
      </c>
      <c r="AX199" s="324" t="s">
        <v>2033</v>
      </c>
      <c r="AY199" s="324" t="s">
        <v>2033</v>
      </c>
      <c r="AZ199" s="324" t="s">
        <v>2033</v>
      </c>
      <c r="BA199" s="324" t="s">
        <v>2033</v>
      </c>
      <c r="BB199" s="324" t="s">
        <v>2033</v>
      </c>
      <c r="BC199" s="324" t="s">
        <v>2033</v>
      </c>
      <c r="BD199" s="324" t="s">
        <v>2033</v>
      </c>
      <c r="BE199" s="324" t="s">
        <v>2033</v>
      </c>
      <c r="BF199" s="324" t="s">
        <v>2033</v>
      </c>
      <c r="BG199" s="324" t="s">
        <v>2033</v>
      </c>
      <c r="BH199" s="324" t="s">
        <v>2033</v>
      </c>
      <c r="BI199" s="324" t="s">
        <v>2034</v>
      </c>
      <c r="BJ199" s="324" t="s">
        <v>2034</v>
      </c>
      <c r="BK199" s="324" t="s">
        <v>2034</v>
      </c>
      <c r="BL199" s="324" t="s">
        <v>2034</v>
      </c>
      <c r="BM199" s="324" t="s">
        <v>2034</v>
      </c>
      <c r="BN199" s="324" t="s">
        <v>2034</v>
      </c>
      <c r="BO199" s="324" t="s">
        <v>2034</v>
      </c>
      <c r="BP199" s="324" t="s">
        <v>2034</v>
      </c>
      <c r="BQ199" s="324" t="s">
        <v>2034</v>
      </c>
      <c r="BR199" s="324" t="s">
        <v>2034</v>
      </c>
      <c r="BS199" s="324" t="s">
        <v>2034</v>
      </c>
      <c r="BT199" s="324" t="s">
        <v>2034</v>
      </c>
      <c r="BU199" s="324" t="s">
        <v>2034</v>
      </c>
      <c r="BV199" s="324" t="s">
        <v>2034</v>
      </c>
      <c r="BW199" s="324" t="s">
        <v>2034</v>
      </c>
      <c r="BY199" s="324" t="s">
        <v>2361</v>
      </c>
      <c r="BZ199" s="324" t="s">
        <v>2361</v>
      </c>
      <c r="CA199" s="324" t="s">
        <v>2361</v>
      </c>
      <c r="CB199" s="324" t="s">
        <v>2361</v>
      </c>
      <c r="CC199" s="324" t="s">
        <v>2361</v>
      </c>
      <c r="CD199" s="324" t="s">
        <v>2361</v>
      </c>
      <c r="CE199" s="324" t="s">
        <v>2361</v>
      </c>
      <c r="CF199" s="324" t="s">
        <v>2361</v>
      </c>
      <c r="CG199" s="324" t="s">
        <v>2359</v>
      </c>
      <c r="CH199" s="324" t="s">
        <v>2359</v>
      </c>
      <c r="CI199" s="324" t="s">
        <v>2359</v>
      </c>
      <c r="CJ199" s="324" t="s">
        <v>2359</v>
      </c>
      <c r="CK199" s="324" t="s">
        <v>2359</v>
      </c>
      <c r="CL199" s="324" t="s">
        <v>2359</v>
      </c>
      <c r="BNR199" s="324" t="s">
        <v>2361</v>
      </c>
      <c r="BNS199" s="324" t="s">
        <v>2361</v>
      </c>
      <c r="BNT199" s="324" t="s">
        <v>2361</v>
      </c>
      <c r="BNU199" s="324" t="s">
        <v>2361</v>
      </c>
      <c r="BNV199" s="324" t="s">
        <v>2361</v>
      </c>
      <c r="BNW199" s="324" t="s">
        <v>2361</v>
      </c>
      <c r="BNX199" s="324" t="s">
        <v>2372</v>
      </c>
      <c r="BNY199" s="324" t="s">
        <v>2372</v>
      </c>
      <c r="BNZ199" s="324" t="s">
        <v>2372</v>
      </c>
      <c r="BOA199" s="324" t="s">
        <v>2372</v>
      </c>
      <c r="BOB199" s="324" t="s">
        <v>2372</v>
      </c>
      <c r="BOC199" s="324" t="s">
        <v>2372</v>
      </c>
      <c r="BOD199" s="324" t="s">
        <v>2362</v>
      </c>
      <c r="BOE199" s="324" t="s">
        <v>2362</v>
      </c>
      <c r="BOF199" s="324" t="s">
        <v>2362</v>
      </c>
      <c r="BOG199" s="324" t="s">
        <v>2362</v>
      </c>
      <c r="BOH199" s="324" t="s">
        <v>2362</v>
      </c>
      <c r="BOI199" s="324" t="s">
        <v>2362</v>
      </c>
      <c r="BOJ199" s="324" t="s">
        <v>2036</v>
      </c>
      <c r="BOK199" s="324" t="s">
        <v>2036</v>
      </c>
      <c r="BOL199" s="324" t="s">
        <v>2036</v>
      </c>
      <c r="BOM199" s="324" t="s">
        <v>2036</v>
      </c>
      <c r="BON199" s="324" t="s">
        <v>2036</v>
      </c>
      <c r="BOO199" s="324" t="s">
        <v>2036</v>
      </c>
    </row>
    <row r="224" spans="18:18" x14ac:dyDescent="0.25">
      <c r="R224" s="314"/>
    </row>
    <row r="225" spans="18:18" x14ac:dyDescent="0.25">
      <c r="R225" s="314"/>
    </row>
    <row r="226" spans="18:18" x14ac:dyDescent="0.25">
      <c r="R226" s="314"/>
    </row>
    <row r="227" spans="18:18" x14ac:dyDescent="0.25">
      <c r="R227" s="314"/>
    </row>
    <row r="228" spans="18:18" x14ac:dyDescent="0.25">
      <c r="R228" s="314"/>
    </row>
    <row r="229" spans="18:18" x14ac:dyDescent="0.25">
      <c r="R229" s="314"/>
    </row>
    <row r="230" spans="18:18" x14ac:dyDescent="0.25">
      <c r="R230" s="314"/>
    </row>
    <row r="231" spans="18:18" x14ac:dyDescent="0.25">
      <c r="R231" s="314"/>
    </row>
    <row r="232" spans="18:18" x14ac:dyDescent="0.25">
      <c r="R232" s="314"/>
    </row>
    <row r="233" spans="18:18" x14ac:dyDescent="0.25">
      <c r="R233" s="314"/>
    </row>
    <row r="234" spans="18:18" x14ac:dyDescent="0.25">
      <c r="R234" s="314"/>
    </row>
    <row r="235" spans="18:18" x14ac:dyDescent="0.25">
      <c r="R235" s="314"/>
    </row>
    <row r="236" spans="18:18" x14ac:dyDescent="0.25">
      <c r="R236" s="314"/>
    </row>
    <row r="237" spans="18:18" x14ac:dyDescent="0.25">
      <c r="R237" s="314"/>
    </row>
    <row r="238" spans="18:18" x14ac:dyDescent="0.25">
      <c r="R238" s="314"/>
    </row>
    <row r="239" spans="18:18" x14ac:dyDescent="0.25">
      <c r="R239" s="314"/>
    </row>
    <row r="240" spans="18:18" x14ac:dyDescent="0.25">
      <c r="R240" s="314"/>
    </row>
    <row r="241" spans="18:18" x14ac:dyDescent="0.25">
      <c r="R241" s="314"/>
    </row>
    <row r="242" spans="18:18" x14ac:dyDescent="0.25">
      <c r="R242" s="314"/>
    </row>
    <row r="243" spans="18:18" x14ac:dyDescent="0.25">
      <c r="R243" s="314"/>
    </row>
    <row r="244" spans="18:18" x14ac:dyDescent="0.25">
      <c r="R244" s="314"/>
    </row>
    <row r="245" spans="18:18" x14ac:dyDescent="0.25">
      <c r="R245" s="314"/>
    </row>
  </sheetData>
  <sortState ref="A2:CN198">
    <sortCondition ref="R2:R198"/>
  </sortState>
  <mergeCells count="2">
    <mergeCell ref="X22:X23"/>
    <mergeCell ref="Y22:Z2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CommandButton1">
          <controlPr autoLine="0" r:id="rId5">
            <anchor moveWithCells="1">
              <from>
                <xdr:col>15</xdr:col>
                <xdr:colOff>152400</xdr:colOff>
                <xdr:row>2</xdr:row>
                <xdr:rowOff>9525</xdr:rowOff>
              </from>
              <to>
                <xdr:col>15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4505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A1:BOO243"/>
  <sheetViews>
    <sheetView zoomScale="85" zoomScaleNormal="85" workbookViewId="0">
      <pane ySplit="1" topLeftCell="A74" activePane="bottomLeft" state="frozen"/>
      <selection pane="bottomLeft" activeCell="J149" sqref="J149"/>
    </sheetView>
  </sheetViews>
  <sheetFormatPr defaultRowHeight="15" x14ac:dyDescent="0.25"/>
  <cols>
    <col min="1" max="1" width="6" style="154" bestFit="1" customWidth="1"/>
    <col min="2" max="3" width="3" style="154" bestFit="1" customWidth="1"/>
    <col min="4" max="5" width="11.85546875" style="154" bestFit="1" customWidth="1"/>
    <col min="6" max="6" width="10.85546875" style="154" bestFit="1" customWidth="1"/>
    <col min="7" max="7" width="7.7109375" style="154" bestFit="1" customWidth="1"/>
    <col min="8" max="8" width="10.85546875" style="154" bestFit="1" customWidth="1"/>
    <col min="9" max="9" width="13.85546875" style="154" bestFit="1" customWidth="1"/>
    <col min="10" max="10" width="10.7109375" style="154" bestFit="1" customWidth="1"/>
    <col min="11" max="11" width="10.85546875" style="154" bestFit="1" customWidth="1"/>
    <col min="12" max="12" width="7.7109375" style="154" bestFit="1" customWidth="1"/>
    <col min="13" max="13" width="10.5703125" style="179" bestFit="1" customWidth="1"/>
    <col min="14" max="14" width="21" style="179" customWidth="1"/>
    <col min="15" max="15" width="18.42578125" style="155" customWidth="1"/>
    <col min="16" max="16" width="23.28515625" style="155" customWidth="1"/>
    <col min="17" max="17" width="36" style="155" customWidth="1"/>
    <col min="18" max="18" width="25.85546875" style="154" customWidth="1"/>
    <col min="19" max="19" width="23.7109375" style="154" customWidth="1"/>
    <col min="20" max="20" width="14" style="154" customWidth="1"/>
    <col min="21" max="21" width="111.85546875" style="154" customWidth="1"/>
    <col min="22" max="33" width="9.140625" style="154" customWidth="1"/>
    <col min="34" max="39" width="11.7109375" style="154" bestFit="1" customWidth="1"/>
    <col min="40" max="40" width="17.42578125" style="154" customWidth="1"/>
    <col min="41" max="70" width="3.140625" style="154" bestFit="1" customWidth="1"/>
    <col min="71" max="75" width="3" style="154" bestFit="1" customWidth="1"/>
    <col min="76" max="76" width="14" style="154" bestFit="1" customWidth="1"/>
    <col min="77" max="80" width="13.85546875" style="154" bestFit="1" customWidth="1"/>
    <col min="81" max="81" width="13.85546875" style="154" customWidth="1"/>
    <col min="82" max="84" width="13.85546875" style="154" bestFit="1" customWidth="1"/>
    <col min="85" max="86" width="7.7109375" style="154" bestFit="1" customWidth="1"/>
    <col min="87" max="90" width="6" style="154" bestFit="1" customWidth="1"/>
    <col min="91" max="255" width="9.140625" style="154"/>
    <col min="256" max="256" width="16.7109375" style="154" customWidth="1"/>
    <col min="257" max="258" width="6.5703125" style="154" customWidth="1"/>
    <col min="259" max="259" width="5.5703125" style="154" customWidth="1"/>
    <col min="260" max="260" width="11.42578125" style="154" customWidth="1"/>
    <col min="261" max="261" width="7.85546875" style="154" customWidth="1"/>
    <col min="262" max="262" width="10.5703125" style="154" customWidth="1"/>
    <col min="263" max="263" width="8.7109375" style="154" customWidth="1"/>
    <col min="264" max="264" width="8.85546875" style="154" customWidth="1"/>
    <col min="265" max="265" width="7.140625" style="154" customWidth="1"/>
    <col min="266" max="266" width="8.5703125" style="154" customWidth="1"/>
    <col min="267" max="267" width="8.42578125" style="154" customWidth="1"/>
    <col min="268" max="268" width="7.85546875" style="154" customWidth="1"/>
    <col min="269" max="269" width="7.7109375" style="154" customWidth="1"/>
    <col min="270" max="270" width="15.28515625" style="154" customWidth="1"/>
    <col min="271" max="271" width="13.85546875" style="154" customWidth="1"/>
    <col min="272" max="272" width="18" style="154" customWidth="1"/>
    <col min="273" max="273" width="36" style="154" customWidth="1"/>
    <col min="274" max="274" width="13.7109375" style="154" customWidth="1"/>
    <col min="275" max="275" width="15.42578125" style="154" customWidth="1"/>
    <col min="276" max="276" width="9.140625" style="154"/>
    <col min="277" max="277" width="98.42578125" style="154" customWidth="1"/>
    <col min="278" max="511" width="9.140625" style="154"/>
    <col min="512" max="512" width="16.7109375" style="154" customWidth="1"/>
    <col min="513" max="514" width="6.5703125" style="154" customWidth="1"/>
    <col min="515" max="515" width="5.5703125" style="154" customWidth="1"/>
    <col min="516" max="516" width="11.42578125" style="154" customWidth="1"/>
    <col min="517" max="517" width="7.85546875" style="154" customWidth="1"/>
    <col min="518" max="518" width="10.5703125" style="154" customWidth="1"/>
    <col min="519" max="519" width="8.7109375" style="154" customWidth="1"/>
    <col min="520" max="520" width="8.85546875" style="154" customWidth="1"/>
    <col min="521" max="521" width="7.140625" style="154" customWidth="1"/>
    <col min="522" max="522" width="8.5703125" style="154" customWidth="1"/>
    <col min="523" max="523" width="8.42578125" style="154" customWidth="1"/>
    <col min="524" max="524" width="7.85546875" style="154" customWidth="1"/>
    <col min="525" max="525" width="7.7109375" style="154" customWidth="1"/>
    <col min="526" max="526" width="15.28515625" style="154" customWidth="1"/>
    <col min="527" max="527" width="13.85546875" style="154" customWidth="1"/>
    <col min="528" max="528" width="18" style="154" customWidth="1"/>
    <col min="529" max="529" width="36" style="154" customWidth="1"/>
    <col min="530" max="530" width="13.7109375" style="154" customWidth="1"/>
    <col min="531" max="531" width="15.42578125" style="154" customWidth="1"/>
    <col min="532" max="532" width="9.140625" style="154"/>
    <col min="533" max="533" width="98.42578125" style="154" customWidth="1"/>
    <col min="534" max="767" width="9.140625" style="154"/>
    <col min="768" max="768" width="16.7109375" style="154" customWidth="1"/>
    <col min="769" max="770" width="6.5703125" style="154" customWidth="1"/>
    <col min="771" max="771" width="5.5703125" style="154" customWidth="1"/>
    <col min="772" max="772" width="11.42578125" style="154" customWidth="1"/>
    <col min="773" max="773" width="7.85546875" style="154" customWidth="1"/>
    <col min="774" max="774" width="10.5703125" style="154" customWidth="1"/>
    <col min="775" max="775" width="8.7109375" style="154" customWidth="1"/>
    <col min="776" max="776" width="8.85546875" style="154" customWidth="1"/>
    <col min="777" max="777" width="7.140625" style="154" customWidth="1"/>
    <col min="778" max="778" width="8.5703125" style="154" customWidth="1"/>
    <col min="779" max="779" width="8.42578125" style="154" customWidth="1"/>
    <col min="780" max="780" width="7.85546875" style="154" customWidth="1"/>
    <col min="781" max="781" width="7.7109375" style="154" customWidth="1"/>
    <col min="782" max="782" width="15.28515625" style="154" customWidth="1"/>
    <col min="783" max="783" width="13.85546875" style="154" customWidth="1"/>
    <col min="784" max="784" width="18" style="154" customWidth="1"/>
    <col min="785" max="785" width="36" style="154" customWidth="1"/>
    <col min="786" max="786" width="13.7109375" style="154" customWidth="1"/>
    <col min="787" max="787" width="15.42578125" style="154" customWidth="1"/>
    <col min="788" max="788" width="9.140625" style="154"/>
    <col min="789" max="789" width="98.42578125" style="154" customWidth="1"/>
    <col min="790" max="1023" width="9.140625" style="154"/>
    <col min="1024" max="1024" width="16.7109375" style="154" customWidth="1"/>
    <col min="1025" max="1026" width="6.5703125" style="154" customWidth="1"/>
    <col min="1027" max="1027" width="5.5703125" style="154" customWidth="1"/>
    <col min="1028" max="1028" width="11.42578125" style="154" customWidth="1"/>
    <col min="1029" max="1029" width="7.85546875" style="154" customWidth="1"/>
    <col min="1030" max="1030" width="10.5703125" style="154" customWidth="1"/>
    <col min="1031" max="1031" width="8.7109375" style="154" customWidth="1"/>
    <col min="1032" max="1032" width="8.85546875" style="154" customWidth="1"/>
    <col min="1033" max="1033" width="7.140625" style="154" customWidth="1"/>
    <col min="1034" max="1034" width="8.5703125" style="154" customWidth="1"/>
    <col min="1035" max="1035" width="8.42578125" style="154" customWidth="1"/>
    <col min="1036" max="1036" width="7.85546875" style="154" customWidth="1"/>
    <col min="1037" max="1037" width="7.7109375" style="154" customWidth="1"/>
    <col min="1038" max="1038" width="15.28515625" style="154" customWidth="1"/>
    <col min="1039" max="1039" width="13.85546875" style="154" customWidth="1"/>
    <col min="1040" max="1040" width="18" style="154" customWidth="1"/>
    <col min="1041" max="1041" width="36" style="154" customWidth="1"/>
    <col min="1042" max="1042" width="13.7109375" style="154" customWidth="1"/>
    <col min="1043" max="1043" width="15.42578125" style="154" customWidth="1"/>
    <col min="1044" max="1044" width="9.140625" style="154"/>
    <col min="1045" max="1045" width="98.42578125" style="154" customWidth="1"/>
    <col min="1046" max="1279" width="9.140625" style="154"/>
    <col min="1280" max="1280" width="16.7109375" style="154" customWidth="1"/>
    <col min="1281" max="1282" width="6.5703125" style="154" customWidth="1"/>
    <col min="1283" max="1283" width="5.5703125" style="154" customWidth="1"/>
    <col min="1284" max="1284" width="11.42578125" style="154" customWidth="1"/>
    <col min="1285" max="1285" width="7.85546875" style="154" customWidth="1"/>
    <col min="1286" max="1286" width="10.5703125" style="154" customWidth="1"/>
    <col min="1287" max="1287" width="8.7109375" style="154" customWidth="1"/>
    <col min="1288" max="1288" width="8.85546875" style="154" customWidth="1"/>
    <col min="1289" max="1289" width="7.140625" style="154" customWidth="1"/>
    <col min="1290" max="1290" width="8.5703125" style="154" customWidth="1"/>
    <col min="1291" max="1291" width="8.42578125" style="154" customWidth="1"/>
    <col min="1292" max="1292" width="7.85546875" style="154" customWidth="1"/>
    <col min="1293" max="1293" width="7.7109375" style="154" customWidth="1"/>
    <col min="1294" max="1294" width="15.28515625" style="154" customWidth="1"/>
    <col min="1295" max="1295" width="13.85546875" style="154" customWidth="1"/>
    <col min="1296" max="1296" width="18" style="154" customWidth="1"/>
    <col min="1297" max="1297" width="36" style="154" customWidth="1"/>
    <col min="1298" max="1298" width="13.7109375" style="154" customWidth="1"/>
    <col min="1299" max="1299" width="15.42578125" style="154" customWidth="1"/>
    <col min="1300" max="1300" width="9.140625" style="154"/>
    <col min="1301" max="1301" width="98.42578125" style="154" customWidth="1"/>
    <col min="1302" max="1535" width="9.140625" style="154"/>
    <col min="1536" max="1536" width="16.7109375" style="154" customWidth="1"/>
    <col min="1537" max="1538" width="6.5703125" style="154" customWidth="1"/>
    <col min="1539" max="1539" width="5.5703125" style="154" customWidth="1"/>
    <col min="1540" max="1540" width="11.42578125" style="154" customWidth="1"/>
    <col min="1541" max="1541" width="7.85546875" style="154" customWidth="1"/>
    <col min="1542" max="1542" width="10.5703125" style="154" customWidth="1"/>
    <col min="1543" max="1543" width="8.7109375" style="154" customWidth="1"/>
    <col min="1544" max="1544" width="8.85546875" style="154" customWidth="1"/>
    <col min="1545" max="1545" width="7.140625" style="154" customWidth="1"/>
    <col min="1546" max="1546" width="8.5703125" style="154" customWidth="1"/>
    <col min="1547" max="1547" width="8.42578125" style="154" customWidth="1"/>
    <col min="1548" max="1548" width="7.85546875" style="154" customWidth="1"/>
    <col min="1549" max="1549" width="7.7109375" style="154" customWidth="1"/>
    <col min="1550" max="1550" width="15.28515625" style="154" customWidth="1"/>
    <col min="1551" max="1551" width="13.85546875" style="154" customWidth="1"/>
    <col min="1552" max="1552" width="18" style="154" customWidth="1"/>
    <col min="1553" max="1553" width="36" style="154" customWidth="1"/>
    <col min="1554" max="1554" width="13.7109375" style="154" customWidth="1"/>
    <col min="1555" max="1555" width="15.42578125" style="154" customWidth="1"/>
    <col min="1556" max="1556" width="9.140625" style="154"/>
    <col min="1557" max="1557" width="98.42578125" style="154" customWidth="1"/>
    <col min="1558" max="1791" width="9.140625" style="154"/>
    <col min="1792" max="1792" width="16.7109375" style="154" customWidth="1"/>
    <col min="1793" max="1794" width="6.5703125" style="154" customWidth="1"/>
    <col min="1795" max="1795" width="5.5703125" style="154" customWidth="1"/>
    <col min="1796" max="1796" width="11.42578125" style="154" customWidth="1"/>
    <col min="1797" max="1797" width="7.85546875" style="154" customWidth="1"/>
    <col min="1798" max="1798" width="10.5703125" style="154" customWidth="1"/>
    <col min="1799" max="1799" width="8.7109375" style="154" customWidth="1"/>
    <col min="1800" max="1800" width="8.85546875" style="154" customWidth="1"/>
    <col min="1801" max="1801" width="7.140625" style="154" customWidth="1"/>
    <col min="1802" max="1802" width="8.5703125" style="154" customWidth="1"/>
    <col min="1803" max="1803" width="8.42578125" style="154" customWidth="1"/>
    <col min="1804" max="1804" width="7.85546875" style="154" customWidth="1"/>
    <col min="1805" max="1805" width="7.7109375" style="154" customWidth="1"/>
    <col min="1806" max="1806" width="15.28515625" style="154" customWidth="1"/>
    <col min="1807" max="1807" width="13.85546875" style="154" customWidth="1"/>
    <col min="1808" max="1808" width="18" style="154" customWidth="1"/>
    <col min="1809" max="1809" width="36" style="154" customWidth="1"/>
    <col min="1810" max="1810" width="13.7109375" style="154" customWidth="1"/>
    <col min="1811" max="1811" width="15.42578125" style="154" customWidth="1"/>
    <col min="1812" max="1812" width="9.140625" style="154"/>
    <col min="1813" max="1813" width="98.42578125" style="154" customWidth="1"/>
    <col min="1814" max="2047" width="9.140625" style="154"/>
    <col min="2048" max="2048" width="16.7109375" style="154" customWidth="1"/>
    <col min="2049" max="2050" width="6.5703125" style="154" customWidth="1"/>
    <col min="2051" max="2051" width="5.5703125" style="154" customWidth="1"/>
    <col min="2052" max="2052" width="11.42578125" style="154" customWidth="1"/>
    <col min="2053" max="2053" width="7.85546875" style="154" customWidth="1"/>
    <col min="2054" max="2054" width="10.5703125" style="154" customWidth="1"/>
    <col min="2055" max="2055" width="8.7109375" style="154" customWidth="1"/>
    <col min="2056" max="2056" width="8.85546875" style="154" customWidth="1"/>
    <col min="2057" max="2057" width="7.140625" style="154" customWidth="1"/>
    <col min="2058" max="2058" width="8.5703125" style="154" customWidth="1"/>
    <col min="2059" max="2059" width="8.42578125" style="154" customWidth="1"/>
    <col min="2060" max="2060" width="7.85546875" style="154" customWidth="1"/>
    <col min="2061" max="2061" width="7.7109375" style="154" customWidth="1"/>
    <col min="2062" max="2062" width="15.28515625" style="154" customWidth="1"/>
    <col min="2063" max="2063" width="13.85546875" style="154" customWidth="1"/>
    <col min="2064" max="2064" width="18" style="154" customWidth="1"/>
    <col min="2065" max="2065" width="36" style="154" customWidth="1"/>
    <col min="2066" max="2066" width="13.7109375" style="154" customWidth="1"/>
    <col min="2067" max="2067" width="15.42578125" style="154" customWidth="1"/>
    <col min="2068" max="2068" width="9.140625" style="154"/>
    <col min="2069" max="2069" width="98.42578125" style="154" customWidth="1"/>
    <col min="2070" max="2303" width="9.140625" style="154"/>
    <col min="2304" max="2304" width="16.7109375" style="154" customWidth="1"/>
    <col min="2305" max="2306" width="6.5703125" style="154" customWidth="1"/>
    <col min="2307" max="2307" width="5.5703125" style="154" customWidth="1"/>
    <col min="2308" max="2308" width="11.42578125" style="154" customWidth="1"/>
    <col min="2309" max="2309" width="7.85546875" style="154" customWidth="1"/>
    <col min="2310" max="2310" width="10.5703125" style="154" customWidth="1"/>
    <col min="2311" max="2311" width="8.7109375" style="154" customWidth="1"/>
    <col min="2312" max="2312" width="8.85546875" style="154" customWidth="1"/>
    <col min="2313" max="2313" width="7.140625" style="154" customWidth="1"/>
    <col min="2314" max="2314" width="8.5703125" style="154" customWidth="1"/>
    <col min="2315" max="2315" width="8.42578125" style="154" customWidth="1"/>
    <col min="2316" max="2316" width="7.85546875" style="154" customWidth="1"/>
    <col min="2317" max="2317" width="7.7109375" style="154" customWidth="1"/>
    <col min="2318" max="2318" width="15.28515625" style="154" customWidth="1"/>
    <col min="2319" max="2319" width="13.85546875" style="154" customWidth="1"/>
    <col min="2320" max="2320" width="18" style="154" customWidth="1"/>
    <col min="2321" max="2321" width="36" style="154" customWidth="1"/>
    <col min="2322" max="2322" width="13.7109375" style="154" customWidth="1"/>
    <col min="2323" max="2323" width="15.42578125" style="154" customWidth="1"/>
    <col min="2324" max="2324" width="9.140625" style="154"/>
    <col min="2325" max="2325" width="98.42578125" style="154" customWidth="1"/>
    <col min="2326" max="2559" width="9.140625" style="154"/>
    <col min="2560" max="2560" width="16.7109375" style="154" customWidth="1"/>
    <col min="2561" max="2562" width="6.5703125" style="154" customWidth="1"/>
    <col min="2563" max="2563" width="5.5703125" style="154" customWidth="1"/>
    <col min="2564" max="2564" width="11.42578125" style="154" customWidth="1"/>
    <col min="2565" max="2565" width="7.85546875" style="154" customWidth="1"/>
    <col min="2566" max="2566" width="10.5703125" style="154" customWidth="1"/>
    <col min="2567" max="2567" width="8.7109375" style="154" customWidth="1"/>
    <col min="2568" max="2568" width="8.85546875" style="154" customWidth="1"/>
    <col min="2569" max="2569" width="7.140625" style="154" customWidth="1"/>
    <col min="2570" max="2570" width="8.5703125" style="154" customWidth="1"/>
    <col min="2571" max="2571" width="8.42578125" style="154" customWidth="1"/>
    <col min="2572" max="2572" width="7.85546875" style="154" customWidth="1"/>
    <col min="2573" max="2573" width="7.7109375" style="154" customWidth="1"/>
    <col min="2574" max="2574" width="15.28515625" style="154" customWidth="1"/>
    <col min="2575" max="2575" width="13.85546875" style="154" customWidth="1"/>
    <col min="2576" max="2576" width="18" style="154" customWidth="1"/>
    <col min="2577" max="2577" width="36" style="154" customWidth="1"/>
    <col min="2578" max="2578" width="13.7109375" style="154" customWidth="1"/>
    <col min="2579" max="2579" width="15.42578125" style="154" customWidth="1"/>
    <col min="2580" max="2580" width="9.140625" style="154"/>
    <col min="2581" max="2581" width="98.42578125" style="154" customWidth="1"/>
    <col min="2582" max="2815" width="9.140625" style="154"/>
    <col min="2816" max="2816" width="16.7109375" style="154" customWidth="1"/>
    <col min="2817" max="2818" width="6.5703125" style="154" customWidth="1"/>
    <col min="2819" max="2819" width="5.5703125" style="154" customWidth="1"/>
    <col min="2820" max="2820" width="11.42578125" style="154" customWidth="1"/>
    <col min="2821" max="2821" width="7.85546875" style="154" customWidth="1"/>
    <col min="2822" max="2822" width="10.5703125" style="154" customWidth="1"/>
    <col min="2823" max="2823" width="8.7109375" style="154" customWidth="1"/>
    <col min="2824" max="2824" width="8.85546875" style="154" customWidth="1"/>
    <col min="2825" max="2825" width="7.140625" style="154" customWidth="1"/>
    <col min="2826" max="2826" width="8.5703125" style="154" customWidth="1"/>
    <col min="2827" max="2827" width="8.42578125" style="154" customWidth="1"/>
    <col min="2828" max="2828" width="7.85546875" style="154" customWidth="1"/>
    <col min="2829" max="2829" width="7.7109375" style="154" customWidth="1"/>
    <col min="2830" max="2830" width="15.28515625" style="154" customWidth="1"/>
    <col min="2831" max="2831" width="13.85546875" style="154" customWidth="1"/>
    <col min="2832" max="2832" width="18" style="154" customWidth="1"/>
    <col min="2833" max="2833" width="36" style="154" customWidth="1"/>
    <col min="2834" max="2834" width="13.7109375" style="154" customWidth="1"/>
    <col min="2835" max="2835" width="15.42578125" style="154" customWidth="1"/>
    <col min="2836" max="2836" width="9.140625" style="154"/>
    <col min="2837" max="2837" width="98.42578125" style="154" customWidth="1"/>
    <col min="2838" max="3071" width="9.140625" style="154"/>
    <col min="3072" max="3072" width="16.7109375" style="154" customWidth="1"/>
    <col min="3073" max="3074" width="6.5703125" style="154" customWidth="1"/>
    <col min="3075" max="3075" width="5.5703125" style="154" customWidth="1"/>
    <col min="3076" max="3076" width="11.42578125" style="154" customWidth="1"/>
    <col min="3077" max="3077" width="7.85546875" style="154" customWidth="1"/>
    <col min="3078" max="3078" width="10.5703125" style="154" customWidth="1"/>
    <col min="3079" max="3079" width="8.7109375" style="154" customWidth="1"/>
    <col min="3080" max="3080" width="8.85546875" style="154" customWidth="1"/>
    <col min="3081" max="3081" width="7.140625" style="154" customWidth="1"/>
    <col min="3082" max="3082" width="8.5703125" style="154" customWidth="1"/>
    <col min="3083" max="3083" width="8.42578125" style="154" customWidth="1"/>
    <col min="3084" max="3084" width="7.85546875" style="154" customWidth="1"/>
    <col min="3085" max="3085" width="7.7109375" style="154" customWidth="1"/>
    <col min="3086" max="3086" width="15.28515625" style="154" customWidth="1"/>
    <col min="3087" max="3087" width="13.85546875" style="154" customWidth="1"/>
    <col min="3088" max="3088" width="18" style="154" customWidth="1"/>
    <col min="3089" max="3089" width="36" style="154" customWidth="1"/>
    <col min="3090" max="3090" width="13.7109375" style="154" customWidth="1"/>
    <col min="3091" max="3091" width="15.42578125" style="154" customWidth="1"/>
    <col min="3092" max="3092" width="9.140625" style="154"/>
    <col min="3093" max="3093" width="98.42578125" style="154" customWidth="1"/>
    <col min="3094" max="3327" width="9.140625" style="154"/>
    <col min="3328" max="3328" width="16.7109375" style="154" customWidth="1"/>
    <col min="3329" max="3330" width="6.5703125" style="154" customWidth="1"/>
    <col min="3331" max="3331" width="5.5703125" style="154" customWidth="1"/>
    <col min="3332" max="3332" width="11.42578125" style="154" customWidth="1"/>
    <col min="3333" max="3333" width="7.85546875" style="154" customWidth="1"/>
    <col min="3334" max="3334" width="10.5703125" style="154" customWidth="1"/>
    <col min="3335" max="3335" width="8.7109375" style="154" customWidth="1"/>
    <col min="3336" max="3336" width="8.85546875" style="154" customWidth="1"/>
    <col min="3337" max="3337" width="7.140625" style="154" customWidth="1"/>
    <col min="3338" max="3338" width="8.5703125" style="154" customWidth="1"/>
    <col min="3339" max="3339" width="8.42578125" style="154" customWidth="1"/>
    <col min="3340" max="3340" width="7.85546875" style="154" customWidth="1"/>
    <col min="3341" max="3341" width="7.7109375" style="154" customWidth="1"/>
    <col min="3342" max="3342" width="15.28515625" style="154" customWidth="1"/>
    <col min="3343" max="3343" width="13.85546875" style="154" customWidth="1"/>
    <col min="3344" max="3344" width="18" style="154" customWidth="1"/>
    <col min="3345" max="3345" width="36" style="154" customWidth="1"/>
    <col min="3346" max="3346" width="13.7109375" style="154" customWidth="1"/>
    <col min="3347" max="3347" width="15.42578125" style="154" customWidth="1"/>
    <col min="3348" max="3348" width="9.140625" style="154"/>
    <col min="3349" max="3349" width="98.42578125" style="154" customWidth="1"/>
    <col min="3350" max="3583" width="9.140625" style="154"/>
    <col min="3584" max="3584" width="16.7109375" style="154" customWidth="1"/>
    <col min="3585" max="3586" width="6.5703125" style="154" customWidth="1"/>
    <col min="3587" max="3587" width="5.5703125" style="154" customWidth="1"/>
    <col min="3588" max="3588" width="11.42578125" style="154" customWidth="1"/>
    <col min="3589" max="3589" width="7.85546875" style="154" customWidth="1"/>
    <col min="3590" max="3590" width="10.5703125" style="154" customWidth="1"/>
    <col min="3591" max="3591" width="8.7109375" style="154" customWidth="1"/>
    <col min="3592" max="3592" width="8.85546875" style="154" customWidth="1"/>
    <col min="3593" max="3593" width="7.140625" style="154" customWidth="1"/>
    <col min="3594" max="3594" width="8.5703125" style="154" customWidth="1"/>
    <col min="3595" max="3595" width="8.42578125" style="154" customWidth="1"/>
    <col min="3596" max="3596" width="7.85546875" style="154" customWidth="1"/>
    <col min="3597" max="3597" width="7.7109375" style="154" customWidth="1"/>
    <col min="3598" max="3598" width="15.28515625" style="154" customWidth="1"/>
    <col min="3599" max="3599" width="13.85546875" style="154" customWidth="1"/>
    <col min="3600" max="3600" width="18" style="154" customWidth="1"/>
    <col min="3601" max="3601" width="36" style="154" customWidth="1"/>
    <col min="3602" max="3602" width="13.7109375" style="154" customWidth="1"/>
    <col min="3603" max="3603" width="15.42578125" style="154" customWidth="1"/>
    <col min="3604" max="3604" width="9.140625" style="154"/>
    <col min="3605" max="3605" width="98.42578125" style="154" customWidth="1"/>
    <col min="3606" max="3839" width="9.140625" style="154"/>
    <col min="3840" max="3840" width="16.7109375" style="154" customWidth="1"/>
    <col min="3841" max="3842" width="6.5703125" style="154" customWidth="1"/>
    <col min="3843" max="3843" width="5.5703125" style="154" customWidth="1"/>
    <col min="3844" max="3844" width="11.42578125" style="154" customWidth="1"/>
    <col min="3845" max="3845" width="7.85546875" style="154" customWidth="1"/>
    <col min="3846" max="3846" width="10.5703125" style="154" customWidth="1"/>
    <col min="3847" max="3847" width="8.7109375" style="154" customWidth="1"/>
    <col min="3848" max="3848" width="8.85546875" style="154" customWidth="1"/>
    <col min="3849" max="3849" width="7.140625" style="154" customWidth="1"/>
    <col min="3850" max="3850" width="8.5703125" style="154" customWidth="1"/>
    <col min="3851" max="3851" width="8.42578125" style="154" customWidth="1"/>
    <col min="3852" max="3852" width="7.85546875" style="154" customWidth="1"/>
    <col min="3853" max="3853" width="7.7109375" style="154" customWidth="1"/>
    <col min="3854" max="3854" width="15.28515625" style="154" customWidth="1"/>
    <col min="3855" max="3855" width="13.85546875" style="154" customWidth="1"/>
    <col min="3856" max="3856" width="18" style="154" customWidth="1"/>
    <col min="3857" max="3857" width="36" style="154" customWidth="1"/>
    <col min="3858" max="3858" width="13.7109375" style="154" customWidth="1"/>
    <col min="3859" max="3859" width="15.42578125" style="154" customWidth="1"/>
    <col min="3860" max="3860" width="9.140625" style="154"/>
    <col min="3861" max="3861" width="98.42578125" style="154" customWidth="1"/>
    <col min="3862" max="4095" width="9.140625" style="154"/>
    <col min="4096" max="4096" width="16.7109375" style="154" customWidth="1"/>
    <col min="4097" max="4098" width="6.5703125" style="154" customWidth="1"/>
    <col min="4099" max="4099" width="5.5703125" style="154" customWidth="1"/>
    <col min="4100" max="4100" width="11.42578125" style="154" customWidth="1"/>
    <col min="4101" max="4101" width="7.85546875" style="154" customWidth="1"/>
    <col min="4102" max="4102" width="10.5703125" style="154" customWidth="1"/>
    <col min="4103" max="4103" width="8.7109375" style="154" customWidth="1"/>
    <col min="4104" max="4104" width="8.85546875" style="154" customWidth="1"/>
    <col min="4105" max="4105" width="7.140625" style="154" customWidth="1"/>
    <col min="4106" max="4106" width="8.5703125" style="154" customWidth="1"/>
    <col min="4107" max="4107" width="8.42578125" style="154" customWidth="1"/>
    <col min="4108" max="4108" width="7.85546875" style="154" customWidth="1"/>
    <col min="4109" max="4109" width="7.7109375" style="154" customWidth="1"/>
    <col min="4110" max="4110" width="15.28515625" style="154" customWidth="1"/>
    <col min="4111" max="4111" width="13.85546875" style="154" customWidth="1"/>
    <col min="4112" max="4112" width="18" style="154" customWidth="1"/>
    <col min="4113" max="4113" width="36" style="154" customWidth="1"/>
    <col min="4114" max="4114" width="13.7109375" style="154" customWidth="1"/>
    <col min="4115" max="4115" width="15.42578125" style="154" customWidth="1"/>
    <col min="4116" max="4116" width="9.140625" style="154"/>
    <col min="4117" max="4117" width="98.42578125" style="154" customWidth="1"/>
    <col min="4118" max="4351" width="9.140625" style="154"/>
    <col min="4352" max="4352" width="16.7109375" style="154" customWidth="1"/>
    <col min="4353" max="4354" width="6.5703125" style="154" customWidth="1"/>
    <col min="4355" max="4355" width="5.5703125" style="154" customWidth="1"/>
    <col min="4356" max="4356" width="11.42578125" style="154" customWidth="1"/>
    <col min="4357" max="4357" width="7.85546875" style="154" customWidth="1"/>
    <col min="4358" max="4358" width="10.5703125" style="154" customWidth="1"/>
    <col min="4359" max="4359" width="8.7109375" style="154" customWidth="1"/>
    <col min="4360" max="4360" width="8.85546875" style="154" customWidth="1"/>
    <col min="4361" max="4361" width="7.140625" style="154" customWidth="1"/>
    <col min="4362" max="4362" width="8.5703125" style="154" customWidth="1"/>
    <col min="4363" max="4363" width="8.42578125" style="154" customWidth="1"/>
    <col min="4364" max="4364" width="7.85546875" style="154" customWidth="1"/>
    <col min="4365" max="4365" width="7.7109375" style="154" customWidth="1"/>
    <col min="4366" max="4366" width="15.28515625" style="154" customWidth="1"/>
    <col min="4367" max="4367" width="13.85546875" style="154" customWidth="1"/>
    <col min="4368" max="4368" width="18" style="154" customWidth="1"/>
    <col min="4369" max="4369" width="36" style="154" customWidth="1"/>
    <col min="4370" max="4370" width="13.7109375" style="154" customWidth="1"/>
    <col min="4371" max="4371" width="15.42578125" style="154" customWidth="1"/>
    <col min="4372" max="4372" width="9.140625" style="154"/>
    <col min="4373" max="4373" width="98.42578125" style="154" customWidth="1"/>
    <col min="4374" max="4607" width="9.140625" style="154"/>
    <col min="4608" max="4608" width="16.7109375" style="154" customWidth="1"/>
    <col min="4609" max="4610" width="6.5703125" style="154" customWidth="1"/>
    <col min="4611" max="4611" width="5.5703125" style="154" customWidth="1"/>
    <col min="4612" max="4612" width="11.42578125" style="154" customWidth="1"/>
    <col min="4613" max="4613" width="7.85546875" style="154" customWidth="1"/>
    <col min="4614" max="4614" width="10.5703125" style="154" customWidth="1"/>
    <col min="4615" max="4615" width="8.7109375" style="154" customWidth="1"/>
    <col min="4616" max="4616" width="8.85546875" style="154" customWidth="1"/>
    <col min="4617" max="4617" width="7.140625" style="154" customWidth="1"/>
    <col min="4618" max="4618" width="8.5703125" style="154" customWidth="1"/>
    <col min="4619" max="4619" width="8.42578125" style="154" customWidth="1"/>
    <col min="4620" max="4620" width="7.85546875" style="154" customWidth="1"/>
    <col min="4621" max="4621" width="7.7109375" style="154" customWidth="1"/>
    <col min="4622" max="4622" width="15.28515625" style="154" customWidth="1"/>
    <col min="4623" max="4623" width="13.85546875" style="154" customWidth="1"/>
    <col min="4624" max="4624" width="18" style="154" customWidth="1"/>
    <col min="4625" max="4625" width="36" style="154" customWidth="1"/>
    <col min="4626" max="4626" width="13.7109375" style="154" customWidth="1"/>
    <col min="4627" max="4627" width="15.42578125" style="154" customWidth="1"/>
    <col min="4628" max="4628" width="9.140625" style="154"/>
    <col min="4629" max="4629" width="98.42578125" style="154" customWidth="1"/>
    <col min="4630" max="4863" width="9.140625" style="154"/>
    <col min="4864" max="4864" width="16.7109375" style="154" customWidth="1"/>
    <col min="4865" max="4866" width="6.5703125" style="154" customWidth="1"/>
    <col min="4867" max="4867" width="5.5703125" style="154" customWidth="1"/>
    <col min="4868" max="4868" width="11.42578125" style="154" customWidth="1"/>
    <col min="4869" max="4869" width="7.85546875" style="154" customWidth="1"/>
    <col min="4870" max="4870" width="10.5703125" style="154" customWidth="1"/>
    <col min="4871" max="4871" width="8.7109375" style="154" customWidth="1"/>
    <col min="4872" max="4872" width="8.85546875" style="154" customWidth="1"/>
    <col min="4873" max="4873" width="7.140625" style="154" customWidth="1"/>
    <col min="4874" max="4874" width="8.5703125" style="154" customWidth="1"/>
    <col min="4875" max="4875" width="8.42578125" style="154" customWidth="1"/>
    <col min="4876" max="4876" width="7.85546875" style="154" customWidth="1"/>
    <col min="4877" max="4877" width="7.7109375" style="154" customWidth="1"/>
    <col min="4878" max="4878" width="15.28515625" style="154" customWidth="1"/>
    <col min="4879" max="4879" width="13.85546875" style="154" customWidth="1"/>
    <col min="4880" max="4880" width="18" style="154" customWidth="1"/>
    <col min="4881" max="4881" width="36" style="154" customWidth="1"/>
    <col min="4882" max="4882" width="13.7109375" style="154" customWidth="1"/>
    <col min="4883" max="4883" width="15.42578125" style="154" customWidth="1"/>
    <col min="4884" max="4884" width="9.140625" style="154"/>
    <col min="4885" max="4885" width="98.42578125" style="154" customWidth="1"/>
    <col min="4886" max="5119" width="9.140625" style="154"/>
    <col min="5120" max="5120" width="16.7109375" style="154" customWidth="1"/>
    <col min="5121" max="5122" width="6.5703125" style="154" customWidth="1"/>
    <col min="5123" max="5123" width="5.5703125" style="154" customWidth="1"/>
    <col min="5124" max="5124" width="11.42578125" style="154" customWidth="1"/>
    <col min="5125" max="5125" width="7.85546875" style="154" customWidth="1"/>
    <col min="5126" max="5126" width="10.5703125" style="154" customWidth="1"/>
    <col min="5127" max="5127" width="8.7109375" style="154" customWidth="1"/>
    <col min="5128" max="5128" width="8.85546875" style="154" customWidth="1"/>
    <col min="5129" max="5129" width="7.140625" style="154" customWidth="1"/>
    <col min="5130" max="5130" width="8.5703125" style="154" customWidth="1"/>
    <col min="5131" max="5131" width="8.42578125" style="154" customWidth="1"/>
    <col min="5132" max="5132" width="7.85546875" style="154" customWidth="1"/>
    <col min="5133" max="5133" width="7.7109375" style="154" customWidth="1"/>
    <col min="5134" max="5134" width="15.28515625" style="154" customWidth="1"/>
    <col min="5135" max="5135" width="13.85546875" style="154" customWidth="1"/>
    <col min="5136" max="5136" width="18" style="154" customWidth="1"/>
    <col min="5137" max="5137" width="36" style="154" customWidth="1"/>
    <col min="5138" max="5138" width="13.7109375" style="154" customWidth="1"/>
    <col min="5139" max="5139" width="15.42578125" style="154" customWidth="1"/>
    <col min="5140" max="5140" width="9.140625" style="154"/>
    <col min="5141" max="5141" width="98.42578125" style="154" customWidth="1"/>
    <col min="5142" max="5375" width="9.140625" style="154"/>
    <col min="5376" max="5376" width="16.7109375" style="154" customWidth="1"/>
    <col min="5377" max="5378" width="6.5703125" style="154" customWidth="1"/>
    <col min="5379" max="5379" width="5.5703125" style="154" customWidth="1"/>
    <col min="5380" max="5380" width="11.42578125" style="154" customWidth="1"/>
    <col min="5381" max="5381" width="7.85546875" style="154" customWidth="1"/>
    <col min="5382" max="5382" width="10.5703125" style="154" customWidth="1"/>
    <col min="5383" max="5383" width="8.7109375" style="154" customWidth="1"/>
    <col min="5384" max="5384" width="8.85546875" style="154" customWidth="1"/>
    <col min="5385" max="5385" width="7.140625" style="154" customWidth="1"/>
    <col min="5386" max="5386" width="8.5703125" style="154" customWidth="1"/>
    <col min="5387" max="5387" width="8.42578125" style="154" customWidth="1"/>
    <col min="5388" max="5388" width="7.85546875" style="154" customWidth="1"/>
    <col min="5389" max="5389" width="7.7109375" style="154" customWidth="1"/>
    <col min="5390" max="5390" width="15.28515625" style="154" customWidth="1"/>
    <col min="5391" max="5391" width="13.85546875" style="154" customWidth="1"/>
    <col min="5392" max="5392" width="18" style="154" customWidth="1"/>
    <col min="5393" max="5393" width="36" style="154" customWidth="1"/>
    <col min="5394" max="5394" width="13.7109375" style="154" customWidth="1"/>
    <col min="5395" max="5395" width="15.42578125" style="154" customWidth="1"/>
    <col min="5396" max="5396" width="9.140625" style="154"/>
    <col min="5397" max="5397" width="98.42578125" style="154" customWidth="1"/>
    <col min="5398" max="5631" width="9.140625" style="154"/>
    <col min="5632" max="5632" width="16.7109375" style="154" customWidth="1"/>
    <col min="5633" max="5634" width="6.5703125" style="154" customWidth="1"/>
    <col min="5635" max="5635" width="5.5703125" style="154" customWidth="1"/>
    <col min="5636" max="5636" width="11.42578125" style="154" customWidth="1"/>
    <col min="5637" max="5637" width="7.85546875" style="154" customWidth="1"/>
    <col min="5638" max="5638" width="10.5703125" style="154" customWidth="1"/>
    <col min="5639" max="5639" width="8.7109375" style="154" customWidth="1"/>
    <col min="5640" max="5640" width="8.85546875" style="154" customWidth="1"/>
    <col min="5641" max="5641" width="7.140625" style="154" customWidth="1"/>
    <col min="5642" max="5642" width="8.5703125" style="154" customWidth="1"/>
    <col min="5643" max="5643" width="8.42578125" style="154" customWidth="1"/>
    <col min="5644" max="5644" width="7.85546875" style="154" customWidth="1"/>
    <col min="5645" max="5645" width="7.7109375" style="154" customWidth="1"/>
    <col min="5646" max="5646" width="15.28515625" style="154" customWidth="1"/>
    <col min="5647" max="5647" width="13.85546875" style="154" customWidth="1"/>
    <col min="5648" max="5648" width="18" style="154" customWidth="1"/>
    <col min="5649" max="5649" width="36" style="154" customWidth="1"/>
    <col min="5650" max="5650" width="13.7109375" style="154" customWidth="1"/>
    <col min="5651" max="5651" width="15.42578125" style="154" customWidth="1"/>
    <col min="5652" max="5652" width="9.140625" style="154"/>
    <col min="5653" max="5653" width="98.42578125" style="154" customWidth="1"/>
    <col min="5654" max="5887" width="9.140625" style="154"/>
    <col min="5888" max="5888" width="16.7109375" style="154" customWidth="1"/>
    <col min="5889" max="5890" width="6.5703125" style="154" customWidth="1"/>
    <col min="5891" max="5891" width="5.5703125" style="154" customWidth="1"/>
    <col min="5892" max="5892" width="11.42578125" style="154" customWidth="1"/>
    <col min="5893" max="5893" width="7.85546875" style="154" customWidth="1"/>
    <col min="5894" max="5894" width="10.5703125" style="154" customWidth="1"/>
    <col min="5895" max="5895" width="8.7109375" style="154" customWidth="1"/>
    <col min="5896" max="5896" width="8.85546875" style="154" customWidth="1"/>
    <col min="5897" max="5897" width="7.140625" style="154" customWidth="1"/>
    <col min="5898" max="5898" width="8.5703125" style="154" customWidth="1"/>
    <col min="5899" max="5899" width="8.42578125" style="154" customWidth="1"/>
    <col min="5900" max="5900" width="7.85546875" style="154" customWidth="1"/>
    <col min="5901" max="5901" width="7.7109375" style="154" customWidth="1"/>
    <col min="5902" max="5902" width="15.28515625" style="154" customWidth="1"/>
    <col min="5903" max="5903" width="13.85546875" style="154" customWidth="1"/>
    <col min="5904" max="5904" width="18" style="154" customWidth="1"/>
    <col min="5905" max="5905" width="36" style="154" customWidth="1"/>
    <col min="5906" max="5906" width="13.7109375" style="154" customWidth="1"/>
    <col min="5907" max="5907" width="15.42578125" style="154" customWidth="1"/>
    <col min="5908" max="5908" width="9.140625" style="154"/>
    <col min="5909" max="5909" width="98.42578125" style="154" customWidth="1"/>
    <col min="5910" max="6143" width="9.140625" style="154"/>
    <col min="6144" max="6144" width="16.7109375" style="154" customWidth="1"/>
    <col min="6145" max="6146" width="6.5703125" style="154" customWidth="1"/>
    <col min="6147" max="6147" width="5.5703125" style="154" customWidth="1"/>
    <col min="6148" max="6148" width="11.42578125" style="154" customWidth="1"/>
    <col min="6149" max="6149" width="7.85546875" style="154" customWidth="1"/>
    <col min="6150" max="6150" width="10.5703125" style="154" customWidth="1"/>
    <col min="6151" max="6151" width="8.7109375" style="154" customWidth="1"/>
    <col min="6152" max="6152" width="8.85546875" style="154" customWidth="1"/>
    <col min="6153" max="6153" width="7.140625" style="154" customWidth="1"/>
    <col min="6154" max="6154" width="8.5703125" style="154" customWidth="1"/>
    <col min="6155" max="6155" width="8.42578125" style="154" customWidth="1"/>
    <col min="6156" max="6156" width="7.85546875" style="154" customWidth="1"/>
    <col min="6157" max="6157" width="7.7109375" style="154" customWidth="1"/>
    <col min="6158" max="6158" width="15.28515625" style="154" customWidth="1"/>
    <col min="6159" max="6159" width="13.85546875" style="154" customWidth="1"/>
    <col min="6160" max="6160" width="18" style="154" customWidth="1"/>
    <col min="6161" max="6161" width="36" style="154" customWidth="1"/>
    <col min="6162" max="6162" width="13.7109375" style="154" customWidth="1"/>
    <col min="6163" max="6163" width="15.42578125" style="154" customWidth="1"/>
    <col min="6164" max="6164" width="9.140625" style="154"/>
    <col min="6165" max="6165" width="98.42578125" style="154" customWidth="1"/>
    <col min="6166" max="6399" width="9.140625" style="154"/>
    <col min="6400" max="6400" width="16.7109375" style="154" customWidth="1"/>
    <col min="6401" max="6402" width="6.5703125" style="154" customWidth="1"/>
    <col min="6403" max="6403" width="5.5703125" style="154" customWidth="1"/>
    <col min="6404" max="6404" width="11.42578125" style="154" customWidth="1"/>
    <col min="6405" max="6405" width="7.85546875" style="154" customWidth="1"/>
    <col min="6406" max="6406" width="10.5703125" style="154" customWidth="1"/>
    <col min="6407" max="6407" width="8.7109375" style="154" customWidth="1"/>
    <col min="6408" max="6408" width="8.85546875" style="154" customWidth="1"/>
    <col min="6409" max="6409" width="7.140625" style="154" customWidth="1"/>
    <col min="6410" max="6410" width="8.5703125" style="154" customWidth="1"/>
    <col min="6411" max="6411" width="8.42578125" style="154" customWidth="1"/>
    <col min="6412" max="6412" width="7.85546875" style="154" customWidth="1"/>
    <col min="6413" max="6413" width="7.7109375" style="154" customWidth="1"/>
    <col min="6414" max="6414" width="15.28515625" style="154" customWidth="1"/>
    <col min="6415" max="6415" width="13.85546875" style="154" customWidth="1"/>
    <col min="6416" max="6416" width="18" style="154" customWidth="1"/>
    <col min="6417" max="6417" width="36" style="154" customWidth="1"/>
    <col min="6418" max="6418" width="13.7109375" style="154" customWidth="1"/>
    <col min="6419" max="6419" width="15.42578125" style="154" customWidth="1"/>
    <col min="6420" max="6420" width="9.140625" style="154"/>
    <col min="6421" max="6421" width="98.42578125" style="154" customWidth="1"/>
    <col min="6422" max="6655" width="9.140625" style="154"/>
    <col min="6656" max="6656" width="16.7109375" style="154" customWidth="1"/>
    <col min="6657" max="6658" width="6.5703125" style="154" customWidth="1"/>
    <col min="6659" max="6659" width="5.5703125" style="154" customWidth="1"/>
    <col min="6660" max="6660" width="11.42578125" style="154" customWidth="1"/>
    <col min="6661" max="6661" width="7.85546875" style="154" customWidth="1"/>
    <col min="6662" max="6662" width="10.5703125" style="154" customWidth="1"/>
    <col min="6663" max="6663" width="8.7109375" style="154" customWidth="1"/>
    <col min="6664" max="6664" width="8.85546875" style="154" customWidth="1"/>
    <col min="6665" max="6665" width="7.140625" style="154" customWidth="1"/>
    <col min="6666" max="6666" width="8.5703125" style="154" customWidth="1"/>
    <col min="6667" max="6667" width="8.42578125" style="154" customWidth="1"/>
    <col min="6668" max="6668" width="7.85546875" style="154" customWidth="1"/>
    <col min="6669" max="6669" width="7.7109375" style="154" customWidth="1"/>
    <col min="6670" max="6670" width="15.28515625" style="154" customWidth="1"/>
    <col min="6671" max="6671" width="13.85546875" style="154" customWidth="1"/>
    <col min="6672" max="6672" width="18" style="154" customWidth="1"/>
    <col min="6673" max="6673" width="36" style="154" customWidth="1"/>
    <col min="6674" max="6674" width="13.7109375" style="154" customWidth="1"/>
    <col min="6675" max="6675" width="15.42578125" style="154" customWidth="1"/>
    <col min="6676" max="6676" width="9.140625" style="154"/>
    <col min="6677" max="6677" width="98.42578125" style="154" customWidth="1"/>
    <col min="6678" max="6911" width="9.140625" style="154"/>
    <col min="6912" max="6912" width="16.7109375" style="154" customWidth="1"/>
    <col min="6913" max="6914" width="6.5703125" style="154" customWidth="1"/>
    <col min="6915" max="6915" width="5.5703125" style="154" customWidth="1"/>
    <col min="6916" max="6916" width="11.42578125" style="154" customWidth="1"/>
    <col min="6917" max="6917" width="7.85546875" style="154" customWidth="1"/>
    <col min="6918" max="6918" width="10.5703125" style="154" customWidth="1"/>
    <col min="6919" max="6919" width="8.7109375" style="154" customWidth="1"/>
    <col min="6920" max="6920" width="8.85546875" style="154" customWidth="1"/>
    <col min="6921" max="6921" width="7.140625" style="154" customWidth="1"/>
    <col min="6922" max="6922" width="8.5703125" style="154" customWidth="1"/>
    <col min="6923" max="6923" width="8.42578125" style="154" customWidth="1"/>
    <col min="6924" max="6924" width="7.85546875" style="154" customWidth="1"/>
    <col min="6925" max="6925" width="7.7109375" style="154" customWidth="1"/>
    <col min="6926" max="6926" width="15.28515625" style="154" customWidth="1"/>
    <col min="6927" max="6927" width="13.85546875" style="154" customWidth="1"/>
    <col min="6928" max="6928" width="18" style="154" customWidth="1"/>
    <col min="6929" max="6929" width="36" style="154" customWidth="1"/>
    <col min="6930" max="6930" width="13.7109375" style="154" customWidth="1"/>
    <col min="6931" max="6931" width="15.42578125" style="154" customWidth="1"/>
    <col min="6932" max="6932" width="9.140625" style="154"/>
    <col min="6933" max="6933" width="98.42578125" style="154" customWidth="1"/>
    <col min="6934" max="7167" width="9.140625" style="154"/>
    <col min="7168" max="7168" width="16.7109375" style="154" customWidth="1"/>
    <col min="7169" max="7170" width="6.5703125" style="154" customWidth="1"/>
    <col min="7171" max="7171" width="5.5703125" style="154" customWidth="1"/>
    <col min="7172" max="7172" width="11.42578125" style="154" customWidth="1"/>
    <col min="7173" max="7173" width="7.85546875" style="154" customWidth="1"/>
    <col min="7174" max="7174" width="10.5703125" style="154" customWidth="1"/>
    <col min="7175" max="7175" width="8.7109375" style="154" customWidth="1"/>
    <col min="7176" max="7176" width="8.85546875" style="154" customWidth="1"/>
    <col min="7177" max="7177" width="7.140625" style="154" customWidth="1"/>
    <col min="7178" max="7178" width="8.5703125" style="154" customWidth="1"/>
    <col min="7179" max="7179" width="8.42578125" style="154" customWidth="1"/>
    <col min="7180" max="7180" width="7.85546875" style="154" customWidth="1"/>
    <col min="7181" max="7181" width="7.7109375" style="154" customWidth="1"/>
    <col min="7182" max="7182" width="15.28515625" style="154" customWidth="1"/>
    <col min="7183" max="7183" width="13.85546875" style="154" customWidth="1"/>
    <col min="7184" max="7184" width="18" style="154" customWidth="1"/>
    <col min="7185" max="7185" width="36" style="154" customWidth="1"/>
    <col min="7186" max="7186" width="13.7109375" style="154" customWidth="1"/>
    <col min="7187" max="7187" width="15.42578125" style="154" customWidth="1"/>
    <col min="7188" max="7188" width="9.140625" style="154"/>
    <col min="7189" max="7189" width="98.42578125" style="154" customWidth="1"/>
    <col min="7190" max="7423" width="9.140625" style="154"/>
    <col min="7424" max="7424" width="16.7109375" style="154" customWidth="1"/>
    <col min="7425" max="7426" width="6.5703125" style="154" customWidth="1"/>
    <col min="7427" max="7427" width="5.5703125" style="154" customWidth="1"/>
    <col min="7428" max="7428" width="11.42578125" style="154" customWidth="1"/>
    <col min="7429" max="7429" width="7.85546875" style="154" customWidth="1"/>
    <col min="7430" max="7430" width="10.5703125" style="154" customWidth="1"/>
    <col min="7431" max="7431" width="8.7109375" style="154" customWidth="1"/>
    <col min="7432" max="7432" width="8.85546875" style="154" customWidth="1"/>
    <col min="7433" max="7433" width="7.140625" style="154" customWidth="1"/>
    <col min="7434" max="7434" width="8.5703125" style="154" customWidth="1"/>
    <col min="7435" max="7435" width="8.42578125" style="154" customWidth="1"/>
    <col min="7436" max="7436" width="7.85546875" style="154" customWidth="1"/>
    <col min="7437" max="7437" width="7.7109375" style="154" customWidth="1"/>
    <col min="7438" max="7438" width="15.28515625" style="154" customWidth="1"/>
    <col min="7439" max="7439" width="13.85546875" style="154" customWidth="1"/>
    <col min="7440" max="7440" width="18" style="154" customWidth="1"/>
    <col min="7441" max="7441" width="36" style="154" customWidth="1"/>
    <col min="7442" max="7442" width="13.7109375" style="154" customWidth="1"/>
    <col min="7443" max="7443" width="15.42578125" style="154" customWidth="1"/>
    <col min="7444" max="7444" width="9.140625" style="154"/>
    <col min="7445" max="7445" width="98.42578125" style="154" customWidth="1"/>
    <col min="7446" max="7679" width="9.140625" style="154"/>
    <col min="7680" max="7680" width="16.7109375" style="154" customWidth="1"/>
    <col min="7681" max="7682" width="6.5703125" style="154" customWidth="1"/>
    <col min="7683" max="7683" width="5.5703125" style="154" customWidth="1"/>
    <col min="7684" max="7684" width="11.42578125" style="154" customWidth="1"/>
    <col min="7685" max="7685" width="7.85546875" style="154" customWidth="1"/>
    <col min="7686" max="7686" width="10.5703125" style="154" customWidth="1"/>
    <col min="7687" max="7687" width="8.7109375" style="154" customWidth="1"/>
    <col min="7688" max="7688" width="8.85546875" style="154" customWidth="1"/>
    <col min="7689" max="7689" width="7.140625" style="154" customWidth="1"/>
    <col min="7690" max="7690" width="8.5703125" style="154" customWidth="1"/>
    <col min="7691" max="7691" width="8.42578125" style="154" customWidth="1"/>
    <col min="7692" max="7692" width="7.85546875" style="154" customWidth="1"/>
    <col min="7693" max="7693" width="7.7109375" style="154" customWidth="1"/>
    <col min="7694" max="7694" width="15.28515625" style="154" customWidth="1"/>
    <col min="7695" max="7695" width="13.85546875" style="154" customWidth="1"/>
    <col min="7696" max="7696" width="18" style="154" customWidth="1"/>
    <col min="7697" max="7697" width="36" style="154" customWidth="1"/>
    <col min="7698" max="7698" width="13.7109375" style="154" customWidth="1"/>
    <col min="7699" max="7699" width="15.42578125" style="154" customWidth="1"/>
    <col min="7700" max="7700" width="9.140625" style="154"/>
    <col min="7701" max="7701" width="98.42578125" style="154" customWidth="1"/>
    <col min="7702" max="7935" width="9.140625" style="154"/>
    <col min="7936" max="7936" width="16.7109375" style="154" customWidth="1"/>
    <col min="7937" max="7938" width="6.5703125" style="154" customWidth="1"/>
    <col min="7939" max="7939" width="5.5703125" style="154" customWidth="1"/>
    <col min="7940" max="7940" width="11.42578125" style="154" customWidth="1"/>
    <col min="7941" max="7941" width="7.85546875" style="154" customWidth="1"/>
    <col min="7942" max="7942" width="10.5703125" style="154" customWidth="1"/>
    <col min="7943" max="7943" width="8.7109375" style="154" customWidth="1"/>
    <col min="7944" max="7944" width="8.85546875" style="154" customWidth="1"/>
    <col min="7945" max="7945" width="7.140625" style="154" customWidth="1"/>
    <col min="7946" max="7946" width="8.5703125" style="154" customWidth="1"/>
    <col min="7947" max="7947" width="8.42578125" style="154" customWidth="1"/>
    <col min="7948" max="7948" width="7.85546875" style="154" customWidth="1"/>
    <col min="7949" max="7949" width="7.7109375" style="154" customWidth="1"/>
    <col min="7950" max="7950" width="15.28515625" style="154" customWidth="1"/>
    <col min="7951" max="7951" width="13.85546875" style="154" customWidth="1"/>
    <col min="7952" max="7952" width="18" style="154" customWidth="1"/>
    <col min="7953" max="7953" width="36" style="154" customWidth="1"/>
    <col min="7954" max="7954" width="13.7109375" style="154" customWidth="1"/>
    <col min="7955" max="7955" width="15.42578125" style="154" customWidth="1"/>
    <col min="7956" max="7956" width="9.140625" style="154"/>
    <col min="7957" max="7957" width="98.42578125" style="154" customWidth="1"/>
    <col min="7958" max="8191" width="9.140625" style="154"/>
    <col min="8192" max="8192" width="16.7109375" style="154" customWidth="1"/>
    <col min="8193" max="8194" width="6.5703125" style="154" customWidth="1"/>
    <col min="8195" max="8195" width="5.5703125" style="154" customWidth="1"/>
    <col min="8196" max="8196" width="11.42578125" style="154" customWidth="1"/>
    <col min="8197" max="8197" width="7.85546875" style="154" customWidth="1"/>
    <col min="8198" max="8198" width="10.5703125" style="154" customWidth="1"/>
    <col min="8199" max="8199" width="8.7109375" style="154" customWidth="1"/>
    <col min="8200" max="8200" width="8.85546875" style="154" customWidth="1"/>
    <col min="8201" max="8201" width="7.140625" style="154" customWidth="1"/>
    <col min="8202" max="8202" width="8.5703125" style="154" customWidth="1"/>
    <col min="8203" max="8203" width="8.42578125" style="154" customWidth="1"/>
    <col min="8204" max="8204" width="7.85546875" style="154" customWidth="1"/>
    <col min="8205" max="8205" width="7.7109375" style="154" customWidth="1"/>
    <col min="8206" max="8206" width="15.28515625" style="154" customWidth="1"/>
    <col min="8207" max="8207" width="13.85546875" style="154" customWidth="1"/>
    <col min="8208" max="8208" width="18" style="154" customWidth="1"/>
    <col min="8209" max="8209" width="36" style="154" customWidth="1"/>
    <col min="8210" max="8210" width="13.7109375" style="154" customWidth="1"/>
    <col min="8211" max="8211" width="15.42578125" style="154" customWidth="1"/>
    <col min="8212" max="8212" width="9.140625" style="154"/>
    <col min="8213" max="8213" width="98.42578125" style="154" customWidth="1"/>
    <col min="8214" max="8447" width="9.140625" style="154"/>
    <col min="8448" max="8448" width="16.7109375" style="154" customWidth="1"/>
    <col min="8449" max="8450" width="6.5703125" style="154" customWidth="1"/>
    <col min="8451" max="8451" width="5.5703125" style="154" customWidth="1"/>
    <col min="8452" max="8452" width="11.42578125" style="154" customWidth="1"/>
    <col min="8453" max="8453" width="7.85546875" style="154" customWidth="1"/>
    <col min="8454" max="8454" width="10.5703125" style="154" customWidth="1"/>
    <col min="8455" max="8455" width="8.7109375" style="154" customWidth="1"/>
    <col min="8456" max="8456" width="8.85546875" style="154" customWidth="1"/>
    <col min="8457" max="8457" width="7.140625" style="154" customWidth="1"/>
    <col min="8458" max="8458" width="8.5703125" style="154" customWidth="1"/>
    <col min="8459" max="8459" width="8.42578125" style="154" customWidth="1"/>
    <col min="8460" max="8460" width="7.85546875" style="154" customWidth="1"/>
    <col min="8461" max="8461" width="7.7109375" style="154" customWidth="1"/>
    <col min="8462" max="8462" width="15.28515625" style="154" customWidth="1"/>
    <col min="8463" max="8463" width="13.85546875" style="154" customWidth="1"/>
    <col min="8464" max="8464" width="18" style="154" customWidth="1"/>
    <col min="8465" max="8465" width="36" style="154" customWidth="1"/>
    <col min="8466" max="8466" width="13.7109375" style="154" customWidth="1"/>
    <col min="8467" max="8467" width="15.42578125" style="154" customWidth="1"/>
    <col min="8468" max="8468" width="9.140625" style="154"/>
    <col min="8469" max="8469" width="98.42578125" style="154" customWidth="1"/>
    <col min="8470" max="8703" width="9.140625" style="154"/>
    <col min="8704" max="8704" width="16.7109375" style="154" customWidth="1"/>
    <col min="8705" max="8706" width="6.5703125" style="154" customWidth="1"/>
    <col min="8707" max="8707" width="5.5703125" style="154" customWidth="1"/>
    <col min="8708" max="8708" width="11.42578125" style="154" customWidth="1"/>
    <col min="8709" max="8709" width="7.85546875" style="154" customWidth="1"/>
    <col min="8710" max="8710" width="10.5703125" style="154" customWidth="1"/>
    <col min="8711" max="8711" width="8.7109375" style="154" customWidth="1"/>
    <col min="8712" max="8712" width="8.85546875" style="154" customWidth="1"/>
    <col min="8713" max="8713" width="7.140625" style="154" customWidth="1"/>
    <col min="8714" max="8714" width="8.5703125" style="154" customWidth="1"/>
    <col min="8715" max="8715" width="8.42578125" style="154" customWidth="1"/>
    <col min="8716" max="8716" width="7.85546875" style="154" customWidth="1"/>
    <col min="8717" max="8717" width="7.7109375" style="154" customWidth="1"/>
    <col min="8718" max="8718" width="15.28515625" style="154" customWidth="1"/>
    <col min="8719" max="8719" width="13.85546875" style="154" customWidth="1"/>
    <col min="8720" max="8720" width="18" style="154" customWidth="1"/>
    <col min="8721" max="8721" width="36" style="154" customWidth="1"/>
    <col min="8722" max="8722" width="13.7109375" style="154" customWidth="1"/>
    <col min="8723" max="8723" width="15.42578125" style="154" customWidth="1"/>
    <col min="8724" max="8724" width="9.140625" style="154"/>
    <col min="8725" max="8725" width="98.42578125" style="154" customWidth="1"/>
    <col min="8726" max="8959" width="9.140625" style="154"/>
    <col min="8960" max="8960" width="16.7109375" style="154" customWidth="1"/>
    <col min="8961" max="8962" width="6.5703125" style="154" customWidth="1"/>
    <col min="8963" max="8963" width="5.5703125" style="154" customWidth="1"/>
    <col min="8964" max="8964" width="11.42578125" style="154" customWidth="1"/>
    <col min="8965" max="8965" width="7.85546875" style="154" customWidth="1"/>
    <col min="8966" max="8966" width="10.5703125" style="154" customWidth="1"/>
    <col min="8967" max="8967" width="8.7109375" style="154" customWidth="1"/>
    <col min="8968" max="8968" width="8.85546875" style="154" customWidth="1"/>
    <col min="8969" max="8969" width="7.140625" style="154" customWidth="1"/>
    <col min="8970" max="8970" width="8.5703125" style="154" customWidth="1"/>
    <col min="8971" max="8971" width="8.42578125" style="154" customWidth="1"/>
    <col min="8972" max="8972" width="7.85546875" style="154" customWidth="1"/>
    <col min="8973" max="8973" width="7.7109375" style="154" customWidth="1"/>
    <col min="8974" max="8974" width="15.28515625" style="154" customWidth="1"/>
    <col min="8975" max="8975" width="13.85546875" style="154" customWidth="1"/>
    <col min="8976" max="8976" width="18" style="154" customWidth="1"/>
    <col min="8977" max="8977" width="36" style="154" customWidth="1"/>
    <col min="8978" max="8978" width="13.7109375" style="154" customWidth="1"/>
    <col min="8979" max="8979" width="15.42578125" style="154" customWidth="1"/>
    <col min="8980" max="8980" width="9.140625" style="154"/>
    <col min="8981" max="8981" width="98.42578125" style="154" customWidth="1"/>
    <col min="8982" max="9215" width="9.140625" style="154"/>
    <col min="9216" max="9216" width="16.7109375" style="154" customWidth="1"/>
    <col min="9217" max="9218" width="6.5703125" style="154" customWidth="1"/>
    <col min="9219" max="9219" width="5.5703125" style="154" customWidth="1"/>
    <col min="9220" max="9220" width="11.42578125" style="154" customWidth="1"/>
    <col min="9221" max="9221" width="7.85546875" style="154" customWidth="1"/>
    <col min="9222" max="9222" width="10.5703125" style="154" customWidth="1"/>
    <col min="9223" max="9223" width="8.7109375" style="154" customWidth="1"/>
    <col min="9224" max="9224" width="8.85546875" style="154" customWidth="1"/>
    <col min="9225" max="9225" width="7.140625" style="154" customWidth="1"/>
    <col min="9226" max="9226" width="8.5703125" style="154" customWidth="1"/>
    <col min="9227" max="9227" width="8.42578125" style="154" customWidth="1"/>
    <col min="9228" max="9228" width="7.85546875" style="154" customWidth="1"/>
    <col min="9229" max="9229" width="7.7109375" style="154" customWidth="1"/>
    <col min="9230" max="9230" width="15.28515625" style="154" customWidth="1"/>
    <col min="9231" max="9231" width="13.85546875" style="154" customWidth="1"/>
    <col min="9232" max="9232" width="18" style="154" customWidth="1"/>
    <col min="9233" max="9233" width="36" style="154" customWidth="1"/>
    <col min="9234" max="9234" width="13.7109375" style="154" customWidth="1"/>
    <col min="9235" max="9235" width="15.42578125" style="154" customWidth="1"/>
    <col min="9236" max="9236" width="9.140625" style="154"/>
    <col min="9237" max="9237" width="98.42578125" style="154" customWidth="1"/>
    <col min="9238" max="9471" width="9.140625" style="154"/>
    <col min="9472" max="9472" width="16.7109375" style="154" customWidth="1"/>
    <col min="9473" max="9474" width="6.5703125" style="154" customWidth="1"/>
    <col min="9475" max="9475" width="5.5703125" style="154" customWidth="1"/>
    <col min="9476" max="9476" width="11.42578125" style="154" customWidth="1"/>
    <col min="9477" max="9477" width="7.85546875" style="154" customWidth="1"/>
    <col min="9478" max="9478" width="10.5703125" style="154" customWidth="1"/>
    <col min="9479" max="9479" width="8.7109375" style="154" customWidth="1"/>
    <col min="9480" max="9480" width="8.85546875" style="154" customWidth="1"/>
    <col min="9481" max="9481" width="7.140625" style="154" customWidth="1"/>
    <col min="9482" max="9482" width="8.5703125" style="154" customWidth="1"/>
    <col min="9483" max="9483" width="8.42578125" style="154" customWidth="1"/>
    <col min="9484" max="9484" width="7.85546875" style="154" customWidth="1"/>
    <col min="9485" max="9485" width="7.7109375" style="154" customWidth="1"/>
    <col min="9486" max="9486" width="15.28515625" style="154" customWidth="1"/>
    <col min="9487" max="9487" width="13.85546875" style="154" customWidth="1"/>
    <col min="9488" max="9488" width="18" style="154" customWidth="1"/>
    <col min="9489" max="9489" width="36" style="154" customWidth="1"/>
    <col min="9490" max="9490" width="13.7109375" style="154" customWidth="1"/>
    <col min="9491" max="9491" width="15.42578125" style="154" customWidth="1"/>
    <col min="9492" max="9492" width="9.140625" style="154"/>
    <col min="9493" max="9493" width="98.42578125" style="154" customWidth="1"/>
    <col min="9494" max="9727" width="9.140625" style="154"/>
    <col min="9728" max="9728" width="16.7109375" style="154" customWidth="1"/>
    <col min="9729" max="9730" width="6.5703125" style="154" customWidth="1"/>
    <col min="9731" max="9731" width="5.5703125" style="154" customWidth="1"/>
    <col min="9732" max="9732" width="11.42578125" style="154" customWidth="1"/>
    <col min="9733" max="9733" width="7.85546875" style="154" customWidth="1"/>
    <col min="9734" max="9734" width="10.5703125" style="154" customWidth="1"/>
    <col min="9735" max="9735" width="8.7109375" style="154" customWidth="1"/>
    <col min="9736" max="9736" width="8.85546875" style="154" customWidth="1"/>
    <col min="9737" max="9737" width="7.140625" style="154" customWidth="1"/>
    <col min="9738" max="9738" width="8.5703125" style="154" customWidth="1"/>
    <col min="9739" max="9739" width="8.42578125" style="154" customWidth="1"/>
    <col min="9740" max="9740" width="7.85546875" style="154" customWidth="1"/>
    <col min="9741" max="9741" width="7.7109375" style="154" customWidth="1"/>
    <col min="9742" max="9742" width="15.28515625" style="154" customWidth="1"/>
    <col min="9743" max="9743" width="13.85546875" style="154" customWidth="1"/>
    <col min="9744" max="9744" width="18" style="154" customWidth="1"/>
    <col min="9745" max="9745" width="36" style="154" customWidth="1"/>
    <col min="9746" max="9746" width="13.7109375" style="154" customWidth="1"/>
    <col min="9747" max="9747" width="15.42578125" style="154" customWidth="1"/>
    <col min="9748" max="9748" width="9.140625" style="154"/>
    <col min="9749" max="9749" width="98.42578125" style="154" customWidth="1"/>
    <col min="9750" max="9983" width="9.140625" style="154"/>
    <col min="9984" max="9984" width="16.7109375" style="154" customWidth="1"/>
    <col min="9985" max="9986" width="6.5703125" style="154" customWidth="1"/>
    <col min="9987" max="9987" width="5.5703125" style="154" customWidth="1"/>
    <col min="9988" max="9988" width="11.42578125" style="154" customWidth="1"/>
    <col min="9989" max="9989" width="7.85546875" style="154" customWidth="1"/>
    <col min="9990" max="9990" width="10.5703125" style="154" customWidth="1"/>
    <col min="9991" max="9991" width="8.7109375" style="154" customWidth="1"/>
    <col min="9992" max="9992" width="8.85546875" style="154" customWidth="1"/>
    <col min="9993" max="9993" width="7.140625" style="154" customWidth="1"/>
    <col min="9994" max="9994" width="8.5703125" style="154" customWidth="1"/>
    <col min="9995" max="9995" width="8.42578125" style="154" customWidth="1"/>
    <col min="9996" max="9996" width="7.85546875" style="154" customWidth="1"/>
    <col min="9997" max="9997" width="7.7109375" style="154" customWidth="1"/>
    <col min="9998" max="9998" width="15.28515625" style="154" customWidth="1"/>
    <col min="9999" max="9999" width="13.85546875" style="154" customWidth="1"/>
    <col min="10000" max="10000" width="18" style="154" customWidth="1"/>
    <col min="10001" max="10001" width="36" style="154" customWidth="1"/>
    <col min="10002" max="10002" width="13.7109375" style="154" customWidth="1"/>
    <col min="10003" max="10003" width="15.42578125" style="154" customWidth="1"/>
    <col min="10004" max="10004" width="9.140625" style="154"/>
    <col min="10005" max="10005" width="98.42578125" style="154" customWidth="1"/>
    <col min="10006" max="10239" width="9.140625" style="154"/>
    <col min="10240" max="10240" width="16.7109375" style="154" customWidth="1"/>
    <col min="10241" max="10242" width="6.5703125" style="154" customWidth="1"/>
    <col min="10243" max="10243" width="5.5703125" style="154" customWidth="1"/>
    <col min="10244" max="10244" width="11.42578125" style="154" customWidth="1"/>
    <col min="10245" max="10245" width="7.85546875" style="154" customWidth="1"/>
    <col min="10246" max="10246" width="10.5703125" style="154" customWidth="1"/>
    <col min="10247" max="10247" width="8.7109375" style="154" customWidth="1"/>
    <col min="10248" max="10248" width="8.85546875" style="154" customWidth="1"/>
    <col min="10249" max="10249" width="7.140625" style="154" customWidth="1"/>
    <col min="10250" max="10250" width="8.5703125" style="154" customWidth="1"/>
    <col min="10251" max="10251" width="8.42578125" style="154" customWidth="1"/>
    <col min="10252" max="10252" width="7.85546875" style="154" customWidth="1"/>
    <col min="10253" max="10253" width="7.7109375" style="154" customWidth="1"/>
    <col min="10254" max="10254" width="15.28515625" style="154" customWidth="1"/>
    <col min="10255" max="10255" width="13.85546875" style="154" customWidth="1"/>
    <col min="10256" max="10256" width="18" style="154" customWidth="1"/>
    <col min="10257" max="10257" width="36" style="154" customWidth="1"/>
    <col min="10258" max="10258" width="13.7109375" style="154" customWidth="1"/>
    <col min="10259" max="10259" width="15.42578125" style="154" customWidth="1"/>
    <col min="10260" max="10260" width="9.140625" style="154"/>
    <col min="10261" max="10261" width="98.42578125" style="154" customWidth="1"/>
    <col min="10262" max="10495" width="9.140625" style="154"/>
    <col min="10496" max="10496" width="16.7109375" style="154" customWidth="1"/>
    <col min="10497" max="10498" width="6.5703125" style="154" customWidth="1"/>
    <col min="10499" max="10499" width="5.5703125" style="154" customWidth="1"/>
    <col min="10500" max="10500" width="11.42578125" style="154" customWidth="1"/>
    <col min="10501" max="10501" width="7.85546875" style="154" customWidth="1"/>
    <col min="10502" max="10502" width="10.5703125" style="154" customWidth="1"/>
    <col min="10503" max="10503" width="8.7109375" style="154" customWidth="1"/>
    <col min="10504" max="10504" width="8.85546875" style="154" customWidth="1"/>
    <col min="10505" max="10505" width="7.140625" style="154" customWidth="1"/>
    <col min="10506" max="10506" width="8.5703125" style="154" customWidth="1"/>
    <col min="10507" max="10507" width="8.42578125" style="154" customWidth="1"/>
    <col min="10508" max="10508" width="7.85546875" style="154" customWidth="1"/>
    <col min="10509" max="10509" width="7.7109375" style="154" customWidth="1"/>
    <col min="10510" max="10510" width="15.28515625" style="154" customWidth="1"/>
    <col min="10511" max="10511" width="13.85546875" style="154" customWidth="1"/>
    <col min="10512" max="10512" width="18" style="154" customWidth="1"/>
    <col min="10513" max="10513" width="36" style="154" customWidth="1"/>
    <col min="10514" max="10514" width="13.7109375" style="154" customWidth="1"/>
    <col min="10515" max="10515" width="15.42578125" style="154" customWidth="1"/>
    <col min="10516" max="10516" width="9.140625" style="154"/>
    <col min="10517" max="10517" width="98.42578125" style="154" customWidth="1"/>
    <col min="10518" max="10751" width="9.140625" style="154"/>
    <col min="10752" max="10752" width="16.7109375" style="154" customWidth="1"/>
    <col min="10753" max="10754" width="6.5703125" style="154" customWidth="1"/>
    <col min="10755" max="10755" width="5.5703125" style="154" customWidth="1"/>
    <col min="10756" max="10756" width="11.42578125" style="154" customWidth="1"/>
    <col min="10757" max="10757" width="7.85546875" style="154" customWidth="1"/>
    <col min="10758" max="10758" width="10.5703125" style="154" customWidth="1"/>
    <col min="10759" max="10759" width="8.7109375" style="154" customWidth="1"/>
    <col min="10760" max="10760" width="8.85546875" style="154" customWidth="1"/>
    <col min="10761" max="10761" width="7.140625" style="154" customWidth="1"/>
    <col min="10762" max="10762" width="8.5703125" style="154" customWidth="1"/>
    <col min="10763" max="10763" width="8.42578125" style="154" customWidth="1"/>
    <col min="10764" max="10764" width="7.85546875" style="154" customWidth="1"/>
    <col min="10765" max="10765" width="7.7109375" style="154" customWidth="1"/>
    <col min="10766" max="10766" width="15.28515625" style="154" customWidth="1"/>
    <col min="10767" max="10767" width="13.85546875" style="154" customWidth="1"/>
    <col min="10768" max="10768" width="18" style="154" customWidth="1"/>
    <col min="10769" max="10769" width="36" style="154" customWidth="1"/>
    <col min="10770" max="10770" width="13.7109375" style="154" customWidth="1"/>
    <col min="10771" max="10771" width="15.42578125" style="154" customWidth="1"/>
    <col min="10772" max="10772" width="9.140625" style="154"/>
    <col min="10773" max="10773" width="98.42578125" style="154" customWidth="1"/>
    <col min="10774" max="11007" width="9.140625" style="154"/>
    <col min="11008" max="11008" width="16.7109375" style="154" customWidth="1"/>
    <col min="11009" max="11010" width="6.5703125" style="154" customWidth="1"/>
    <col min="11011" max="11011" width="5.5703125" style="154" customWidth="1"/>
    <col min="11012" max="11012" width="11.42578125" style="154" customWidth="1"/>
    <col min="11013" max="11013" width="7.85546875" style="154" customWidth="1"/>
    <col min="11014" max="11014" width="10.5703125" style="154" customWidth="1"/>
    <col min="11015" max="11015" width="8.7109375" style="154" customWidth="1"/>
    <col min="11016" max="11016" width="8.85546875" style="154" customWidth="1"/>
    <col min="11017" max="11017" width="7.140625" style="154" customWidth="1"/>
    <col min="11018" max="11018" width="8.5703125" style="154" customWidth="1"/>
    <col min="11019" max="11019" width="8.42578125" style="154" customWidth="1"/>
    <col min="11020" max="11020" width="7.85546875" style="154" customWidth="1"/>
    <col min="11021" max="11021" width="7.7109375" style="154" customWidth="1"/>
    <col min="11022" max="11022" width="15.28515625" style="154" customWidth="1"/>
    <col min="11023" max="11023" width="13.85546875" style="154" customWidth="1"/>
    <col min="11024" max="11024" width="18" style="154" customWidth="1"/>
    <col min="11025" max="11025" width="36" style="154" customWidth="1"/>
    <col min="11026" max="11026" width="13.7109375" style="154" customWidth="1"/>
    <col min="11027" max="11027" width="15.42578125" style="154" customWidth="1"/>
    <col min="11028" max="11028" width="9.140625" style="154"/>
    <col min="11029" max="11029" width="98.42578125" style="154" customWidth="1"/>
    <col min="11030" max="11263" width="9.140625" style="154"/>
    <col min="11264" max="11264" width="16.7109375" style="154" customWidth="1"/>
    <col min="11265" max="11266" width="6.5703125" style="154" customWidth="1"/>
    <col min="11267" max="11267" width="5.5703125" style="154" customWidth="1"/>
    <col min="11268" max="11268" width="11.42578125" style="154" customWidth="1"/>
    <col min="11269" max="11269" width="7.85546875" style="154" customWidth="1"/>
    <col min="11270" max="11270" width="10.5703125" style="154" customWidth="1"/>
    <col min="11271" max="11271" width="8.7109375" style="154" customWidth="1"/>
    <col min="11272" max="11272" width="8.85546875" style="154" customWidth="1"/>
    <col min="11273" max="11273" width="7.140625" style="154" customWidth="1"/>
    <col min="11274" max="11274" width="8.5703125" style="154" customWidth="1"/>
    <col min="11275" max="11275" width="8.42578125" style="154" customWidth="1"/>
    <col min="11276" max="11276" width="7.85546875" style="154" customWidth="1"/>
    <col min="11277" max="11277" width="7.7109375" style="154" customWidth="1"/>
    <col min="11278" max="11278" width="15.28515625" style="154" customWidth="1"/>
    <col min="11279" max="11279" width="13.85546875" style="154" customWidth="1"/>
    <col min="11280" max="11280" width="18" style="154" customWidth="1"/>
    <col min="11281" max="11281" width="36" style="154" customWidth="1"/>
    <col min="11282" max="11282" width="13.7109375" style="154" customWidth="1"/>
    <col min="11283" max="11283" width="15.42578125" style="154" customWidth="1"/>
    <col min="11284" max="11284" width="9.140625" style="154"/>
    <col min="11285" max="11285" width="98.42578125" style="154" customWidth="1"/>
    <col min="11286" max="11519" width="9.140625" style="154"/>
    <col min="11520" max="11520" width="16.7109375" style="154" customWidth="1"/>
    <col min="11521" max="11522" width="6.5703125" style="154" customWidth="1"/>
    <col min="11523" max="11523" width="5.5703125" style="154" customWidth="1"/>
    <col min="11524" max="11524" width="11.42578125" style="154" customWidth="1"/>
    <col min="11525" max="11525" width="7.85546875" style="154" customWidth="1"/>
    <col min="11526" max="11526" width="10.5703125" style="154" customWidth="1"/>
    <col min="11527" max="11527" width="8.7109375" style="154" customWidth="1"/>
    <col min="11528" max="11528" width="8.85546875" style="154" customWidth="1"/>
    <col min="11529" max="11529" width="7.140625" style="154" customWidth="1"/>
    <col min="11530" max="11530" width="8.5703125" style="154" customWidth="1"/>
    <col min="11531" max="11531" width="8.42578125" style="154" customWidth="1"/>
    <col min="11532" max="11532" width="7.85546875" style="154" customWidth="1"/>
    <col min="11533" max="11533" width="7.7109375" style="154" customWidth="1"/>
    <col min="11534" max="11534" width="15.28515625" style="154" customWidth="1"/>
    <col min="11535" max="11535" width="13.85546875" style="154" customWidth="1"/>
    <col min="11536" max="11536" width="18" style="154" customWidth="1"/>
    <col min="11537" max="11537" width="36" style="154" customWidth="1"/>
    <col min="11538" max="11538" width="13.7109375" style="154" customWidth="1"/>
    <col min="11539" max="11539" width="15.42578125" style="154" customWidth="1"/>
    <col min="11540" max="11540" width="9.140625" style="154"/>
    <col min="11541" max="11541" width="98.42578125" style="154" customWidth="1"/>
    <col min="11542" max="11775" width="9.140625" style="154"/>
    <col min="11776" max="11776" width="16.7109375" style="154" customWidth="1"/>
    <col min="11777" max="11778" width="6.5703125" style="154" customWidth="1"/>
    <col min="11779" max="11779" width="5.5703125" style="154" customWidth="1"/>
    <col min="11780" max="11780" width="11.42578125" style="154" customWidth="1"/>
    <col min="11781" max="11781" width="7.85546875" style="154" customWidth="1"/>
    <col min="11782" max="11782" width="10.5703125" style="154" customWidth="1"/>
    <col min="11783" max="11783" width="8.7109375" style="154" customWidth="1"/>
    <col min="11784" max="11784" width="8.85546875" style="154" customWidth="1"/>
    <col min="11785" max="11785" width="7.140625" style="154" customWidth="1"/>
    <col min="11786" max="11786" width="8.5703125" style="154" customWidth="1"/>
    <col min="11787" max="11787" width="8.42578125" style="154" customWidth="1"/>
    <col min="11788" max="11788" width="7.85546875" style="154" customWidth="1"/>
    <col min="11789" max="11789" width="7.7109375" style="154" customWidth="1"/>
    <col min="11790" max="11790" width="15.28515625" style="154" customWidth="1"/>
    <col min="11791" max="11791" width="13.85546875" style="154" customWidth="1"/>
    <col min="11792" max="11792" width="18" style="154" customWidth="1"/>
    <col min="11793" max="11793" width="36" style="154" customWidth="1"/>
    <col min="11794" max="11794" width="13.7109375" style="154" customWidth="1"/>
    <col min="11795" max="11795" width="15.42578125" style="154" customWidth="1"/>
    <col min="11796" max="11796" width="9.140625" style="154"/>
    <col min="11797" max="11797" width="98.42578125" style="154" customWidth="1"/>
    <col min="11798" max="12031" width="9.140625" style="154"/>
    <col min="12032" max="12032" width="16.7109375" style="154" customWidth="1"/>
    <col min="12033" max="12034" width="6.5703125" style="154" customWidth="1"/>
    <col min="12035" max="12035" width="5.5703125" style="154" customWidth="1"/>
    <col min="12036" max="12036" width="11.42578125" style="154" customWidth="1"/>
    <col min="12037" max="12037" width="7.85546875" style="154" customWidth="1"/>
    <col min="12038" max="12038" width="10.5703125" style="154" customWidth="1"/>
    <col min="12039" max="12039" width="8.7109375" style="154" customWidth="1"/>
    <col min="12040" max="12040" width="8.85546875" style="154" customWidth="1"/>
    <col min="12041" max="12041" width="7.140625" style="154" customWidth="1"/>
    <col min="12042" max="12042" width="8.5703125" style="154" customWidth="1"/>
    <col min="12043" max="12043" width="8.42578125" style="154" customWidth="1"/>
    <col min="12044" max="12044" width="7.85546875" style="154" customWidth="1"/>
    <col min="12045" max="12045" width="7.7109375" style="154" customWidth="1"/>
    <col min="12046" max="12046" width="15.28515625" style="154" customWidth="1"/>
    <col min="12047" max="12047" width="13.85546875" style="154" customWidth="1"/>
    <col min="12048" max="12048" width="18" style="154" customWidth="1"/>
    <col min="12049" max="12049" width="36" style="154" customWidth="1"/>
    <col min="12050" max="12050" width="13.7109375" style="154" customWidth="1"/>
    <col min="12051" max="12051" width="15.42578125" style="154" customWidth="1"/>
    <col min="12052" max="12052" width="9.140625" style="154"/>
    <col min="12053" max="12053" width="98.42578125" style="154" customWidth="1"/>
    <col min="12054" max="12287" width="9.140625" style="154"/>
    <col min="12288" max="12288" width="16.7109375" style="154" customWidth="1"/>
    <col min="12289" max="12290" width="6.5703125" style="154" customWidth="1"/>
    <col min="12291" max="12291" width="5.5703125" style="154" customWidth="1"/>
    <col min="12292" max="12292" width="11.42578125" style="154" customWidth="1"/>
    <col min="12293" max="12293" width="7.85546875" style="154" customWidth="1"/>
    <col min="12294" max="12294" width="10.5703125" style="154" customWidth="1"/>
    <col min="12295" max="12295" width="8.7109375" style="154" customWidth="1"/>
    <col min="12296" max="12296" width="8.85546875" style="154" customWidth="1"/>
    <col min="12297" max="12297" width="7.140625" style="154" customWidth="1"/>
    <col min="12298" max="12298" width="8.5703125" style="154" customWidth="1"/>
    <col min="12299" max="12299" width="8.42578125" style="154" customWidth="1"/>
    <col min="12300" max="12300" width="7.85546875" style="154" customWidth="1"/>
    <col min="12301" max="12301" width="7.7109375" style="154" customWidth="1"/>
    <col min="12302" max="12302" width="15.28515625" style="154" customWidth="1"/>
    <col min="12303" max="12303" width="13.85546875" style="154" customWidth="1"/>
    <col min="12304" max="12304" width="18" style="154" customWidth="1"/>
    <col min="12305" max="12305" width="36" style="154" customWidth="1"/>
    <col min="12306" max="12306" width="13.7109375" style="154" customWidth="1"/>
    <col min="12307" max="12307" width="15.42578125" style="154" customWidth="1"/>
    <col min="12308" max="12308" width="9.140625" style="154"/>
    <col min="12309" max="12309" width="98.42578125" style="154" customWidth="1"/>
    <col min="12310" max="12543" width="9.140625" style="154"/>
    <col min="12544" max="12544" width="16.7109375" style="154" customWidth="1"/>
    <col min="12545" max="12546" width="6.5703125" style="154" customWidth="1"/>
    <col min="12547" max="12547" width="5.5703125" style="154" customWidth="1"/>
    <col min="12548" max="12548" width="11.42578125" style="154" customWidth="1"/>
    <col min="12549" max="12549" width="7.85546875" style="154" customWidth="1"/>
    <col min="12550" max="12550" width="10.5703125" style="154" customWidth="1"/>
    <col min="12551" max="12551" width="8.7109375" style="154" customWidth="1"/>
    <col min="12552" max="12552" width="8.85546875" style="154" customWidth="1"/>
    <col min="12553" max="12553" width="7.140625" style="154" customWidth="1"/>
    <col min="12554" max="12554" width="8.5703125" style="154" customWidth="1"/>
    <col min="12555" max="12555" width="8.42578125" style="154" customWidth="1"/>
    <col min="12556" max="12556" width="7.85546875" style="154" customWidth="1"/>
    <col min="12557" max="12557" width="7.7109375" style="154" customWidth="1"/>
    <col min="12558" max="12558" width="15.28515625" style="154" customWidth="1"/>
    <col min="12559" max="12559" width="13.85546875" style="154" customWidth="1"/>
    <col min="12560" max="12560" width="18" style="154" customWidth="1"/>
    <col min="12561" max="12561" width="36" style="154" customWidth="1"/>
    <col min="12562" max="12562" width="13.7109375" style="154" customWidth="1"/>
    <col min="12563" max="12563" width="15.42578125" style="154" customWidth="1"/>
    <col min="12564" max="12564" width="9.140625" style="154"/>
    <col min="12565" max="12565" width="98.42578125" style="154" customWidth="1"/>
    <col min="12566" max="12799" width="9.140625" style="154"/>
    <col min="12800" max="12800" width="16.7109375" style="154" customWidth="1"/>
    <col min="12801" max="12802" width="6.5703125" style="154" customWidth="1"/>
    <col min="12803" max="12803" width="5.5703125" style="154" customWidth="1"/>
    <col min="12804" max="12804" width="11.42578125" style="154" customWidth="1"/>
    <col min="12805" max="12805" width="7.85546875" style="154" customWidth="1"/>
    <col min="12806" max="12806" width="10.5703125" style="154" customWidth="1"/>
    <col min="12807" max="12807" width="8.7109375" style="154" customWidth="1"/>
    <col min="12808" max="12808" width="8.85546875" style="154" customWidth="1"/>
    <col min="12809" max="12809" width="7.140625" style="154" customWidth="1"/>
    <col min="12810" max="12810" width="8.5703125" style="154" customWidth="1"/>
    <col min="12811" max="12811" width="8.42578125" style="154" customWidth="1"/>
    <col min="12812" max="12812" width="7.85546875" style="154" customWidth="1"/>
    <col min="12813" max="12813" width="7.7109375" style="154" customWidth="1"/>
    <col min="12814" max="12814" width="15.28515625" style="154" customWidth="1"/>
    <col min="12815" max="12815" width="13.85546875" style="154" customWidth="1"/>
    <col min="12816" max="12816" width="18" style="154" customWidth="1"/>
    <col min="12817" max="12817" width="36" style="154" customWidth="1"/>
    <col min="12818" max="12818" width="13.7109375" style="154" customWidth="1"/>
    <col min="12819" max="12819" width="15.42578125" style="154" customWidth="1"/>
    <col min="12820" max="12820" width="9.140625" style="154"/>
    <col min="12821" max="12821" width="98.42578125" style="154" customWidth="1"/>
    <col min="12822" max="13055" width="9.140625" style="154"/>
    <col min="13056" max="13056" width="16.7109375" style="154" customWidth="1"/>
    <col min="13057" max="13058" width="6.5703125" style="154" customWidth="1"/>
    <col min="13059" max="13059" width="5.5703125" style="154" customWidth="1"/>
    <col min="13060" max="13060" width="11.42578125" style="154" customWidth="1"/>
    <col min="13061" max="13061" width="7.85546875" style="154" customWidth="1"/>
    <col min="13062" max="13062" width="10.5703125" style="154" customWidth="1"/>
    <col min="13063" max="13063" width="8.7109375" style="154" customWidth="1"/>
    <col min="13064" max="13064" width="8.85546875" style="154" customWidth="1"/>
    <col min="13065" max="13065" width="7.140625" style="154" customWidth="1"/>
    <col min="13066" max="13066" width="8.5703125" style="154" customWidth="1"/>
    <col min="13067" max="13067" width="8.42578125" style="154" customWidth="1"/>
    <col min="13068" max="13068" width="7.85546875" style="154" customWidth="1"/>
    <col min="13069" max="13069" width="7.7109375" style="154" customWidth="1"/>
    <col min="13070" max="13070" width="15.28515625" style="154" customWidth="1"/>
    <col min="13071" max="13071" width="13.85546875" style="154" customWidth="1"/>
    <col min="13072" max="13072" width="18" style="154" customWidth="1"/>
    <col min="13073" max="13073" width="36" style="154" customWidth="1"/>
    <col min="13074" max="13074" width="13.7109375" style="154" customWidth="1"/>
    <col min="13075" max="13075" width="15.42578125" style="154" customWidth="1"/>
    <col min="13076" max="13076" width="9.140625" style="154"/>
    <col min="13077" max="13077" width="98.42578125" style="154" customWidth="1"/>
    <col min="13078" max="13311" width="9.140625" style="154"/>
    <col min="13312" max="13312" width="16.7109375" style="154" customWidth="1"/>
    <col min="13313" max="13314" width="6.5703125" style="154" customWidth="1"/>
    <col min="13315" max="13315" width="5.5703125" style="154" customWidth="1"/>
    <col min="13316" max="13316" width="11.42578125" style="154" customWidth="1"/>
    <col min="13317" max="13317" width="7.85546875" style="154" customWidth="1"/>
    <col min="13318" max="13318" width="10.5703125" style="154" customWidth="1"/>
    <col min="13319" max="13319" width="8.7109375" style="154" customWidth="1"/>
    <col min="13320" max="13320" width="8.85546875" style="154" customWidth="1"/>
    <col min="13321" max="13321" width="7.140625" style="154" customWidth="1"/>
    <col min="13322" max="13322" width="8.5703125" style="154" customWidth="1"/>
    <col min="13323" max="13323" width="8.42578125" style="154" customWidth="1"/>
    <col min="13324" max="13324" width="7.85546875" style="154" customWidth="1"/>
    <col min="13325" max="13325" width="7.7109375" style="154" customWidth="1"/>
    <col min="13326" max="13326" width="15.28515625" style="154" customWidth="1"/>
    <col min="13327" max="13327" width="13.85546875" style="154" customWidth="1"/>
    <col min="13328" max="13328" width="18" style="154" customWidth="1"/>
    <col min="13329" max="13329" width="36" style="154" customWidth="1"/>
    <col min="13330" max="13330" width="13.7109375" style="154" customWidth="1"/>
    <col min="13331" max="13331" width="15.42578125" style="154" customWidth="1"/>
    <col min="13332" max="13332" width="9.140625" style="154"/>
    <col min="13333" max="13333" width="98.42578125" style="154" customWidth="1"/>
    <col min="13334" max="13567" width="9.140625" style="154"/>
    <col min="13568" max="13568" width="16.7109375" style="154" customWidth="1"/>
    <col min="13569" max="13570" width="6.5703125" style="154" customWidth="1"/>
    <col min="13571" max="13571" width="5.5703125" style="154" customWidth="1"/>
    <col min="13572" max="13572" width="11.42578125" style="154" customWidth="1"/>
    <col min="13573" max="13573" width="7.85546875" style="154" customWidth="1"/>
    <col min="13574" max="13574" width="10.5703125" style="154" customWidth="1"/>
    <col min="13575" max="13575" width="8.7109375" style="154" customWidth="1"/>
    <col min="13576" max="13576" width="8.85546875" style="154" customWidth="1"/>
    <col min="13577" max="13577" width="7.140625" style="154" customWidth="1"/>
    <col min="13578" max="13578" width="8.5703125" style="154" customWidth="1"/>
    <col min="13579" max="13579" width="8.42578125" style="154" customWidth="1"/>
    <col min="13580" max="13580" width="7.85546875" style="154" customWidth="1"/>
    <col min="13581" max="13581" width="7.7109375" style="154" customWidth="1"/>
    <col min="13582" max="13582" width="15.28515625" style="154" customWidth="1"/>
    <col min="13583" max="13583" width="13.85546875" style="154" customWidth="1"/>
    <col min="13584" max="13584" width="18" style="154" customWidth="1"/>
    <col min="13585" max="13585" width="36" style="154" customWidth="1"/>
    <col min="13586" max="13586" width="13.7109375" style="154" customWidth="1"/>
    <col min="13587" max="13587" width="15.42578125" style="154" customWidth="1"/>
    <col min="13588" max="13588" width="9.140625" style="154"/>
    <col min="13589" max="13589" width="98.42578125" style="154" customWidth="1"/>
    <col min="13590" max="13823" width="9.140625" style="154"/>
    <col min="13824" max="13824" width="16.7109375" style="154" customWidth="1"/>
    <col min="13825" max="13826" width="6.5703125" style="154" customWidth="1"/>
    <col min="13827" max="13827" width="5.5703125" style="154" customWidth="1"/>
    <col min="13828" max="13828" width="11.42578125" style="154" customWidth="1"/>
    <col min="13829" max="13829" width="7.85546875" style="154" customWidth="1"/>
    <col min="13830" max="13830" width="10.5703125" style="154" customWidth="1"/>
    <col min="13831" max="13831" width="8.7109375" style="154" customWidth="1"/>
    <col min="13832" max="13832" width="8.85546875" style="154" customWidth="1"/>
    <col min="13833" max="13833" width="7.140625" style="154" customWidth="1"/>
    <col min="13834" max="13834" width="8.5703125" style="154" customWidth="1"/>
    <col min="13835" max="13835" width="8.42578125" style="154" customWidth="1"/>
    <col min="13836" max="13836" width="7.85546875" style="154" customWidth="1"/>
    <col min="13837" max="13837" width="7.7109375" style="154" customWidth="1"/>
    <col min="13838" max="13838" width="15.28515625" style="154" customWidth="1"/>
    <col min="13839" max="13839" width="13.85546875" style="154" customWidth="1"/>
    <col min="13840" max="13840" width="18" style="154" customWidth="1"/>
    <col min="13841" max="13841" width="36" style="154" customWidth="1"/>
    <col min="13842" max="13842" width="13.7109375" style="154" customWidth="1"/>
    <col min="13843" max="13843" width="15.42578125" style="154" customWidth="1"/>
    <col min="13844" max="13844" width="9.140625" style="154"/>
    <col min="13845" max="13845" width="98.42578125" style="154" customWidth="1"/>
    <col min="13846" max="14079" width="9.140625" style="154"/>
    <col min="14080" max="14080" width="16.7109375" style="154" customWidth="1"/>
    <col min="14081" max="14082" width="6.5703125" style="154" customWidth="1"/>
    <col min="14083" max="14083" width="5.5703125" style="154" customWidth="1"/>
    <col min="14084" max="14084" width="11.42578125" style="154" customWidth="1"/>
    <col min="14085" max="14085" width="7.85546875" style="154" customWidth="1"/>
    <col min="14086" max="14086" width="10.5703125" style="154" customWidth="1"/>
    <col min="14087" max="14087" width="8.7109375" style="154" customWidth="1"/>
    <col min="14088" max="14088" width="8.85546875" style="154" customWidth="1"/>
    <col min="14089" max="14089" width="7.140625" style="154" customWidth="1"/>
    <col min="14090" max="14090" width="8.5703125" style="154" customWidth="1"/>
    <col min="14091" max="14091" width="8.42578125" style="154" customWidth="1"/>
    <col min="14092" max="14092" width="7.85546875" style="154" customWidth="1"/>
    <col min="14093" max="14093" width="7.7109375" style="154" customWidth="1"/>
    <col min="14094" max="14094" width="15.28515625" style="154" customWidth="1"/>
    <col min="14095" max="14095" width="13.85546875" style="154" customWidth="1"/>
    <col min="14096" max="14096" width="18" style="154" customWidth="1"/>
    <col min="14097" max="14097" width="36" style="154" customWidth="1"/>
    <col min="14098" max="14098" width="13.7109375" style="154" customWidth="1"/>
    <col min="14099" max="14099" width="15.42578125" style="154" customWidth="1"/>
    <col min="14100" max="14100" width="9.140625" style="154"/>
    <col min="14101" max="14101" width="98.42578125" style="154" customWidth="1"/>
    <col min="14102" max="14335" width="9.140625" style="154"/>
    <col min="14336" max="14336" width="16.7109375" style="154" customWidth="1"/>
    <col min="14337" max="14338" width="6.5703125" style="154" customWidth="1"/>
    <col min="14339" max="14339" width="5.5703125" style="154" customWidth="1"/>
    <col min="14340" max="14340" width="11.42578125" style="154" customWidth="1"/>
    <col min="14341" max="14341" width="7.85546875" style="154" customWidth="1"/>
    <col min="14342" max="14342" width="10.5703125" style="154" customWidth="1"/>
    <col min="14343" max="14343" width="8.7109375" style="154" customWidth="1"/>
    <col min="14344" max="14344" width="8.85546875" style="154" customWidth="1"/>
    <col min="14345" max="14345" width="7.140625" style="154" customWidth="1"/>
    <col min="14346" max="14346" width="8.5703125" style="154" customWidth="1"/>
    <col min="14347" max="14347" width="8.42578125" style="154" customWidth="1"/>
    <col min="14348" max="14348" width="7.85546875" style="154" customWidth="1"/>
    <col min="14349" max="14349" width="7.7109375" style="154" customWidth="1"/>
    <col min="14350" max="14350" width="15.28515625" style="154" customWidth="1"/>
    <col min="14351" max="14351" width="13.85546875" style="154" customWidth="1"/>
    <col min="14352" max="14352" width="18" style="154" customWidth="1"/>
    <col min="14353" max="14353" width="36" style="154" customWidth="1"/>
    <col min="14354" max="14354" width="13.7109375" style="154" customWidth="1"/>
    <col min="14355" max="14355" width="15.42578125" style="154" customWidth="1"/>
    <col min="14356" max="14356" width="9.140625" style="154"/>
    <col min="14357" max="14357" width="98.42578125" style="154" customWidth="1"/>
    <col min="14358" max="14591" width="9.140625" style="154"/>
    <col min="14592" max="14592" width="16.7109375" style="154" customWidth="1"/>
    <col min="14593" max="14594" width="6.5703125" style="154" customWidth="1"/>
    <col min="14595" max="14595" width="5.5703125" style="154" customWidth="1"/>
    <col min="14596" max="14596" width="11.42578125" style="154" customWidth="1"/>
    <col min="14597" max="14597" width="7.85546875" style="154" customWidth="1"/>
    <col min="14598" max="14598" width="10.5703125" style="154" customWidth="1"/>
    <col min="14599" max="14599" width="8.7109375" style="154" customWidth="1"/>
    <col min="14600" max="14600" width="8.85546875" style="154" customWidth="1"/>
    <col min="14601" max="14601" width="7.140625" style="154" customWidth="1"/>
    <col min="14602" max="14602" width="8.5703125" style="154" customWidth="1"/>
    <col min="14603" max="14603" width="8.42578125" style="154" customWidth="1"/>
    <col min="14604" max="14604" width="7.85546875" style="154" customWidth="1"/>
    <col min="14605" max="14605" width="7.7109375" style="154" customWidth="1"/>
    <col min="14606" max="14606" width="15.28515625" style="154" customWidth="1"/>
    <col min="14607" max="14607" width="13.85546875" style="154" customWidth="1"/>
    <col min="14608" max="14608" width="18" style="154" customWidth="1"/>
    <col min="14609" max="14609" width="36" style="154" customWidth="1"/>
    <col min="14610" max="14610" width="13.7109375" style="154" customWidth="1"/>
    <col min="14611" max="14611" width="15.42578125" style="154" customWidth="1"/>
    <col min="14612" max="14612" width="9.140625" style="154"/>
    <col min="14613" max="14613" width="98.42578125" style="154" customWidth="1"/>
    <col min="14614" max="14847" width="9.140625" style="154"/>
    <col min="14848" max="14848" width="16.7109375" style="154" customWidth="1"/>
    <col min="14849" max="14850" width="6.5703125" style="154" customWidth="1"/>
    <col min="14851" max="14851" width="5.5703125" style="154" customWidth="1"/>
    <col min="14852" max="14852" width="11.42578125" style="154" customWidth="1"/>
    <col min="14853" max="14853" width="7.85546875" style="154" customWidth="1"/>
    <col min="14854" max="14854" width="10.5703125" style="154" customWidth="1"/>
    <col min="14855" max="14855" width="8.7109375" style="154" customWidth="1"/>
    <col min="14856" max="14856" width="8.85546875" style="154" customWidth="1"/>
    <col min="14857" max="14857" width="7.140625" style="154" customWidth="1"/>
    <col min="14858" max="14858" width="8.5703125" style="154" customWidth="1"/>
    <col min="14859" max="14859" width="8.42578125" style="154" customWidth="1"/>
    <col min="14860" max="14860" width="7.85546875" style="154" customWidth="1"/>
    <col min="14861" max="14861" width="7.7109375" style="154" customWidth="1"/>
    <col min="14862" max="14862" width="15.28515625" style="154" customWidth="1"/>
    <col min="14863" max="14863" width="13.85546875" style="154" customWidth="1"/>
    <col min="14864" max="14864" width="18" style="154" customWidth="1"/>
    <col min="14865" max="14865" width="36" style="154" customWidth="1"/>
    <col min="14866" max="14866" width="13.7109375" style="154" customWidth="1"/>
    <col min="14867" max="14867" width="15.42578125" style="154" customWidth="1"/>
    <col min="14868" max="14868" width="9.140625" style="154"/>
    <col min="14869" max="14869" width="98.42578125" style="154" customWidth="1"/>
    <col min="14870" max="15103" width="9.140625" style="154"/>
    <col min="15104" max="15104" width="16.7109375" style="154" customWidth="1"/>
    <col min="15105" max="15106" width="6.5703125" style="154" customWidth="1"/>
    <col min="15107" max="15107" width="5.5703125" style="154" customWidth="1"/>
    <col min="15108" max="15108" width="11.42578125" style="154" customWidth="1"/>
    <col min="15109" max="15109" width="7.85546875" style="154" customWidth="1"/>
    <col min="15110" max="15110" width="10.5703125" style="154" customWidth="1"/>
    <col min="15111" max="15111" width="8.7109375" style="154" customWidth="1"/>
    <col min="15112" max="15112" width="8.85546875" style="154" customWidth="1"/>
    <col min="15113" max="15113" width="7.140625" style="154" customWidth="1"/>
    <col min="15114" max="15114" width="8.5703125" style="154" customWidth="1"/>
    <col min="15115" max="15115" width="8.42578125" style="154" customWidth="1"/>
    <col min="15116" max="15116" width="7.85546875" style="154" customWidth="1"/>
    <col min="15117" max="15117" width="7.7109375" style="154" customWidth="1"/>
    <col min="15118" max="15118" width="15.28515625" style="154" customWidth="1"/>
    <col min="15119" max="15119" width="13.85546875" style="154" customWidth="1"/>
    <col min="15120" max="15120" width="18" style="154" customWidth="1"/>
    <col min="15121" max="15121" width="36" style="154" customWidth="1"/>
    <col min="15122" max="15122" width="13.7109375" style="154" customWidth="1"/>
    <col min="15123" max="15123" width="15.42578125" style="154" customWidth="1"/>
    <col min="15124" max="15124" width="9.140625" style="154"/>
    <col min="15125" max="15125" width="98.42578125" style="154" customWidth="1"/>
    <col min="15126" max="15359" width="9.140625" style="154"/>
    <col min="15360" max="15360" width="16.7109375" style="154" customWidth="1"/>
    <col min="15361" max="15362" width="6.5703125" style="154" customWidth="1"/>
    <col min="15363" max="15363" width="5.5703125" style="154" customWidth="1"/>
    <col min="15364" max="15364" width="11.42578125" style="154" customWidth="1"/>
    <col min="15365" max="15365" width="7.85546875" style="154" customWidth="1"/>
    <col min="15366" max="15366" width="10.5703125" style="154" customWidth="1"/>
    <col min="15367" max="15367" width="8.7109375" style="154" customWidth="1"/>
    <col min="15368" max="15368" width="8.85546875" style="154" customWidth="1"/>
    <col min="15369" max="15369" width="7.140625" style="154" customWidth="1"/>
    <col min="15370" max="15370" width="8.5703125" style="154" customWidth="1"/>
    <col min="15371" max="15371" width="8.42578125" style="154" customWidth="1"/>
    <col min="15372" max="15372" width="7.85546875" style="154" customWidth="1"/>
    <col min="15373" max="15373" width="7.7109375" style="154" customWidth="1"/>
    <col min="15374" max="15374" width="15.28515625" style="154" customWidth="1"/>
    <col min="15375" max="15375" width="13.85546875" style="154" customWidth="1"/>
    <col min="15376" max="15376" width="18" style="154" customWidth="1"/>
    <col min="15377" max="15377" width="36" style="154" customWidth="1"/>
    <col min="15378" max="15378" width="13.7109375" style="154" customWidth="1"/>
    <col min="15379" max="15379" width="15.42578125" style="154" customWidth="1"/>
    <col min="15380" max="15380" width="9.140625" style="154"/>
    <col min="15381" max="15381" width="98.42578125" style="154" customWidth="1"/>
    <col min="15382" max="15615" width="9.140625" style="154"/>
    <col min="15616" max="15616" width="16.7109375" style="154" customWidth="1"/>
    <col min="15617" max="15618" width="6.5703125" style="154" customWidth="1"/>
    <col min="15619" max="15619" width="5.5703125" style="154" customWidth="1"/>
    <col min="15620" max="15620" width="11.42578125" style="154" customWidth="1"/>
    <col min="15621" max="15621" width="7.85546875" style="154" customWidth="1"/>
    <col min="15622" max="15622" width="10.5703125" style="154" customWidth="1"/>
    <col min="15623" max="15623" width="8.7109375" style="154" customWidth="1"/>
    <col min="15624" max="15624" width="8.85546875" style="154" customWidth="1"/>
    <col min="15625" max="15625" width="7.140625" style="154" customWidth="1"/>
    <col min="15626" max="15626" width="8.5703125" style="154" customWidth="1"/>
    <col min="15627" max="15627" width="8.42578125" style="154" customWidth="1"/>
    <col min="15628" max="15628" width="7.85546875" style="154" customWidth="1"/>
    <col min="15629" max="15629" width="7.7109375" style="154" customWidth="1"/>
    <col min="15630" max="15630" width="15.28515625" style="154" customWidth="1"/>
    <col min="15631" max="15631" width="13.85546875" style="154" customWidth="1"/>
    <col min="15632" max="15632" width="18" style="154" customWidth="1"/>
    <col min="15633" max="15633" width="36" style="154" customWidth="1"/>
    <col min="15634" max="15634" width="13.7109375" style="154" customWidth="1"/>
    <col min="15635" max="15635" width="15.42578125" style="154" customWidth="1"/>
    <col min="15636" max="15636" width="9.140625" style="154"/>
    <col min="15637" max="15637" width="98.42578125" style="154" customWidth="1"/>
    <col min="15638" max="15871" width="9.140625" style="154"/>
    <col min="15872" max="15872" width="16.7109375" style="154" customWidth="1"/>
    <col min="15873" max="15874" width="6.5703125" style="154" customWidth="1"/>
    <col min="15875" max="15875" width="5.5703125" style="154" customWidth="1"/>
    <col min="15876" max="15876" width="11.42578125" style="154" customWidth="1"/>
    <col min="15877" max="15877" width="7.85546875" style="154" customWidth="1"/>
    <col min="15878" max="15878" width="10.5703125" style="154" customWidth="1"/>
    <col min="15879" max="15879" width="8.7109375" style="154" customWidth="1"/>
    <col min="15880" max="15880" width="8.85546875" style="154" customWidth="1"/>
    <col min="15881" max="15881" width="7.140625" style="154" customWidth="1"/>
    <col min="15882" max="15882" width="8.5703125" style="154" customWidth="1"/>
    <col min="15883" max="15883" width="8.42578125" style="154" customWidth="1"/>
    <col min="15884" max="15884" width="7.85546875" style="154" customWidth="1"/>
    <col min="15885" max="15885" width="7.7109375" style="154" customWidth="1"/>
    <col min="15886" max="15886" width="15.28515625" style="154" customWidth="1"/>
    <col min="15887" max="15887" width="13.85546875" style="154" customWidth="1"/>
    <col min="15888" max="15888" width="18" style="154" customWidth="1"/>
    <col min="15889" max="15889" width="36" style="154" customWidth="1"/>
    <col min="15890" max="15890" width="13.7109375" style="154" customWidth="1"/>
    <col min="15891" max="15891" width="15.42578125" style="154" customWidth="1"/>
    <col min="15892" max="15892" width="9.140625" style="154"/>
    <col min="15893" max="15893" width="98.42578125" style="154" customWidth="1"/>
    <col min="15894" max="16127" width="9.140625" style="154"/>
    <col min="16128" max="16128" width="16.7109375" style="154" customWidth="1"/>
    <col min="16129" max="16130" width="6.5703125" style="154" customWidth="1"/>
    <col min="16131" max="16131" width="5.5703125" style="154" customWidth="1"/>
    <col min="16132" max="16132" width="11.42578125" style="154" customWidth="1"/>
    <col min="16133" max="16133" width="7.85546875" style="154" customWidth="1"/>
    <col min="16134" max="16134" width="10.5703125" style="154" customWidth="1"/>
    <col min="16135" max="16135" width="8.7109375" style="154" customWidth="1"/>
    <col min="16136" max="16136" width="8.85546875" style="154" customWidth="1"/>
    <col min="16137" max="16137" width="7.140625" style="154" customWidth="1"/>
    <col min="16138" max="16138" width="8.5703125" style="154" customWidth="1"/>
    <col min="16139" max="16139" width="8.42578125" style="154" customWidth="1"/>
    <col min="16140" max="16140" width="7.85546875" style="154" customWidth="1"/>
    <col min="16141" max="16141" width="7.7109375" style="154" customWidth="1"/>
    <col min="16142" max="16142" width="15.28515625" style="154" customWidth="1"/>
    <col min="16143" max="16143" width="13.85546875" style="154" customWidth="1"/>
    <col min="16144" max="16144" width="18" style="154" customWidth="1"/>
    <col min="16145" max="16145" width="36" style="154" customWidth="1"/>
    <col min="16146" max="16146" width="13.7109375" style="154" customWidth="1"/>
    <col min="16147" max="16147" width="15.42578125" style="154" customWidth="1"/>
    <col min="16148" max="16148" width="9.140625" style="154"/>
    <col min="16149" max="16149" width="98.42578125" style="154" customWidth="1"/>
    <col min="16150" max="16384" width="9.140625" style="154"/>
  </cols>
  <sheetData>
    <row r="1" spans="1:80" s="178" customFormat="1" ht="15" customHeight="1" x14ac:dyDescent="0.25">
      <c r="A1" s="176" t="s">
        <v>2359</v>
      </c>
      <c r="B1" s="176" t="s">
        <v>2034</v>
      </c>
      <c r="C1" s="176" t="s">
        <v>2033</v>
      </c>
      <c r="D1" s="176" t="s">
        <v>2370</v>
      </c>
      <c r="E1" s="176" t="s">
        <v>2373</v>
      </c>
      <c r="F1" s="176" t="s">
        <v>2371</v>
      </c>
      <c r="G1" s="176" t="s">
        <v>2037</v>
      </c>
      <c r="H1" s="176" t="s">
        <v>2360</v>
      </c>
      <c r="I1" s="176" t="s">
        <v>2361</v>
      </c>
      <c r="J1" s="176" t="s">
        <v>2372</v>
      </c>
      <c r="K1" s="176" t="s">
        <v>2362</v>
      </c>
      <c r="L1" s="176" t="s">
        <v>2036</v>
      </c>
      <c r="M1" s="177" t="s">
        <v>2363</v>
      </c>
      <c r="N1" s="177" t="s">
        <v>2364</v>
      </c>
      <c r="O1" s="176" t="s">
        <v>2365</v>
      </c>
      <c r="P1" s="176" t="s">
        <v>2366</v>
      </c>
      <c r="Q1" s="176" t="s">
        <v>168</v>
      </c>
      <c r="R1" s="176" t="s">
        <v>2367</v>
      </c>
      <c r="S1" s="176" t="s">
        <v>2368</v>
      </c>
      <c r="T1" s="176" t="s">
        <v>2369</v>
      </c>
      <c r="U1" s="176" t="s">
        <v>2089</v>
      </c>
      <c r="X1" s="178" t="s">
        <v>2490</v>
      </c>
      <c r="Y1" s="178" t="s">
        <v>2491</v>
      </c>
      <c r="Z1" s="178" t="s">
        <v>2492</v>
      </c>
    </row>
    <row r="2" spans="1:80" x14ac:dyDescent="0.25">
      <c r="A2" s="197">
        <v>2</v>
      </c>
      <c r="B2" s="197">
        <v>5</v>
      </c>
      <c r="C2" s="197">
        <v>1</v>
      </c>
      <c r="D2" s="197" t="s">
        <v>2374</v>
      </c>
      <c r="E2" s="197" t="s">
        <v>2435</v>
      </c>
      <c r="F2" s="197" t="s">
        <v>2435</v>
      </c>
      <c r="G2" s="197" t="s">
        <v>2435</v>
      </c>
      <c r="H2" s="197" t="s">
        <v>2375</v>
      </c>
      <c r="I2" s="197">
        <v>0</v>
      </c>
      <c r="J2" s="197">
        <v>0</v>
      </c>
      <c r="K2" s="197">
        <v>1</v>
      </c>
      <c r="L2" s="197">
        <v>1</v>
      </c>
      <c r="M2" s="359">
        <v>15</v>
      </c>
      <c r="N2" s="359" t="s">
        <v>414</v>
      </c>
      <c r="O2" s="237" t="s">
        <v>1482</v>
      </c>
      <c r="P2" s="237"/>
      <c r="Q2" s="360" t="s">
        <v>2108</v>
      </c>
      <c r="R2" s="361">
        <v>30594</v>
      </c>
      <c r="S2" s="362" t="s">
        <v>248</v>
      </c>
      <c r="T2" s="363">
        <v>3.5</v>
      </c>
      <c r="U2" s="364" t="s">
        <v>2109</v>
      </c>
      <c r="X2" s="154">
        <v>0.75</v>
      </c>
      <c r="Y2" s="154">
        <f>Y3/2</f>
        <v>9.5</v>
      </c>
      <c r="Z2" s="154">
        <f>Z3/2</f>
        <v>8</v>
      </c>
      <c r="AH2" s="154" t="s">
        <v>2370</v>
      </c>
      <c r="AI2" s="154" t="s">
        <v>2360</v>
      </c>
      <c r="AS2" s="154" t="s">
        <v>2033</v>
      </c>
      <c r="AT2" s="154" t="s">
        <v>2034</v>
      </c>
      <c r="AU2" s="154" t="s">
        <v>2034</v>
      </c>
      <c r="AV2" s="154" t="s">
        <v>2034</v>
      </c>
      <c r="AW2" s="154" t="s">
        <v>2034</v>
      </c>
      <c r="AX2" s="154" t="s">
        <v>2034</v>
      </c>
      <c r="BY2" s="154" t="s">
        <v>2362</v>
      </c>
      <c r="BZ2" s="154" t="s">
        <v>2036</v>
      </c>
      <c r="CA2" s="154" t="s">
        <v>2359</v>
      </c>
      <c r="CB2" s="154" t="s">
        <v>2359</v>
      </c>
    </row>
    <row r="3" spans="1:80" x14ac:dyDescent="0.25">
      <c r="A3" s="197">
        <v>2</v>
      </c>
      <c r="B3" s="197">
        <v>5</v>
      </c>
      <c r="C3" s="197">
        <v>1</v>
      </c>
      <c r="D3" s="197" t="s">
        <v>2376</v>
      </c>
      <c r="E3" s="197" t="s">
        <v>2435</v>
      </c>
      <c r="F3" s="197" t="s">
        <v>2435</v>
      </c>
      <c r="G3" s="197" t="s">
        <v>2435</v>
      </c>
      <c r="H3" s="197" t="s">
        <v>2375</v>
      </c>
      <c r="I3" s="197">
        <v>0</v>
      </c>
      <c r="J3" s="197">
        <v>0</v>
      </c>
      <c r="K3" s="197">
        <v>1</v>
      </c>
      <c r="L3" s="197">
        <v>1</v>
      </c>
      <c r="M3" s="359">
        <v>18</v>
      </c>
      <c r="N3" s="359" t="s">
        <v>417</v>
      </c>
      <c r="O3" s="237" t="s">
        <v>1482</v>
      </c>
      <c r="P3" s="237"/>
      <c r="Q3" s="360" t="s">
        <v>2111</v>
      </c>
      <c r="R3" s="361">
        <v>30661</v>
      </c>
      <c r="S3" s="362" t="s">
        <v>248</v>
      </c>
      <c r="T3" s="363">
        <v>3.5</v>
      </c>
      <c r="U3" s="364" t="s">
        <v>2112</v>
      </c>
      <c r="X3" s="154">
        <v>1.5</v>
      </c>
      <c r="Y3" s="154">
        <v>19</v>
      </c>
      <c r="Z3" s="154">
        <v>16</v>
      </c>
      <c r="AC3" s="263"/>
      <c r="AH3" s="154" t="s">
        <v>2370</v>
      </c>
      <c r="AI3" s="154" t="s">
        <v>2360</v>
      </c>
      <c r="AS3" s="154" t="s">
        <v>2033</v>
      </c>
      <c r="AT3" s="154" t="s">
        <v>2034</v>
      </c>
      <c r="AU3" s="154" t="s">
        <v>2034</v>
      </c>
      <c r="AV3" s="154" t="s">
        <v>2034</v>
      </c>
      <c r="AW3" s="154" t="s">
        <v>2034</v>
      </c>
      <c r="AX3" s="154" t="s">
        <v>2034</v>
      </c>
      <c r="BY3" s="154" t="s">
        <v>2362</v>
      </c>
      <c r="BZ3" s="154" t="s">
        <v>2036</v>
      </c>
      <c r="CA3" s="154" t="s">
        <v>2359</v>
      </c>
      <c r="CB3" s="154" t="s">
        <v>2359</v>
      </c>
    </row>
    <row r="4" spans="1:80" x14ac:dyDescent="0.25">
      <c r="A4" s="197">
        <v>2</v>
      </c>
      <c r="B4" s="197">
        <v>5</v>
      </c>
      <c r="C4" s="197">
        <v>1</v>
      </c>
      <c r="D4" s="197" t="s">
        <v>2377</v>
      </c>
      <c r="E4" s="197" t="s">
        <v>2435</v>
      </c>
      <c r="F4" s="197" t="s">
        <v>2435</v>
      </c>
      <c r="G4" s="197" t="s">
        <v>2435</v>
      </c>
      <c r="H4" s="197" t="s">
        <v>2375</v>
      </c>
      <c r="I4" s="197">
        <v>0</v>
      </c>
      <c r="J4" s="197">
        <v>0</v>
      </c>
      <c r="K4" s="197">
        <v>1</v>
      </c>
      <c r="L4" s="197">
        <v>1</v>
      </c>
      <c r="M4" s="359">
        <v>24</v>
      </c>
      <c r="N4" s="359" t="s">
        <v>420</v>
      </c>
      <c r="O4" s="237" t="s">
        <v>1482</v>
      </c>
      <c r="P4" s="237"/>
      <c r="Q4" s="360" t="s">
        <v>2113</v>
      </c>
      <c r="R4" s="361">
        <v>31491</v>
      </c>
      <c r="S4" s="362" t="s">
        <v>248</v>
      </c>
      <c r="T4" s="363">
        <v>3.5</v>
      </c>
      <c r="U4" s="364" t="s">
        <v>2114</v>
      </c>
      <c r="X4" s="154">
        <v>2.5</v>
      </c>
      <c r="Y4" s="154">
        <v>27</v>
      </c>
      <c r="Z4" s="154">
        <v>25</v>
      </c>
      <c r="AC4" s="263"/>
      <c r="AH4" s="154" t="s">
        <v>2370</v>
      </c>
      <c r="AI4" s="154" t="s">
        <v>2360</v>
      </c>
      <c r="AS4" s="154" t="s">
        <v>2033</v>
      </c>
      <c r="AT4" s="154" t="s">
        <v>2034</v>
      </c>
      <c r="AU4" s="154" t="s">
        <v>2034</v>
      </c>
      <c r="AV4" s="154" t="s">
        <v>2034</v>
      </c>
      <c r="AW4" s="154" t="s">
        <v>2034</v>
      </c>
      <c r="AX4" s="154" t="s">
        <v>2034</v>
      </c>
      <c r="BY4" s="154" t="s">
        <v>2362</v>
      </c>
      <c r="BZ4" s="154" t="s">
        <v>2036</v>
      </c>
      <c r="CA4" s="154" t="s">
        <v>2359</v>
      </c>
      <c r="CB4" s="154" t="s">
        <v>2359</v>
      </c>
    </row>
    <row r="5" spans="1:80" x14ac:dyDescent="0.25">
      <c r="A5" s="197">
        <v>2</v>
      </c>
      <c r="B5" s="197">
        <v>5</v>
      </c>
      <c r="C5" s="197">
        <v>1</v>
      </c>
      <c r="D5" s="197" t="s">
        <v>2378</v>
      </c>
      <c r="E5" s="197" t="s">
        <v>2435</v>
      </c>
      <c r="F5" s="197" t="s">
        <v>2435</v>
      </c>
      <c r="G5" s="197" t="s">
        <v>2435</v>
      </c>
      <c r="H5" s="197" t="s">
        <v>2375</v>
      </c>
      <c r="I5" s="197">
        <v>0</v>
      </c>
      <c r="J5" s="197">
        <v>0</v>
      </c>
      <c r="K5" s="197">
        <v>1</v>
      </c>
      <c r="L5" s="197">
        <v>1</v>
      </c>
      <c r="M5" s="359">
        <v>31</v>
      </c>
      <c r="N5" s="359" t="s">
        <v>423</v>
      </c>
      <c r="O5" s="237" t="s">
        <v>1482</v>
      </c>
      <c r="P5" s="237"/>
      <c r="Q5" s="360" t="s">
        <v>2115</v>
      </c>
      <c r="R5" s="361">
        <v>35207</v>
      </c>
      <c r="S5" s="362" t="s">
        <v>425</v>
      </c>
      <c r="T5" s="363">
        <v>4.8</v>
      </c>
      <c r="U5" s="364" t="s">
        <v>2116</v>
      </c>
      <c r="X5" s="154">
        <v>4</v>
      </c>
      <c r="Y5" s="154">
        <v>38</v>
      </c>
      <c r="Z5" s="154">
        <v>30</v>
      </c>
      <c r="AC5" s="263"/>
      <c r="AH5" s="154" t="s">
        <v>2370</v>
      </c>
      <c r="AI5" s="154" t="s">
        <v>2360</v>
      </c>
      <c r="AS5" s="154" t="s">
        <v>2033</v>
      </c>
      <c r="AT5" s="154" t="s">
        <v>2034</v>
      </c>
      <c r="AU5" s="154" t="s">
        <v>2034</v>
      </c>
      <c r="AV5" s="154" t="s">
        <v>2034</v>
      </c>
      <c r="AW5" s="154" t="s">
        <v>2034</v>
      </c>
      <c r="AX5" s="154" t="s">
        <v>2034</v>
      </c>
      <c r="BY5" s="154" t="s">
        <v>2362</v>
      </c>
      <c r="BZ5" s="154" t="s">
        <v>2036</v>
      </c>
      <c r="CA5" s="154" t="s">
        <v>2359</v>
      </c>
      <c r="CB5" s="154" t="s">
        <v>2359</v>
      </c>
    </row>
    <row r="6" spans="1:80" x14ac:dyDescent="0.25">
      <c r="A6" s="197">
        <v>2</v>
      </c>
      <c r="B6" s="197">
        <v>5</v>
      </c>
      <c r="C6" s="197">
        <v>1</v>
      </c>
      <c r="D6" s="197" t="s">
        <v>2379</v>
      </c>
      <c r="E6" s="197" t="s">
        <v>2435</v>
      </c>
      <c r="F6" s="197" t="s">
        <v>2435</v>
      </c>
      <c r="G6" s="197" t="s">
        <v>2435</v>
      </c>
      <c r="H6" s="197" t="s">
        <v>2375</v>
      </c>
      <c r="I6" s="197">
        <v>0</v>
      </c>
      <c r="J6" s="197">
        <v>0</v>
      </c>
      <c r="K6" s="197">
        <v>1</v>
      </c>
      <c r="L6" s="197">
        <v>1</v>
      </c>
      <c r="M6" s="359">
        <v>38</v>
      </c>
      <c r="N6" s="359" t="s">
        <v>427</v>
      </c>
      <c r="O6" s="237" t="s">
        <v>1482</v>
      </c>
      <c r="P6" s="237"/>
      <c r="Q6" s="360" t="s">
        <v>2117</v>
      </c>
      <c r="R6" s="361">
        <v>37134</v>
      </c>
      <c r="S6" s="362" t="s">
        <v>425</v>
      </c>
      <c r="T6" s="363">
        <v>4.8</v>
      </c>
      <c r="U6" s="364" t="s">
        <v>2118</v>
      </c>
      <c r="X6" s="154">
        <v>6</v>
      </c>
      <c r="Y6" s="154">
        <v>46</v>
      </c>
      <c r="Z6" s="154">
        <v>40</v>
      </c>
      <c r="AC6" s="263"/>
      <c r="AH6" s="154" t="s">
        <v>2370</v>
      </c>
      <c r="AI6" s="154" t="s">
        <v>2360</v>
      </c>
      <c r="AS6" s="154" t="s">
        <v>2033</v>
      </c>
      <c r="AT6" s="154" t="s">
        <v>2034</v>
      </c>
      <c r="AU6" s="154" t="s">
        <v>2034</v>
      </c>
      <c r="AV6" s="154" t="s">
        <v>2034</v>
      </c>
      <c r="AW6" s="154" t="s">
        <v>2034</v>
      </c>
      <c r="AX6" s="154" t="s">
        <v>2034</v>
      </c>
      <c r="BY6" s="154" t="s">
        <v>2362</v>
      </c>
      <c r="BZ6" s="154" t="s">
        <v>2036</v>
      </c>
      <c r="CA6" s="154" t="s">
        <v>2359</v>
      </c>
      <c r="CB6" s="154" t="s">
        <v>2359</v>
      </c>
    </row>
    <row r="7" spans="1:80" x14ac:dyDescent="0.25">
      <c r="A7" s="197">
        <v>2</v>
      </c>
      <c r="B7" s="197">
        <v>5</v>
      </c>
      <c r="C7" s="197">
        <v>1</v>
      </c>
      <c r="D7" s="197" t="s">
        <v>2374</v>
      </c>
      <c r="E7" s="197" t="s">
        <v>2435</v>
      </c>
      <c r="F7" s="197" t="s">
        <v>2435</v>
      </c>
      <c r="G7" s="197" t="s">
        <v>2435</v>
      </c>
      <c r="H7" s="197" t="s">
        <v>2375</v>
      </c>
      <c r="I7" s="197">
        <v>0</v>
      </c>
      <c r="J7" s="197">
        <v>0</v>
      </c>
      <c r="K7" s="197">
        <v>1</v>
      </c>
      <c r="L7" s="197">
        <v>1</v>
      </c>
      <c r="M7" s="359">
        <v>15</v>
      </c>
      <c r="N7" s="359" t="s">
        <v>455</v>
      </c>
      <c r="O7" s="237" t="s">
        <v>1486</v>
      </c>
      <c r="P7" s="237"/>
      <c r="Q7" s="360" t="s">
        <v>2119</v>
      </c>
      <c r="R7" s="361">
        <v>33850</v>
      </c>
      <c r="S7" s="362" t="s">
        <v>248</v>
      </c>
      <c r="T7" s="363">
        <v>3.5</v>
      </c>
      <c r="U7" s="364" t="s">
        <v>2120</v>
      </c>
      <c r="X7" s="154">
        <v>10</v>
      </c>
      <c r="Y7" s="154">
        <v>70</v>
      </c>
      <c r="Z7" s="154">
        <v>50</v>
      </c>
      <c r="AC7" s="263"/>
      <c r="AH7" s="154" t="s">
        <v>2370</v>
      </c>
      <c r="AI7" s="154" t="s">
        <v>2360</v>
      </c>
      <c r="AS7" s="154" t="s">
        <v>2033</v>
      </c>
      <c r="AT7" s="154" t="s">
        <v>2034</v>
      </c>
      <c r="AU7" s="154" t="s">
        <v>2034</v>
      </c>
      <c r="AV7" s="154" t="s">
        <v>2034</v>
      </c>
      <c r="AW7" s="154" t="s">
        <v>2034</v>
      </c>
      <c r="AX7" s="154" t="s">
        <v>2034</v>
      </c>
      <c r="BY7" s="154" t="s">
        <v>2362</v>
      </c>
      <c r="BZ7" s="154" t="s">
        <v>2036</v>
      </c>
      <c r="CA7" s="154" t="s">
        <v>2359</v>
      </c>
      <c r="CB7" s="154" t="s">
        <v>2359</v>
      </c>
    </row>
    <row r="8" spans="1:80" x14ac:dyDescent="0.25">
      <c r="A8" s="197">
        <v>2</v>
      </c>
      <c r="B8" s="197">
        <v>5</v>
      </c>
      <c r="C8" s="197">
        <v>1</v>
      </c>
      <c r="D8" s="197" t="s">
        <v>2376</v>
      </c>
      <c r="E8" s="197" t="s">
        <v>2435</v>
      </c>
      <c r="F8" s="197" t="s">
        <v>2435</v>
      </c>
      <c r="G8" s="197" t="s">
        <v>2435</v>
      </c>
      <c r="H8" s="197" t="s">
        <v>2375</v>
      </c>
      <c r="I8" s="197">
        <v>0</v>
      </c>
      <c r="J8" s="197">
        <v>0</v>
      </c>
      <c r="K8" s="197">
        <v>1</v>
      </c>
      <c r="L8" s="197">
        <v>1</v>
      </c>
      <c r="M8" s="359">
        <v>18</v>
      </c>
      <c r="N8" s="359" t="s">
        <v>458</v>
      </c>
      <c r="O8" s="237" t="s">
        <v>1486</v>
      </c>
      <c r="P8" s="237"/>
      <c r="Q8" s="360" t="s">
        <v>2121</v>
      </c>
      <c r="R8" s="361">
        <v>33895</v>
      </c>
      <c r="S8" s="362" t="s">
        <v>248</v>
      </c>
      <c r="T8" s="363">
        <v>3.5</v>
      </c>
      <c r="U8" s="364" t="s">
        <v>2122</v>
      </c>
      <c r="X8" s="154">
        <v>16</v>
      </c>
      <c r="Y8" s="154">
        <v>85</v>
      </c>
      <c r="Z8" s="154">
        <v>75</v>
      </c>
      <c r="AC8" s="263"/>
      <c r="AH8" s="154" t="s">
        <v>2370</v>
      </c>
      <c r="AI8" s="154" t="s">
        <v>2360</v>
      </c>
      <c r="AS8" s="154" t="s">
        <v>2033</v>
      </c>
      <c r="AT8" s="154" t="s">
        <v>2034</v>
      </c>
      <c r="AU8" s="154" t="s">
        <v>2034</v>
      </c>
      <c r="AV8" s="154" t="s">
        <v>2034</v>
      </c>
      <c r="AW8" s="154" t="s">
        <v>2034</v>
      </c>
      <c r="AX8" s="154" t="s">
        <v>2034</v>
      </c>
      <c r="BY8" s="154" t="s">
        <v>2362</v>
      </c>
      <c r="BZ8" s="154" t="s">
        <v>2036</v>
      </c>
      <c r="CA8" s="154" t="s">
        <v>2359</v>
      </c>
      <c r="CB8" s="154" t="s">
        <v>2359</v>
      </c>
    </row>
    <row r="9" spans="1:80" x14ac:dyDescent="0.25">
      <c r="A9" s="197">
        <v>2</v>
      </c>
      <c r="B9" s="197">
        <v>5</v>
      </c>
      <c r="C9" s="197">
        <v>1</v>
      </c>
      <c r="D9" s="197" t="s">
        <v>2377</v>
      </c>
      <c r="E9" s="197" t="s">
        <v>2435</v>
      </c>
      <c r="F9" s="197" t="s">
        <v>2435</v>
      </c>
      <c r="G9" s="197" t="s">
        <v>2435</v>
      </c>
      <c r="H9" s="197" t="s">
        <v>2375</v>
      </c>
      <c r="I9" s="197">
        <v>0</v>
      </c>
      <c r="J9" s="197">
        <v>0</v>
      </c>
      <c r="K9" s="197">
        <v>1</v>
      </c>
      <c r="L9" s="197">
        <v>1</v>
      </c>
      <c r="M9" s="359">
        <v>24</v>
      </c>
      <c r="N9" s="359" t="s">
        <v>460</v>
      </c>
      <c r="O9" s="237" t="s">
        <v>1486</v>
      </c>
      <c r="P9" s="237"/>
      <c r="Q9" s="360" t="s">
        <v>2123</v>
      </c>
      <c r="R9" s="361">
        <v>34778</v>
      </c>
      <c r="S9" s="362" t="s">
        <v>248</v>
      </c>
      <c r="T9" s="363">
        <v>3.5</v>
      </c>
      <c r="U9" s="364" t="s">
        <v>2124</v>
      </c>
      <c r="X9" s="154">
        <v>25</v>
      </c>
      <c r="Y9" s="154">
        <v>115</v>
      </c>
      <c r="Z9" s="154">
        <v>90</v>
      </c>
      <c r="AC9" s="263"/>
      <c r="AH9" s="154" t="s">
        <v>2370</v>
      </c>
      <c r="AI9" s="154" t="s">
        <v>2360</v>
      </c>
      <c r="AS9" s="154" t="s">
        <v>2033</v>
      </c>
      <c r="AT9" s="154" t="s">
        <v>2034</v>
      </c>
      <c r="AU9" s="154" t="s">
        <v>2034</v>
      </c>
      <c r="AV9" s="154" t="s">
        <v>2034</v>
      </c>
      <c r="AW9" s="154" t="s">
        <v>2034</v>
      </c>
      <c r="AX9" s="154" t="s">
        <v>2034</v>
      </c>
      <c r="BY9" s="154" t="s">
        <v>2362</v>
      </c>
      <c r="BZ9" s="154" t="s">
        <v>2036</v>
      </c>
      <c r="CA9" s="154" t="s">
        <v>2359</v>
      </c>
      <c r="CB9" s="154" t="s">
        <v>2359</v>
      </c>
    </row>
    <row r="10" spans="1:80" x14ac:dyDescent="0.25">
      <c r="A10" s="197">
        <v>2</v>
      </c>
      <c r="B10" s="197">
        <v>5</v>
      </c>
      <c r="C10" s="197">
        <v>1</v>
      </c>
      <c r="D10" s="197" t="s">
        <v>2378</v>
      </c>
      <c r="E10" s="197" t="s">
        <v>2435</v>
      </c>
      <c r="F10" s="197" t="s">
        <v>2435</v>
      </c>
      <c r="G10" s="197" t="s">
        <v>2435</v>
      </c>
      <c r="H10" s="197" t="s">
        <v>2375</v>
      </c>
      <c r="I10" s="197">
        <v>0</v>
      </c>
      <c r="J10" s="197">
        <v>0</v>
      </c>
      <c r="K10" s="197">
        <v>1</v>
      </c>
      <c r="L10" s="197">
        <v>1</v>
      </c>
      <c r="M10" s="359">
        <v>31</v>
      </c>
      <c r="N10" s="359" t="s">
        <v>462</v>
      </c>
      <c r="O10" s="237" t="s">
        <v>1486</v>
      </c>
      <c r="P10" s="237"/>
      <c r="Q10" s="360" t="s">
        <v>2125</v>
      </c>
      <c r="R10" s="361">
        <v>38546</v>
      </c>
      <c r="S10" s="362" t="s">
        <v>425</v>
      </c>
      <c r="T10" s="363">
        <v>4.8</v>
      </c>
      <c r="U10" s="364" t="s">
        <v>2126</v>
      </c>
      <c r="X10" s="154">
        <v>35</v>
      </c>
      <c r="Y10" s="154">
        <v>135</v>
      </c>
      <c r="Z10" s="154">
        <v>115</v>
      </c>
      <c r="AC10" s="263"/>
      <c r="AH10" s="154" t="s">
        <v>2370</v>
      </c>
      <c r="AI10" s="154" t="s">
        <v>2360</v>
      </c>
      <c r="AS10" s="154" t="s">
        <v>2033</v>
      </c>
      <c r="AT10" s="154" t="s">
        <v>2034</v>
      </c>
      <c r="AU10" s="154" t="s">
        <v>2034</v>
      </c>
      <c r="AV10" s="154" t="s">
        <v>2034</v>
      </c>
      <c r="AW10" s="154" t="s">
        <v>2034</v>
      </c>
      <c r="AX10" s="154" t="s">
        <v>2034</v>
      </c>
      <c r="BY10" s="154" t="s">
        <v>2362</v>
      </c>
      <c r="BZ10" s="154" t="s">
        <v>2036</v>
      </c>
      <c r="CA10" s="154" t="s">
        <v>2359</v>
      </c>
      <c r="CB10" s="154" t="s">
        <v>2359</v>
      </c>
    </row>
    <row r="11" spans="1:80" x14ac:dyDescent="0.25">
      <c r="A11" s="197">
        <v>2</v>
      </c>
      <c r="B11" s="197">
        <v>5</v>
      </c>
      <c r="C11" s="197">
        <v>1</v>
      </c>
      <c r="D11" s="197" t="s">
        <v>2379</v>
      </c>
      <c r="E11" s="197" t="s">
        <v>2435</v>
      </c>
      <c r="F11" s="197" t="s">
        <v>2435</v>
      </c>
      <c r="G11" s="197" t="s">
        <v>2435</v>
      </c>
      <c r="H11" s="197" t="s">
        <v>2375</v>
      </c>
      <c r="I11" s="197">
        <v>0</v>
      </c>
      <c r="J11" s="197">
        <v>0</v>
      </c>
      <c r="K11" s="197">
        <v>1</v>
      </c>
      <c r="L11" s="197">
        <v>1</v>
      </c>
      <c r="M11" s="359">
        <v>38</v>
      </c>
      <c r="N11" s="359" t="s">
        <v>464</v>
      </c>
      <c r="O11" s="237" t="s">
        <v>1486</v>
      </c>
      <c r="P11" s="237"/>
      <c r="Q11" s="360" t="s">
        <v>2127</v>
      </c>
      <c r="R11" s="361">
        <v>40532</v>
      </c>
      <c r="S11" s="362" t="s">
        <v>425</v>
      </c>
      <c r="T11" s="363">
        <v>4.8</v>
      </c>
      <c r="U11" s="364" t="s">
        <v>2128</v>
      </c>
      <c r="X11" s="154">
        <v>50</v>
      </c>
      <c r="Y11" s="154">
        <v>175</v>
      </c>
      <c r="Z11" s="154">
        <v>145</v>
      </c>
      <c r="AH11" s="154" t="s">
        <v>2370</v>
      </c>
      <c r="AI11" s="154" t="s">
        <v>2360</v>
      </c>
      <c r="AS11" s="154" t="s">
        <v>2033</v>
      </c>
      <c r="AT11" s="154" t="s">
        <v>2034</v>
      </c>
      <c r="AU11" s="154" t="s">
        <v>2034</v>
      </c>
      <c r="AV11" s="154" t="s">
        <v>2034</v>
      </c>
      <c r="AW11" s="154" t="s">
        <v>2034</v>
      </c>
      <c r="AX11" s="154" t="s">
        <v>2034</v>
      </c>
      <c r="BY11" s="154" t="s">
        <v>2362</v>
      </c>
      <c r="BZ11" s="154" t="s">
        <v>2036</v>
      </c>
      <c r="CA11" s="154" t="s">
        <v>2359</v>
      </c>
      <c r="CB11" s="154" t="s">
        <v>2359</v>
      </c>
    </row>
    <row r="12" spans="1:80" x14ac:dyDescent="0.25">
      <c r="A12" s="365">
        <v>1</v>
      </c>
      <c r="B12" s="365">
        <v>5</v>
      </c>
      <c r="C12" s="365">
        <v>1</v>
      </c>
      <c r="D12" s="365" t="s">
        <v>2374</v>
      </c>
      <c r="E12" s="365" t="s">
        <v>2435</v>
      </c>
      <c r="F12" s="365" t="s">
        <v>2378</v>
      </c>
      <c r="G12" s="365" t="s">
        <v>2435</v>
      </c>
      <c r="H12" s="365" t="s">
        <v>2435</v>
      </c>
      <c r="I12" s="365">
        <v>0</v>
      </c>
      <c r="J12" s="365">
        <v>1</v>
      </c>
      <c r="K12" s="365">
        <v>0</v>
      </c>
      <c r="L12" s="365">
        <v>1</v>
      </c>
      <c r="M12" s="366">
        <v>34</v>
      </c>
      <c r="N12" s="359" t="s">
        <v>490</v>
      </c>
      <c r="O12" s="237" t="s">
        <v>1482</v>
      </c>
      <c r="P12" s="237"/>
      <c r="Q12" s="360" t="s">
        <v>2129</v>
      </c>
      <c r="R12" s="361">
        <v>28751</v>
      </c>
      <c r="S12" s="362" t="s">
        <v>248</v>
      </c>
      <c r="T12" s="363">
        <v>4.0999999999999996</v>
      </c>
      <c r="U12" s="364" t="s">
        <v>2130</v>
      </c>
      <c r="X12" s="154">
        <v>70</v>
      </c>
      <c r="Y12" s="154">
        <v>215</v>
      </c>
      <c r="Z12" s="154">
        <v>180</v>
      </c>
      <c r="AH12" s="154" t="s">
        <v>2371</v>
      </c>
      <c r="AI12" s="154" t="s">
        <v>2370</v>
      </c>
      <c r="AS12" s="154" t="s">
        <v>2033</v>
      </c>
      <c r="AT12" s="154" t="s">
        <v>2034</v>
      </c>
      <c r="AU12" s="154" t="s">
        <v>2034</v>
      </c>
      <c r="AV12" s="154" t="s">
        <v>2034</v>
      </c>
      <c r="AW12" s="154" t="s">
        <v>2034</v>
      </c>
      <c r="AX12" s="154" t="s">
        <v>2034</v>
      </c>
      <c r="BY12" s="154" t="s">
        <v>2372</v>
      </c>
      <c r="BZ12" s="154" t="s">
        <v>2036</v>
      </c>
      <c r="CA12" s="154" t="s">
        <v>2359</v>
      </c>
    </row>
    <row r="13" spans="1:80" x14ac:dyDescent="0.25">
      <c r="A13" s="365">
        <v>1</v>
      </c>
      <c r="B13" s="365">
        <v>5</v>
      </c>
      <c r="C13" s="365">
        <v>1</v>
      </c>
      <c r="D13" s="365" t="s">
        <v>2374</v>
      </c>
      <c r="E13" s="365" t="s">
        <v>2435</v>
      </c>
      <c r="F13" s="365" t="s">
        <v>2380</v>
      </c>
      <c r="G13" s="365" t="s">
        <v>2435</v>
      </c>
      <c r="H13" s="365" t="s">
        <v>2435</v>
      </c>
      <c r="I13" s="365">
        <v>0</v>
      </c>
      <c r="J13" s="365">
        <v>1</v>
      </c>
      <c r="K13" s="365">
        <v>0</v>
      </c>
      <c r="L13" s="365">
        <v>1</v>
      </c>
      <c r="M13" s="366">
        <v>49</v>
      </c>
      <c r="N13" s="359" t="s">
        <v>493</v>
      </c>
      <c r="O13" s="237" t="s">
        <v>1482</v>
      </c>
      <c r="P13" s="237"/>
      <c r="Q13" s="360" t="s">
        <v>2131</v>
      </c>
      <c r="R13" s="361">
        <v>31182</v>
      </c>
      <c r="S13" s="362" t="s">
        <v>248</v>
      </c>
      <c r="T13" s="363">
        <v>4.0999999999999996</v>
      </c>
      <c r="U13" s="364" t="s">
        <v>2132</v>
      </c>
      <c r="X13" s="154">
        <v>95</v>
      </c>
      <c r="Y13" s="154">
        <v>260</v>
      </c>
      <c r="Z13" s="154">
        <v>220</v>
      </c>
      <c r="AH13" s="154" t="s">
        <v>2371</v>
      </c>
      <c r="AI13" s="154" t="s">
        <v>2370</v>
      </c>
      <c r="AS13" s="154" t="s">
        <v>2033</v>
      </c>
      <c r="AT13" s="154" t="s">
        <v>2034</v>
      </c>
      <c r="AU13" s="154" t="s">
        <v>2034</v>
      </c>
      <c r="AV13" s="154" t="s">
        <v>2034</v>
      </c>
      <c r="AW13" s="154" t="s">
        <v>2034</v>
      </c>
      <c r="AX13" s="154" t="s">
        <v>2034</v>
      </c>
      <c r="BY13" s="154" t="s">
        <v>2372</v>
      </c>
      <c r="BZ13" s="154" t="s">
        <v>2036</v>
      </c>
      <c r="CA13" s="154" t="s">
        <v>2359</v>
      </c>
    </row>
    <row r="14" spans="1:80" x14ac:dyDescent="0.25">
      <c r="A14" s="365">
        <v>1</v>
      </c>
      <c r="B14" s="365">
        <v>5</v>
      </c>
      <c r="C14" s="365">
        <v>1</v>
      </c>
      <c r="D14" s="365" t="s">
        <v>2381</v>
      </c>
      <c r="E14" s="197" t="s">
        <v>2374</v>
      </c>
      <c r="F14" s="365" t="s">
        <v>2435</v>
      </c>
      <c r="G14" s="365" t="s">
        <v>2435</v>
      </c>
      <c r="H14" s="365" t="s">
        <v>2435</v>
      </c>
      <c r="I14" s="365">
        <v>0</v>
      </c>
      <c r="J14" s="365">
        <v>1</v>
      </c>
      <c r="K14" s="365">
        <v>0</v>
      </c>
      <c r="L14" s="365">
        <v>0</v>
      </c>
      <c r="M14" s="366">
        <v>45</v>
      </c>
      <c r="N14" s="359" t="s">
        <v>496</v>
      </c>
      <c r="O14" s="237" t="s">
        <v>1482</v>
      </c>
      <c r="P14" s="237"/>
      <c r="Q14" s="360" t="s">
        <v>2133</v>
      </c>
      <c r="R14" s="361">
        <v>34791</v>
      </c>
      <c r="S14" s="362" t="s">
        <v>498</v>
      </c>
      <c r="T14" s="363">
        <v>5.6</v>
      </c>
      <c r="U14" s="364" t="s">
        <v>2134</v>
      </c>
      <c r="X14" s="154">
        <v>120</v>
      </c>
      <c r="Y14" s="154">
        <v>300</v>
      </c>
      <c r="Z14" s="154">
        <v>260</v>
      </c>
      <c r="AH14" s="154" t="s">
        <v>2370</v>
      </c>
      <c r="AI14" s="154" t="s">
        <v>2370</v>
      </c>
      <c r="AJ14" s="154" t="s">
        <v>2373</v>
      </c>
      <c r="AS14" s="154" t="s">
        <v>2033</v>
      </c>
      <c r="AT14" s="154" t="s">
        <v>2034</v>
      </c>
      <c r="AU14" s="154" t="s">
        <v>2034</v>
      </c>
      <c r="AV14" s="154" t="s">
        <v>2034</v>
      </c>
      <c r="AW14" s="154" t="s">
        <v>2034</v>
      </c>
      <c r="AX14" s="154" t="s">
        <v>2034</v>
      </c>
      <c r="BY14" s="154" t="s">
        <v>2372</v>
      </c>
      <c r="BZ14" s="154" t="s">
        <v>2359</v>
      </c>
    </row>
    <row r="15" spans="1:80" x14ac:dyDescent="0.25">
      <c r="A15" s="365">
        <v>1</v>
      </c>
      <c r="B15" s="365">
        <v>5</v>
      </c>
      <c r="C15" s="365">
        <v>1</v>
      </c>
      <c r="D15" s="365" t="s">
        <v>2382</v>
      </c>
      <c r="E15" s="197" t="s">
        <v>2374</v>
      </c>
      <c r="F15" s="365" t="s">
        <v>2435</v>
      </c>
      <c r="G15" s="365" t="s">
        <v>2435</v>
      </c>
      <c r="H15" s="365" t="s">
        <v>2435</v>
      </c>
      <c r="I15" s="365">
        <v>0</v>
      </c>
      <c r="J15" s="365">
        <v>1</v>
      </c>
      <c r="K15" s="365">
        <v>0</v>
      </c>
      <c r="L15" s="365">
        <v>0</v>
      </c>
      <c r="M15" s="366">
        <v>73</v>
      </c>
      <c r="N15" s="359" t="s">
        <v>500</v>
      </c>
      <c r="O15" s="237" t="s">
        <v>1482</v>
      </c>
      <c r="P15" s="237"/>
      <c r="Q15" s="360" t="s">
        <v>2135</v>
      </c>
      <c r="R15" s="361">
        <v>39714</v>
      </c>
      <c r="S15" s="362" t="s">
        <v>498</v>
      </c>
      <c r="T15" s="363">
        <v>5.8</v>
      </c>
      <c r="U15" s="364" t="s">
        <v>2136</v>
      </c>
      <c r="AH15" s="154" t="s">
        <v>2370</v>
      </c>
      <c r="AI15" s="154" t="s">
        <v>2370</v>
      </c>
      <c r="AJ15" s="154" t="s">
        <v>2373</v>
      </c>
      <c r="AS15" s="154" t="s">
        <v>2033</v>
      </c>
      <c r="AT15" s="154" t="s">
        <v>2034</v>
      </c>
      <c r="AU15" s="154" t="s">
        <v>2034</v>
      </c>
      <c r="AV15" s="154" t="s">
        <v>2034</v>
      </c>
      <c r="AW15" s="154" t="s">
        <v>2034</v>
      </c>
      <c r="AX15" s="154" t="s">
        <v>2034</v>
      </c>
      <c r="BY15" s="154" t="s">
        <v>2372</v>
      </c>
      <c r="BZ15" s="154" t="s">
        <v>2359</v>
      </c>
    </row>
    <row r="16" spans="1:80" x14ac:dyDescent="0.25">
      <c r="A16" s="365">
        <v>1</v>
      </c>
      <c r="B16" s="365">
        <v>5</v>
      </c>
      <c r="C16" s="365">
        <v>1</v>
      </c>
      <c r="D16" s="365" t="s">
        <v>2374</v>
      </c>
      <c r="E16" s="365" t="s">
        <v>2435</v>
      </c>
      <c r="F16" s="365" t="s">
        <v>2378</v>
      </c>
      <c r="G16" s="365" t="s">
        <v>2435</v>
      </c>
      <c r="H16" s="365" t="s">
        <v>2435</v>
      </c>
      <c r="I16" s="365">
        <v>0</v>
      </c>
      <c r="J16" s="365">
        <v>1</v>
      </c>
      <c r="K16" s="365">
        <v>0</v>
      </c>
      <c r="L16" s="365">
        <v>1</v>
      </c>
      <c r="M16" s="366">
        <v>34</v>
      </c>
      <c r="N16" s="359" t="s">
        <v>673</v>
      </c>
      <c r="O16" s="237" t="s">
        <v>1486</v>
      </c>
      <c r="P16" s="237"/>
      <c r="Q16" s="360" t="s">
        <v>2137</v>
      </c>
      <c r="R16" s="361">
        <v>33774</v>
      </c>
      <c r="S16" s="362" t="s">
        <v>248</v>
      </c>
      <c r="T16" s="363">
        <v>4.0999999999999996</v>
      </c>
      <c r="U16" s="364" t="s">
        <v>2138</v>
      </c>
      <c r="AH16" s="154" t="s">
        <v>2371</v>
      </c>
      <c r="AI16" s="154" t="s">
        <v>2370</v>
      </c>
      <c r="AS16" s="154" t="s">
        <v>2033</v>
      </c>
      <c r="AT16" s="154" t="s">
        <v>2034</v>
      </c>
      <c r="AU16" s="154" t="s">
        <v>2034</v>
      </c>
      <c r="AV16" s="154" t="s">
        <v>2034</v>
      </c>
      <c r="AW16" s="154" t="s">
        <v>2034</v>
      </c>
      <c r="AX16" s="154" t="s">
        <v>2034</v>
      </c>
      <c r="BY16" s="154" t="s">
        <v>2372</v>
      </c>
      <c r="BZ16" s="154" t="s">
        <v>2036</v>
      </c>
      <c r="CA16" s="154" t="s">
        <v>2359</v>
      </c>
    </row>
    <row r="17" spans="1:88 1090:1369" x14ac:dyDescent="0.25">
      <c r="A17" s="365">
        <v>1</v>
      </c>
      <c r="B17" s="365">
        <v>5</v>
      </c>
      <c r="C17" s="365">
        <v>1</v>
      </c>
      <c r="D17" s="365" t="s">
        <v>2374</v>
      </c>
      <c r="E17" s="365" t="s">
        <v>2435</v>
      </c>
      <c r="F17" s="365" t="s">
        <v>2380</v>
      </c>
      <c r="G17" s="365" t="s">
        <v>2435</v>
      </c>
      <c r="H17" s="365" t="s">
        <v>2435</v>
      </c>
      <c r="I17" s="365">
        <v>0</v>
      </c>
      <c r="J17" s="365">
        <v>1</v>
      </c>
      <c r="K17" s="365">
        <v>0</v>
      </c>
      <c r="L17" s="365">
        <v>1</v>
      </c>
      <c r="M17" s="366">
        <v>49</v>
      </c>
      <c r="N17" s="359" t="s">
        <v>675</v>
      </c>
      <c r="O17" s="237" t="s">
        <v>1486</v>
      </c>
      <c r="P17" s="237"/>
      <c r="Q17" s="360" t="s">
        <v>2139</v>
      </c>
      <c r="R17" s="361">
        <v>35937</v>
      </c>
      <c r="S17" s="362" t="s">
        <v>248</v>
      </c>
      <c r="T17" s="363">
        <v>4.2</v>
      </c>
      <c r="U17" s="364" t="s">
        <v>2140</v>
      </c>
      <c r="AH17" s="154" t="s">
        <v>2371</v>
      </c>
      <c r="AI17" s="154" t="s">
        <v>2370</v>
      </c>
      <c r="AS17" s="154" t="s">
        <v>2033</v>
      </c>
      <c r="AT17" s="154" t="s">
        <v>2034</v>
      </c>
      <c r="AU17" s="154" t="s">
        <v>2034</v>
      </c>
      <c r="AV17" s="154" t="s">
        <v>2034</v>
      </c>
      <c r="AW17" s="154" t="s">
        <v>2034</v>
      </c>
      <c r="AX17" s="154" t="s">
        <v>2034</v>
      </c>
      <c r="BY17" s="154" t="s">
        <v>2372</v>
      </c>
      <c r="BZ17" s="154" t="s">
        <v>2036</v>
      </c>
      <c r="CA17" s="154" t="s">
        <v>2359</v>
      </c>
    </row>
    <row r="18" spans="1:88 1090:1369" x14ac:dyDescent="0.25">
      <c r="A18" s="365">
        <v>1</v>
      </c>
      <c r="B18" s="365">
        <v>5</v>
      </c>
      <c r="C18" s="365">
        <v>1</v>
      </c>
      <c r="D18" s="365" t="s">
        <v>2381</v>
      </c>
      <c r="E18" s="197" t="s">
        <v>2374</v>
      </c>
      <c r="F18" s="365" t="s">
        <v>2435</v>
      </c>
      <c r="G18" s="365" t="s">
        <v>2435</v>
      </c>
      <c r="H18" s="365" t="s">
        <v>2435</v>
      </c>
      <c r="I18" s="365">
        <v>0</v>
      </c>
      <c r="J18" s="365">
        <v>1</v>
      </c>
      <c r="K18" s="365">
        <v>0</v>
      </c>
      <c r="L18" s="365">
        <v>0</v>
      </c>
      <c r="M18" s="366">
        <v>45</v>
      </c>
      <c r="N18" s="359" t="s">
        <v>677</v>
      </c>
      <c r="O18" s="237" t="s">
        <v>1486</v>
      </c>
      <c r="P18" s="237"/>
      <c r="Q18" s="360" t="s">
        <v>2141</v>
      </c>
      <c r="R18" s="361">
        <v>41499</v>
      </c>
      <c r="S18" s="362" t="s">
        <v>498</v>
      </c>
      <c r="T18" s="363">
        <v>5.6</v>
      </c>
      <c r="U18" s="364" t="s">
        <v>2142</v>
      </c>
      <c r="AH18" s="154" t="s">
        <v>2370</v>
      </c>
      <c r="AI18" s="154" t="s">
        <v>2370</v>
      </c>
      <c r="AJ18" s="154" t="s">
        <v>2373</v>
      </c>
      <c r="AS18" s="154" t="s">
        <v>2033</v>
      </c>
      <c r="AT18" s="154" t="s">
        <v>2034</v>
      </c>
      <c r="AU18" s="154" t="s">
        <v>2034</v>
      </c>
      <c r="AV18" s="154" t="s">
        <v>2034</v>
      </c>
      <c r="AW18" s="154" t="s">
        <v>2034</v>
      </c>
      <c r="AX18" s="154" t="s">
        <v>2034</v>
      </c>
      <c r="BY18" s="154" t="s">
        <v>2372</v>
      </c>
      <c r="BZ18" s="154" t="s">
        <v>2359</v>
      </c>
    </row>
    <row r="19" spans="1:88 1090:1369" x14ac:dyDescent="0.25">
      <c r="A19" s="365">
        <v>1</v>
      </c>
      <c r="B19" s="365">
        <v>5</v>
      </c>
      <c r="C19" s="365">
        <v>1</v>
      </c>
      <c r="D19" s="365" t="s">
        <v>2382</v>
      </c>
      <c r="E19" s="197" t="s">
        <v>2374</v>
      </c>
      <c r="F19" s="365" t="s">
        <v>2435</v>
      </c>
      <c r="G19" s="365" t="s">
        <v>2435</v>
      </c>
      <c r="H19" s="365" t="s">
        <v>2435</v>
      </c>
      <c r="I19" s="365">
        <v>0</v>
      </c>
      <c r="J19" s="365">
        <v>1</v>
      </c>
      <c r="K19" s="365">
        <v>0</v>
      </c>
      <c r="L19" s="365">
        <v>0</v>
      </c>
      <c r="M19" s="366">
        <v>73</v>
      </c>
      <c r="N19" s="359" t="s">
        <v>679</v>
      </c>
      <c r="O19" s="237" t="s">
        <v>1486</v>
      </c>
      <c r="P19" s="237"/>
      <c r="Q19" s="360" t="s">
        <v>2143</v>
      </c>
      <c r="R19" s="361">
        <v>45722</v>
      </c>
      <c r="S19" s="362" t="s">
        <v>498</v>
      </c>
      <c r="T19" s="363">
        <v>5.8</v>
      </c>
      <c r="U19" s="364" t="s">
        <v>2144</v>
      </c>
      <c r="AH19" s="154" t="s">
        <v>2370</v>
      </c>
      <c r="AI19" s="154" t="s">
        <v>2370</v>
      </c>
      <c r="AJ19" s="154" t="s">
        <v>2373</v>
      </c>
      <c r="AS19" s="154" t="s">
        <v>2033</v>
      </c>
      <c r="AT19" s="154" t="s">
        <v>2034</v>
      </c>
      <c r="AU19" s="154" t="s">
        <v>2034</v>
      </c>
      <c r="AV19" s="154" t="s">
        <v>2034</v>
      </c>
      <c r="AW19" s="154" t="s">
        <v>2034</v>
      </c>
      <c r="AX19" s="154" t="s">
        <v>2034</v>
      </c>
      <c r="BY19" s="154" t="s">
        <v>2372</v>
      </c>
      <c r="BZ19" s="154" t="s">
        <v>2359</v>
      </c>
    </row>
    <row r="20" spans="1:88 1090:1369" x14ac:dyDescent="0.25">
      <c r="A20" s="365">
        <v>3</v>
      </c>
      <c r="B20" s="365">
        <v>5</v>
      </c>
      <c r="C20" s="365">
        <v>1</v>
      </c>
      <c r="D20" s="365" t="s">
        <v>2374</v>
      </c>
      <c r="E20" s="365" t="s">
        <v>2435</v>
      </c>
      <c r="F20" s="365" t="s">
        <v>2435</v>
      </c>
      <c r="G20" s="365" t="s">
        <v>2383</v>
      </c>
      <c r="H20" s="365" t="s">
        <v>2435</v>
      </c>
      <c r="I20" s="365">
        <v>0</v>
      </c>
      <c r="J20" s="365">
        <v>1</v>
      </c>
      <c r="K20" s="365">
        <v>0</v>
      </c>
      <c r="L20" s="365">
        <v>2</v>
      </c>
      <c r="M20" s="366">
        <v>41</v>
      </c>
      <c r="N20" s="359" t="s">
        <v>719</v>
      </c>
      <c r="O20" s="237" t="s">
        <v>1482</v>
      </c>
      <c r="P20" s="237"/>
      <c r="Q20" s="360" t="s">
        <v>2145</v>
      </c>
      <c r="R20" s="361">
        <v>39039</v>
      </c>
      <c r="S20" s="368" t="s">
        <v>498</v>
      </c>
      <c r="T20" s="363">
        <v>6.3</v>
      </c>
      <c r="U20" s="364" t="s">
        <v>2146</v>
      </c>
      <c r="AH20" s="154" t="s">
        <v>2037</v>
      </c>
      <c r="AI20" s="154" t="s">
        <v>2037</v>
      </c>
      <c r="AJ20" s="154" t="s">
        <v>2370</v>
      </c>
      <c r="AK20" s="154" t="s">
        <v>2037</v>
      </c>
      <c r="AL20" s="154" t="s">
        <v>2370</v>
      </c>
      <c r="AS20" s="154" t="s">
        <v>2033</v>
      </c>
      <c r="AT20" s="154" t="s">
        <v>2034</v>
      </c>
      <c r="AU20" s="154" t="s">
        <v>2034</v>
      </c>
      <c r="AV20" s="154" t="s">
        <v>2034</v>
      </c>
      <c r="AW20" s="154" t="s">
        <v>2034</v>
      </c>
      <c r="AX20" s="154" t="s">
        <v>2034</v>
      </c>
      <c r="AY20" s="154" t="s">
        <v>2033</v>
      </c>
      <c r="AZ20" s="154" t="s">
        <v>2033</v>
      </c>
      <c r="BA20" s="154" t="s">
        <v>2034</v>
      </c>
      <c r="BB20" s="154" t="s">
        <v>2034</v>
      </c>
      <c r="BC20" s="154" t="s">
        <v>2034</v>
      </c>
      <c r="BD20" s="154" t="s">
        <v>2034</v>
      </c>
      <c r="BE20" s="154" t="s">
        <v>2034</v>
      </c>
      <c r="BF20" s="154" t="s">
        <v>2034</v>
      </c>
      <c r="BG20" s="154" t="s">
        <v>2034</v>
      </c>
      <c r="BH20" s="154" t="s">
        <v>2034</v>
      </c>
      <c r="BI20" s="154" t="s">
        <v>2034</v>
      </c>
      <c r="BJ20" s="154" t="s">
        <v>2034</v>
      </c>
      <c r="BK20" s="154" t="s">
        <v>2034</v>
      </c>
      <c r="BY20" s="154" t="s">
        <v>2372</v>
      </c>
      <c r="BZ20" s="154" t="s">
        <v>2036</v>
      </c>
      <c r="CA20" s="154" t="s">
        <v>2036</v>
      </c>
      <c r="CB20" s="154" t="s">
        <v>2359</v>
      </c>
      <c r="CC20" s="154" t="s">
        <v>2359</v>
      </c>
      <c r="CD20" s="154" t="s">
        <v>2359</v>
      </c>
      <c r="CE20" s="154" t="s">
        <v>2359</v>
      </c>
      <c r="CF20" s="154" t="s">
        <v>2359</v>
      </c>
      <c r="CG20" s="154" t="s">
        <v>2359</v>
      </c>
      <c r="AOX20" s="154" t="s">
        <v>2361</v>
      </c>
      <c r="AOY20" s="154" t="s">
        <v>2361</v>
      </c>
      <c r="AOZ20" s="154" t="s">
        <v>2361</v>
      </c>
      <c r="APA20" s="154" t="s">
        <v>2361</v>
      </c>
      <c r="APB20" s="154" t="s">
        <v>2361</v>
      </c>
      <c r="APC20" s="154" t="s">
        <v>2372</v>
      </c>
      <c r="APD20" s="154" t="s">
        <v>2372</v>
      </c>
      <c r="APE20" s="154" t="s">
        <v>2372</v>
      </c>
      <c r="APF20" s="154" t="s">
        <v>2372</v>
      </c>
      <c r="APG20" s="154" t="s">
        <v>2372</v>
      </c>
      <c r="APH20" s="154" t="s">
        <v>2362</v>
      </c>
      <c r="API20" s="154" t="s">
        <v>2362</v>
      </c>
      <c r="APJ20" s="154" t="s">
        <v>2362</v>
      </c>
      <c r="APK20" s="154" t="s">
        <v>2362</v>
      </c>
      <c r="APL20" s="154" t="s">
        <v>2362</v>
      </c>
      <c r="APM20" s="154" t="s">
        <v>2036</v>
      </c>
      <c r="APN20" s="154" t="s">
        <v>2036</v>
      </c>
      <c r="APO20" s="154" t="s">
        <v>2036</v>
      </c>
      <c r="APP20" s="154" t="s">
        <v>2036</v>
      </c>
      <c r="APQ20" s="154" t="s">
        <v>2036</v>
      </c>
    </row>
    <row r="21" spans="1:88 1090:1369" x14ac:dyDescent="0.25">
      <c r="A21" s="365">
        <v>3</v>
      </c>
      <c r="B21" s="365">
        <v>5</v>
      </c>
      <c r="C21" s="365">
        <v>1</v>
      </c>
      <c r="D21" s="365" t="s">
        <v>2374</v>
      </c>
      <c r="E21" s="365" t="s">
        <v>2435</v>
      </c>
      <c r="F21" s="365" t="s">
        <v>2435</v>
      </c>
      <c r="G21" s="365" t="s">
        <v>2384</v>
      </c>
      <c r="H21" s="365" t="s">
        <v>2435</v>
      </c>
      <c r="I21" s="365">
        <v>0</v>
      </c>
      <c r="J21" s="365">
        <v>1</v>
      </c>
      <c r="K21" s="365">
        <v>0</v>
      </c>
      <c r="L21" s="365">
        <v>2</v>
      </c>
      <c r="M21" s="366">
        <v>49</v>
      </c>
      <c r="N21" s="359" t="s">
        <v>722</v>
      </c>
      <c r="O21" s="237" t="s">
        <v>1482</v>
      </c>
      <c r="P21" s="237"/>
      <c r="Q21" s="360" t="s">
        <v>2147</v>
      </c>
      <c r="R21" s="361">
        <v>40662</v>
      </c>
      <c r="S21" s="368" t="s">
        <v>498</v>
      </c>
      <c r="T21" s="363">
        <v>6.3</v>
      </c>
      <c r="U21" s="364" t="s">
        <v>2148</v>
      </c>
      <c r="AH21" s="154" t="s">
        <v>2037</v>
      </c>
      <c r="AI21" s="154" t="s">
        <v>2037</v>
      </c>
      <c r="AJ21" s="154" t="s">
        <v>2370</v>
      </c>
      <c r="AK21" s="154" t="s">
        <v>2037</v>
      </c>
      <c r="AL21" s="154" t="s">
        <v>2370</v>
      </c>
      <c r="AS21" s="154" t="s">
        <v>2033</v>
      </c>
      <c r="AT21" s="154" t="s">
        <v>2034</v>
      </c>
      <c r="AU21" s="154" t="s">
        <v>2034</v>
      </c>
      <c r="AV21" s="154" t="s">
        <v>2034</v>
      </c>
      <c r="AW21" s="154" t="s">
        <v>2034</v>
      </c>
      <c r="AX21" s="154" t="s">
        <v>2034</v>
      </c>
      <c r="AY21" s="154" t="s">
        <v>2033</v>
      </c>
      <c r="AZ21" s="154" t="s">
        <v>2033</v>
      </c>
      <c r="BA21" s="154" t="s">
        <v>2034</v>
      </c>
      <c r="BB21" s="154" t="s">
        <v>2034</v>
      </c>
      <c r="BC21" s="154" t="s">
        <v>2034</v>
      </c>
      <c r="BD21" s="154" t="s">
        <v>2034</v>
      </c>
      <c r="BE21" s="154" t="s">
        <v>2034</v>
      </c>
      <c r="BF21" s="154" t="s">
        <v>2034</v>
      </c>
      <c r="BG21" s="154" t="s">
        <v>2034</v>
      </c>
      <c r="BH21" s="154" t="s">
        <v>2034</v>
      </c>
      <c r="BI21" s="154" t="s">
        <v>2034</v>
      </c>
      <c r="BJ21" s="154" t="s">
        <v>2034</v>
      </c>
      <c r="BK21" s="154" t="s">
        <v>2034</v>
      </c>
      <c r="BY21" s="154" t="s">
        <v>2372</v>
      </c>
      <c r="BZ21" s="154" t="s">
        <v>2036</v>
      </c>
      <c r="CA21" s="154" t="s">
        <v>2036</v>
      </c>
      <c r="CB21" s="154" t="s">
        <v>2359</v>
      </c>
      <c r="CC21" s="154" t="s">
        <v>2359</v>
      </c>
      <c r="CD21" s="154" t="s">
        <v>2359</v>
      </c>
      <c r="CE21" s="154" t="s">
        <v>2359</v>
      </c>
      <c r="CF21" s="154" t="s">
        <v>2359</v>
      </c>
      <c r="CG21" s="154" t="s">
        <v>2359</v>
      </c>
      <c r="APR21" s="154" t="s">
        <v>2361</v>
      </c>
      <c r="APS21" s="154" t="s">
        <v>2361</v>
      </c>
      <c r="APT21" s="154" t="s">
        <v>2361</v>
      </c>
      <c r="APU21" s="154" t="s">
        <v>2361</v>
      </c>
      <c r="APV21" s="154" t="s">
        <v>2361</v>
      </c>
      <c r="APW21" s="154" t="s">
        <v>2372</v>
      </c>
      <c r="APX21" s="154" t="s">
        <v>2372</v>
      </c>
      <c r="APY21" s="154" t="s">
        <v>2372</v>
      </c>
      <c r="APZ21" s="154" t="s">
        <v>2372</v>
      </c>
      <c r="AQA21" s="154" t="s">
        <v>2372</v>
      </c>
      <c r="AQB21" s="154" t="s">
        <v>2362</v>
      </c>
      <c r="AQC21" s="154" t="s">
        <v>2362</v>
      </c>
      <c r="AQD21" s="154" t="s">
        <v>2362</v>
      </c>
      <c r="AQE21" s="154" t="s">
        <v>2362</v>
      </c>
      <c r="AQF21" s="154" t="s">
        <v>2362</v>
      </c>
      <c r="AQG21" s="154" t="s">
        <v>2036</v>
      </c>
      <c r="AQH21" s="154" t="s">
        <v>2036</v>
      </c>
      <c r="AQI21" s="154" t="s">
        <v>2036</v>
      </c>
      <c r="AQJ21" s="154" t="s">
        <v>2036</v>
      </c>
      <c r="AQK21" s="154" t="s">
        <v>2036</v>
      </c>
    </row>
    <row r="22" spans="1:88 1090:1369" x14ac:dyDescent="0.25">
      <c r="A22" s="365">
        <v>3</v>
      </c>
      <c r="B22" s="365">
        <v>5</v>
      </c>
      <c r="C22" s="365">
        <v>1</v>
      </c>
      <c r="D22" s="365" t="s">
        <v>2374</v>
      </c>
      <c r="E22" s="365" t="s">
        <v>2435</v>
      </c>
      <c r="F22" s="365" t="s">
        <v>2435</v>
      </c>
      <c r="G22" s="365" t="s">
        <v>2385</v>
      </c>
      <c r="H22" s="365" t="s">
        <v>2435</v>
      </c>
      <c r="I22" s="365">
        <v>0</v>
      </c>
      <c r="J22" s="365">
        <v>1</v>
      </c>
      <c r="K22" s="365">
        <v>0</v>
      </c>
      <c r="L22" s="365">
        <v>2</v>
      </c>
      <c r="M22" s="366">
        <v>59</v>
      </c>
      <c r="N22" s="359" t="s">
        <v>725</v>
      </c>
      <c r="O22" s="237" t="s">
        <v>1482</v>
      </c>
      <c r="P22" s="237"/>
      <c r="Q22" s="360" t="s">
        <v>2149</v>
      </c>
      <c r="R22" s="361">
        <v>42157</v>
      </c>
      <c r="S22" s="368" t="s">
        <v>498</v>
      </c>
      <c r="T22" s="363">
        <v>6.5</v>
      </c>
      <c r="U22" s="364" t="s">
        <v>2150</v>
      </c>
      <c r="AH22" s="154" t="s">
        <v>2037</v>
      </c>
      <c r="AI22" s="154" t="s">
        <v>2037</v>
      </c>
      <c r="AJ22" s="154" t="s">
        <v>2370</v>
      </c>
      <c r="AK22" s="154" t="s">
        <v>2037</v>
      </c>
      <c r="AL22" s="154" t="s">
        <v>2370</v>
      </c>
      <c r="AS22" s="154" t="s">
        <v>2033</v>
      </c>
      <c r="AT22" s="154" t="s">
        <v>2034</v>
      </c>
      <c r="AU22" s="154" t="s">
        <v>2034</v>
      </c>
      <c r="AV22" s="154" t="s">
        <v>2034</v>
      </c>
      <c r="AW22" s="154" t="s">
        <v>2034</v>
      </c>
      <c r="AX22" s="154" t="s">
        <v>2034</v>
      </c>
      <c r="AY22" s="154" t="s">
        <v>2033</v>
      </c>
      <c r="AZ22" s="154" t="s">
        <v>2033</v>
      </c>
      <c r="BA22" s="154" t="s">
        <v>2034</v>
      </c>
      <c r="BB22" s="154" t="s">
        <v>2034</v>
      </c>
      <c r="BC22" s="154" t="s">
        <v>2034</v>
      </c>
      <c r="BD22" s="154" t="s">
        <v>2034</v>
      </c>
      <c r="BE22" s="154" t="s">
        <v>2034</v>
      </c>
      <c r="BF22" s="154" t="s">
        <v>2034</v>
      </c>
      <c r="BG22" s="154" t="s">
        <v>2034</v>
      </c>
      <c r="BH22" s="154" t="s">
        <v>2034</v>
      </c>
      <c r="BI22" s="154" t="s">
        <v>2034</v>
      </c>
      <c r="BJ22" s="154" t="s">
        <v>2034</v>
      </c>
      <c r="BK22" s="154" t="s">
        <v>2034</v>
      </c>
      <c r="BY22" s="154" t="s">
        <v>2372</v>
      </c>
      <c r="BZ22" s="154" t="s">
        <v>2036</v>
      </c>
      <c r="CA22" s="154" t="s">
        <v>2036</v>
      </c>
      <c r="CB22" s="154" t="s">
        <v>2359</v>
      </c>
      <c r="CC22" s="154" t="s">
        <v>2359</v>
      </c>
      <c r="CD22" s="154" t="s">
        <v>2359</v>
      </c>
      <c r="CE22" s="154" t="s">
        <v>2359</v>
      </c>
      <c r="CF22" s="154" t="s">
        <v>2359</v>
      </c>
      <c r="CG22" s="154" t="s">
        <v>2359</v>
      </c>
      <c r="AQL22" s="154" t="s">
        <v>2361</v>
      </c>
      <c r="AQM22" s="154" t="s">
        <v>2361</v>
      </c>
      <c r="AQN22" s="154" t="s">
        <v>2361</v>
      </c>
      <c r="AQO22" s="154" t="s">
        <v>2361</v>
      </c>
      <c r="AQP22" s="154" t="s">
        <v>2361</v>
      </c>
      <c r="AQQ22" s="154" t="s">
        <v>2372</v>
      </c>
      <c r="AQR22" s="154" t="s">
        <v>2372</v>
      </c>
      <c r="AQS22" s="154" t="s">
        <v>2372</v>
      </c>
      <c r="AQT22" s="154" t="s">
        <v>2372</v>
      </c>
      <c r="AQU22" s="154" t="s">
        <v>2372</v>
      </c>
      <c r="AQV22" s="154" t="s">
        <v>2362</v>
      </c>
      <c r="AQW22" s="154" t="s">
        <v>2362</v>
      </c>
      <c r="AQX22" s="154" t="s">
        <v>2362</v>
      </c>
      <c r="AQY22" s="154" t="s">
        <v>2362</v>
      </c>
      <c r="AQZ22" s="154" t="s">
        <v>2362</v>
      </c>
      <c r="ARA22" s="154" t="s">
        <v>2036</v>
      </c>
      <c r="ARB22" s="154" t="s">
        <v>2036</v>
      </c>
      <c r="ARC22" s="154" t="s">
        <v>2036</v>
      </c>
      <c r="ARD22" s="154" t="s">
        <v>2036</v>
      </c>
      <c r="ARE22" s="154" t="s">
        <v>2036</v>
      </c>
    </row>
    <row r="23" spans="1:88 1090:1369" x14ac:dyDescent="0.25">
      <c r="A23" s="365">
        <v>3</v>
      </c>
      <c r="B23" s="365">
        <v>5</v>
      </c>
      <c r="C23" s="365">
        <v>1</v>
      </c>
      <c r="D23" s="365" t="s">
        <v>2374</v>
      </c>
      <c r="E23" s="365" t="s">
        <v>2435</v>
      </c>
      <c r="F23" s="365" t="s">
        <v>2435</v>
      </c>
      <c r="G23" s="365" t="s">
        <v>2382</v>
      </c>
      <c r="H23" s="365" t="s">
        <v>2435</v>
      </c>
      <c r="I23" s="365">
        <v>0</v>
      </c>
      <c r="J23" s="365">
        <v>1</v>
      </c>
      <c r="K23" s="365">
        <v>0</v>
      </c>
      <c r="L23" s="365">
        <v>2</v>
      </c>
      <c r="M23" s="366">
        <v>73</v>
      </c>
      <c r="N23" s="359" t="s">
        <v>728</v>
      </c>
      <c r="O23" s="237" t="s">
        <v>1482</v>
      </c>
      <c r="P23" s="237"/>
      <c r="Q23" s="360" t="s">
        <v>2151</v>
      </c>
      <c r="R23" s="361">
        <v>44944</v>
      </c>
      <c r="S23" s="368" t="s">
        <v>498</v>
      </c>
      <c r="T23" s="363">
        <v>6.5</v>
      </c>
      <c r="U23" s="364" t="s">
        <v>2152</v>
      </c>
      <c r="AH23" s="154" t="s">
        <v>2037</v>
      </c>
      <c r="AI23" s="154" t="s">
        <v>2037</v>
      </c>
      <c r="AJ23" s="154" t="s">
        <v>2370</v>
      </c>
      <c r="AK23" s="154" t="s">
        <v>2037</v>
      </c>
      <c r="AL23" s="154" t="s">
        <v>2370</v>
      </c>
      <c r="AS23" s="154" t="s">
        <v>2033</v>
      </c>
      <c r="AT23" s="154" t="s">
        <v>2034</v>
      </c>
      <c r="AU23" s="154" t="s">
        <v>2034</v>
      </c>
      <c r="AV23" s="154" t="s">
        <v>2034</v>
      </c>
      <c r="AW23" s="154" t="s">
        <v>2034</v>
      </c>
      <c r="AX23" s="154" t="s">
        <v>2034</v>
      </c>
      <c r="AY23" s="154" t="s">
        <v>2033</v>
      </c>
      <c r="AZ23" s="154" t="s">
        <v>2033</v>
      </c>
      <c r="BA23" s="154" t="s">
        <v>2034</v>
      </c>
      <c r="BB23" s="154" t="s">
        <v>2034</v>
      </c>
      <c r="BC23" s="154" t="s">
        <v>2034</v>
      </c>
      <c r="BD23" s="154" t="s">
        <v>2034</v>
      </c>
      <c r="BE23" s="154" t="s">
        <v>2034</v>
      </c>
      <c r="BF23" s="154" t="s">
        <v>2034</v>
      </c>
      <c r="BG23" s="154" t="s">
        <v>2034</v>
      </c>
      <c r="BH23" s="154" t="s">
        <v>2034</v>
      </c>
      <c r="BI23" s="154" t="s">
        <v>2034</v>
      </c>
      <c r="BJ23" s="154" t="s">
        <v>2034</v>
      </c>
      <c r="BK23" s="154" t="s">
        <v>2034</v>
      </c>
      <c r="BY23" s="154" t="s">
        <v>2372</v>
      </c>
      <c r="BZ23" s="154" t="s">
        <v>2036</v>
      </c>
      <c r="CA23" s="154" t="s">
        <v>2036</v>
      </c>
      <c r="CB23" s="154" t="s">
        <v>2359</v>
      </c>
      <c r="CC23" s="154" t="s">
        <v>2359</v>
      </c>
      <c r="CD23" s="154" t="s">
        <v>2359</v>
      </c>
      <c r="CE23" s="154" t="s">
        <v>2359</v>
      </c>
      <c r="CF23" s="154" t="s">
        <v>2359</v>
      </c>
      <c r="CG23" s="154" t="s">
        <v>2359</v>
      </c>
      <c r="ARF23" s="154" t="s">
        <v>2361</v>
      </c>
      <c r="ARG23" s="154" t="s">
        <v>2361</v>
      </c>
      <c r="ARH23" s="154" t="s">
        <v>2361</v>
      </c>
      <c r="ARI23" s="154" t="s">
        <v>2361</v>
      </c>
      <c r="ARJ23" s="154" t="s">
        <v>2361</v>
      </c>
      <c r="ARK23" s="154" t="s">
        <v>2372</v>
      </c>
      <c r="ARL23" s="154" t="s">
        <v>2372</v>
      </c>
      <c r="ARM23" s="154" t="s">
        <v>2372</v>
      </c>
      <c r="ARN23" s="154" t="s">
        <v>2372</v>
      </c>
      <c r="ARO23" s="154" t="s">
        <v>2372</v>
      </c>
      <c r="ARP23" s="154" t="s">
        <v>2362</v>
      </c>
      <c r="ARQ23" s="154" t="s">
        <v>2362</v>
      </c>
      <c r="ARR23" s="154" t="s">
        <v>2362</v>
      </c>
      <c r="ARS23" s="154" t="s">
        <v>2362</v>
      </c>
      <c r="ART23" s="154" t="s">
        <v>2362</v>
      </c>
      <c r="ARU23" s="154" t="s">
        <v>2036</v>
      </c>
      <c r="ARV23" s="154" t="s">
        <v>2036</v>
      </c>
      <c r="ARW23" s="154" t="s">
        <v>2036</v>
      </c>
      <c r="ARX23" s="154" t="s">
        <v>2036</v>
      </c>
      <c r="ARY23" s="154" t="s">
        <v>2036</v>
      </c>
    </row>
    <row r="24" spans="1:88 1090:1369" x14ac:dyDescent="0.25">
      <c r="A24" s="365">
        <v>3</v>
      </c>
      <c r="B24" s="365">
        <v>5</v>
      </c>
      <c r="C24" s="365">
        <v>1</v>
      </c>
      <c r="D24" s="365" t="s">
        <v>2374</v>
      </c>
      <c r="E24" s="365" t="s">
        <v>2435</v>
      </c>
      <c r="F24" s="365" t="s">
        <v>2435</v>
      </c>
      <c r="G24" s="365" t="s">
        <v>2383</v>
      </c>
      <c r="H24" s="365" t="s">
        <v>2435</v>
      </c>
      <c r="I24" s="365">
        <v>0</v>
      </c>
      <c r="J24" s="365">
        <v>1</v>
      </c>
      <c r="K24" s="365">
        <v>0</v>
      </c>
      <c r="L24" s="365">
        <v>2</v>
      </c>
      <c r="M24" s="366">
        <v>41</v>
      </c>
      <c r="N24" s="359" t="s">
        <v>731</v>
      </c>
      <c r="O24" s="237" t="s">
        <v>1486</v>
      </c>
      <c r="P24" s="237"/>
      <c r="Q24" s="360" t="s">
        <v>2153</v>
      </c>
      <c r="R24" s="361">
        <v>41980</v>
      </c>
      <c r="S24" s="368" t="s">
        <v>498</v>
      </c>
      <c r="T24" s="363">
        <v>6.3</v>
      </c>
      <c r="U24" s="364" t="s">
        <v>2154</v>
      </c>
      <c r="AH24" s="154" t="s">
        <v>2037</v>
      </c>
      <c r="AI24" s="154" t="s">
        <v>2037</v>
      </c>
      <c r="AJ24" s="154" t="s">
        <v>2370</v>
      </c>
      <c r="AK24" s="154" t="s">
        <v>2037</v>
      </c>
      <c r="AL24" s="154" t="s">
        <v>2037</v>
      </c>
      <c r="AM24" s="154" t="s">
        <v>2370</v>
      </c>
      <c r="AS24" s="154" t="s">
        <v>2033</v>
      </c>
      <c r="AT24" s="154" t="s">
        <v>2034</v>
      </c>
      <c r="AU24" s="154" t="s">
        <v>2034</v>
      </c>
      <c r="AV24" s="154" t="s">
        <v>2034</v>
      </c>
      <c r="AW24" s="154" t="s">
        <v>2034</v>
      </c>
      <c r="AX24" s="154" t="s">
        <v>2034</v>
      </c>
      <c r="AY24" s="154" t="s">
        <v>2033</v>
      </c>
      <c r="AZ24" s="154" t="s">
        <v>2033</v>
      </c>
      <c r="BA24" s="154" t="s">
        <v>2033</v>
      </c>
      <c r="BB24" s="154" t="s">
        <v>2033</v>
      </c>
      <c r="BC24" s="154" t="s">
        <v>2033</v>
      </c>
      <c r="BD24" s="154" t="s">
        <v>2033</v>
      </c>
      <c r="BE24" s="154" t="s">
        <v>2034</v>
      </c>
      <c r="BF24" s="154" t="s">
        <v>2034</v>
      </c>
      <c r="BG24" s="154" t="s">
        <v>2034</v>
      </c>
      <c r="BH24" s="154" t="s">
        <v>2034</v>
      </c>
      <c r="BI24" s="154" t="s">
        <v>2034</v>
      </c>
      <c r="BJ24" s="154" t="s">
        <v>2034</v>
      </c>
      <c r="BK24" s="154" t="s">
        <v>2034</v>
      </c>
      <c r="BL24" s="154" t="s">
        <v>2034</v>
      </c>
      <c r="BM24" s="154" t="s">
        <v>2034</v>
      </c>
      <c r="BN24" s="154" t="s">
        <v>2034</v>
      </c>
      <c r="BO24" s="154" t="s">
        <v>2034</v>
      </c>
      <c r="BY24" s="154" t="s">
        <v>2372</v>
      </c>
      <c r="BZ24" s="154" t="s">
        <v>2036</v>
      </c>
      <c r="CA24" s="154" t="s">
        <v>2036</v>
      </c>
      <c r="CB24" s="154" t="s">
        <v>2359</v>
      </c>
      <c r="CC24" s="154" t="s">
        <v>2359</v>
      </c>
      <c r="CD24" s="154" t="s">
        <v>2359</v>
      </c>
      <c r="CE24" s="154" t="s">
        <v>2359</v>
      </c>
      <c r="CF24" s="154" t="s">
        <v>2359</v>
      </c>
      <c r="CG24" s="154" t="s">
        <v>2359</v>
      </c>
      <c r="CH24" s="154" t="s">
        <v>2359</v>
      </c>
      <c r="CI24" s="154" t="s">
        <v>2359</v>
      </c>
      <c r="CJ24" s="154" t="s">
        <v>2359</v>
      </c>
      <c r="ARZ24" s="154" t="s">
        <v>2361</v>
      </c>
      <c r="ASA24" s="154" t="s">
        <v>2361</v>
      </c>
      <c r="ASB24" s="154" t="s">
        <v>2361</v>
      </c>
      <c r="ASC24" s="154" t="s">
        <v>2361</v>
      </c>
      <c r="ASD24" s="154" t="s">
        <v>2361</v>
      </c>
      <c r="ASE24" s="154" t="s">
        <v>2361</v>
      </c>
      <c r="ASF24" s="154" t="s">
        <v>2372</v>
      </c>
      <c r="ASG24" s="154" t="s">
        <v>2372</v>
      </c>
      <c r="ASH24" s="154" t="s">
        <v>2372</v>
      </c>
      <c r="ASI24" s="154" t="s">
        <v>2372</v>
      </c>
      <c r="ASJ24" s="154" t="s">
        <v>2372</v>
      </c>
      <c r="ASK24" s="154" t="s">
        <v>2372</v>
      </c>
      <c r="ASL24" s="154" t="s">
        <v>2362</v>
      </c>
      <c r="ASM24" s="154" t="s">
        <v>2362</v>
      </c>
      <c r="ASN24" s="154" t="s">
        <v>2362</v>
      </c>
      <c r="ASO24" s="154" t="s">
        <v>2362</v>
      </c>
      <c r="ASP24" s="154" t="s">
        <v>2362</v>
      </c>
      <c r="ASQ24" s="154" t="s">
        <v>2362</v>
      </c>
      <c r="ASR24" s="154" t="s">
        <v>2036</v>
      </c>
      <c r="ASS24" s="154" t="s">
        <v>2036</v>
      </c>
      <c r="AST24" s="154" t="s">
        <v>2036</v>
      </c>
      <c r="ASU24" s="154" t="s">
        <v>2036</v>
      </c>
      <c r="ASV24" s="154" t="s">
        <v>2036</v>
      </c>
      <c r="ASW24" s="154" t="s">
        <v>2036</v>
      </c>
    </row>
    <row r="25" spans="1:88 1090:1369" x14ac:dyDescent="0.25">
      <c r="A25" s="365">
        <v>3</v>
      </c>
      <c r="B25" s="365">
        <v>5</v>
      </c>
      <c r="C25" s="365">
        <v>1</v>
      </c>
      <c r="D25" s="365" t="s">
        <v>2374</v>
      </c>
      <c r="E25" s="365" t="s">
        <v>2435</v>
      </c>
      <c r="F25" s="365" t="s">
        <v>2435</v>
      </c>
      <c r="G25" s="365" t="s">
        <v>2384</v>
      </c>
      <c r="H25" s="365" t="s">
        <v>2435</v>
      </c>
      <c r="I25" s="365">
        <v>0</v>
      </c>
      <c r="J25" s="365">
        <v>1</v>
      </c>
      <c r="K25" s="365">
        <v>0</v>
      </c>
      <c r="L25" s="365">
        <v>2</v>
      </c>
      <c r="M25" s="366">
        <v>49</v>
      </c>
      <c r="N25" s="359" t="s">
        <v>733</v>
      </c>
      <c r="O25" s="237" t="s">
        <v>1486</v>
      </c>
      <c r="P25" s="237"/>
      <c r="Q25" s="360" t="s">
        <v>2155</v>
      </c>
      <c r="R25" s="361">
        <v>43653</v>
      </c>
      <c r="S25" s="368" t="s">
        <v>498</v>
      </c>
      <c r="T25" s="363">
        <v>6.3</v>
      </c>
      <c r="U25" s="364" t="s">
        <v>2156</v>
      </c>
      <c r="AH25" s="154" t="s">
        <v>2037</v>
      </c>
      <c r="AI25" s="154" t="s">
        <v>2037</v>
      </c>
      <c r="AJ25" s="154" t="s">
        <v>2370</v>
      </c>
      <c r="AK25" s="154" t="s">
        <v>2037</v>
      </c>
      <c r="AL25" s="154" t="s">
        <v>2037</v>
      </c>
      <c r="AM25" s="154" t="s">
        <v>2370</v>
      </c>
      <c r="AS25" s="154" t="s">
        <v>2033</v>
      </c>
      <c r="AT25" s="154" t="s">
        <v>2034</v>
      </c>
      <c r="AU25" s="154" t="s">
        <v>2034</v>
      </c>
      <c r="AV25" s="154" t="s">
        <v>2034</v>
      </c>
      <c r="AW25" s="154" t="s">
        <v>2034</v>
      </c>
      <c r="AX25" s="154" t="s">
        <v>2034</v>
      </c>
      <c r="AY25" s="154" t="s">
        <v>2033</v>
      </c>
      <c r="AZ25" s="154" t="s">
        <v>2033</v>
      </c>
      <c r="BA25" s="154" t="s">
        <v>2033</v>
      </c>
      <c r="BB25" s="154" t="s">
        <v>2033</v>
      </c>
      <c r="BC25" s="154" t="s">
        <v>2033</v>
      </c>
      <c r="BD25" s="154" t="s">
        <v>2033</v>
      </c>
      <c r="BE25" s="154" t="s">
        <v>2034</v>
      </c>
      <c r="BF25" s="154" t="s">
        <v>2034</v>
      </c>
      <c r="BG25" s="154" t="s">
        <v>2034</v>
      </c>
      <c r="BH25" s="154" t="s">
        <v>2034</v>
      </c>
      <c r="BI25" s="154" t="s">
        <v>2034</v>
      </c>
      <c r="BJ25" s="154" t="s">
        <v>2034</v>
      </c>
      <c r="BK25" s="154" t="s">
        <v>2034</v>
      </c>
      <c r="BL25" s="154" t="s">
        <v>2034</v>
      </c>
      <c r="BM25" s="154" t="s">
        <v>2034</v>
      </c>
      <c r="BN25" s="154" t="s">
        <v>2034</v>
      </c>
      <c r="BO25" s="154" t="s">
        <v>2034</v>
      </c>
      <c r="BY25" s="154" t="s">
        <v>2372</v>
      </c>
      <c r="BZ25" s="154" t="s">
        <v>2036</v>
      </c>
      <c r="CA25" s="154" t="s">
        <v>2036</v>
      </c>
      <c r="CB25" s="154" t="s">
        <v>2359</v>
      </c>
      <c r="CC25" s="154" t="s">
        <v>2359</v>
      </c>
      <c r="CD25" s="154" t="s">
        <v>2359</v>
      </c>
      <c r="CE25" s="154" t="s">
        <v>2359</v>
      </c>
      <c r="CF25" s="154" t="s">
        <v>2359</v>
      </c>
      <c r="CG25" s="154" t="s">
        <v>2359</v>
      </c>
      <c r="CH25" s="154" t="s">
        <v>2359</v>
      </c>
      <c r="CI25" s="154" t="s">
        <v>2359</v>
      </c>
      <c r="CJ25" s="154" t="s">
        <v>2359</v>
      </c>
      <c r="ASX25" s="154" t="s">
        <v>2361</v>
      </c>
      <c r="ASY25" s="154" t="s">
        <v>2361</v>
      </c>
      <c r="ASZ25" s="154" t="s">
        <v>2361</v>
      </c>
      <c r="ATA25" s="154" t="s">
        <v>2361</v>
      </c>
      <c r="ATB25" s="154" t="s">
        <v>2361</v>
      </c>
      <c r="ATC25" s="154" t="s">
        <v>2361</v>
      </c>
      <c r="ATD25" s="154" t="s">
        <v>2372</v>
      </c>
      <c r="ATE25" s="154" t="s">
        <v>2372</v>
      </c>
      <c r="ATF25" s="154" t="s">
        <v>2372</v>
      </c>
      <c r="ATG25" s="154" t="s">
        <v>2372</v>
      </c>
      <c r="ATH25" s="154" t="s">
        <v>2372</v>
      </c>
      <c r="ATI25" s="154" t="s">
        <v>2372</v>
      </c>
      <c r="ATJ25" s="154" t="s">
        <v>2362</v>
      </c>
      <c r="ATK25" s="154" t="s">
        <v>2362</v>
      </c>
      <c r="ATL25" s="154" t="s">
        <v>2362</v>
      </c>
      <c r="ATM25" s="154" t="s">
        <v>2362</v>
      </c>
      <c r="ATN25" s="154" t="s">
        <v>2362</v>
      </c>
      <c r="ATO25" s="154" t="s">
        <v>2362</v>
      </c>
      <c r="ATP25" s="154" t="s">
        <v>2036</v>
      </c>
      <c r="ATQ25" s="154" t="s">
        <v>2036</v>
      </c>
      <c r="ATR25" s="154" t="s">
        <v>2036</v>
      </c>
      <c r="ATS25" s="154" t="s">
        <v>2036</v>
      </c>
      <c r="ATT25" s="154" t="s">
        <v>2036</v>
      </c>
      <c r="ATU25" s="154" t="s">
        <v>2036</v>
      </c>
    </row>
    <row r="26" spans="1:88 1090:1369" x14ac:dyDescent="0.25">
      <c r="A26" s="365">
        <v>3</v>
      </c>
      <c r="B26" s="365">
        <v>5</v>
      </c>
      <c r="C26" s="365">
        <v>1</v>
      </c>
      <c r="D26" s="365" t="s">
        <v>2374</v>
      </c>
      <c r="E26" s="365" t="s">
        <v>2435</v>
      </c>
      <c r="F26" s="365" t="s">
        <v>2435</v>
      </c>
      <c r="G26" s="365" t="s">
        <v>2385</v>
      </c>
      <c r="H26" s="365" t="s">
        <v>2435</v>
      </c>
      <c r="I26" s="365">
        <v>0</v>
      </c>
      <c r="J26" s="365">
        <v>1</v>
      </c>
      <c r="K26" s="365">
        <v>0</v>
      </c>
      <c r="L26" s="365">
        <v>2</v>
      </c>
      <c r="M26" s="366">
        <v>59</v>
      </c>
      <c r="N26" s="359" t="s">
        <v>735</v>
      </c>
      <c r="O26" s="237" t="s">
        <v>1486</v>
      </c>
      <c r="P26" s="237"/>
      <c r="Q26" s="360" t="s">
        <v>2157</v>
      </c>
      <c r="R26" s="361">
        <v>45198</v>
      </c>
      <c r="S26" s="368" t="s">
        <v>498</v>
      </c>
      <c r="T26" s="363">
        <v>6.5</v>
      </c>
      <c r="U26" s="364" t="s">
        <v>2158</v>
      </c>
      <c r="AH26" s="154" t="s">
        <v>2037</v>
      </c>
      <c r="AI26" s="154" t="s">
        <v>2037</v>
      </c>
      <c r="AJ26" s="154" t="s">
        <v>2370</v>
      </c>
      <c r="AK26" s="154" t="s">
        <v>2037</v>
      </c>
      <c r="AL26" s="154" t="s">
        <v>2037</v>
      </c>
      <c r="AM26" s="154" t="s">
        <v>2370</v>
      </c>
      <c r="AS26" s="154" t="s">
        <v>2033</v>
      </c>
      <c r="AT26" s="154" t="s">
        <v>2034</v>
      </c>
      <c r="AU26" s="154" t="s">
        <v>2034</v>
      </c>
      <c r="AV26" s="154" t="s">
        <v>2034</v>
      </c>
      <c r="AW26" s="154" t="s">
        <v>2034</v>
      </c>
      <c r="AX26" s="154" t="s">
        <v>2034</v>
      </c>
      <c r="AY26" s="154" t="s">
        <v>2033</v>
      </c>
      <c r="AZ26" s="154" t="s">
        <v>2033</v>
      </c>
      <c r="BA26" s="154" t="s">
        <v>2033</v>
      </c>
      <c r="BB26" s="154" t="s">
        <v>2033</v>
      </c>
      <c r="BC26" s="154" t="s">
        <v>2033</v>
      </c>
      <c r="BD26" s="154" t="s">
        <v>2033</v>
      </c>
      <c r="BE26" s="154" t="s">
        <v>2034</v>
      </c>
      <c r="BF26" s="154" t="s">
        <v>2034</v>
      </c>
      <c r="BG26" s="154" t="s">
        <v>2034</v>
      </c>
      <c r="BH26" s="154" t="s">
        <v>2034</v>
      </c>
      <c r="BI26" s="154" t="s">
        <v>2034</v>
      </c>
      <c r="BJ26" s="154" t="s">
        <v>2034</v>
      </c>
      <c r="BK26" s="154" t="s">
        <v>2034</v>
      </c>
      <c r="BL26" s="154" t="s">
        <v>2034</v>
      </c>
      <c r="BM26" s="154" t="s">
        <v>2034</v>
      </c>
      <c r="BN26" s="154" t="s">
        <v>2034</v>
      </c>
      <c r="BO26" s="154" t="s">
        <v>2034</v>
      </c>
      <c r="BY26" s="154" t="s">
        <v>2372</v>
      </c>
      <c r="BZ26" s="154" t="s">
        <v>2036</v>
      </c>
      <c r="CA26" s="154" t="s">
        <v>2036</v>
      </c>
      <c r="CB26" s="154" t="s">
        <v>2359</v>
      </c>
      <c r="CC26" s="154" t="s">
        <v>2359</v>
      </c>
      <c r="CD26" s="154" t="s">
        <v>2359</v>
      </c>
      <c r="CE26" s="154" t="s">
        <v>2359</v>
      </c>
      <c r="CF26" s="154" t="s">
        <v>2359</v>
      </c>
      <c r="CG26" s="154" t="s">
        <v>2359</v>
      </c>
      <c r="CH26" s="154" t="s">
        <v>2359</v>
      </c>
      <c r="CI26" s="154" t="s">
        <v>2359</v>
      </c>
      <c r="CJ26" s="154" t="s">
        <v>2359</v>
      </c>
      <c r="ATV26" s="154" t="s">
        <v>2361</v>
      </c>
      <c r="ATW26" s="154" t="s">
        <v>2361</v>
      </c>
      <c r="ATX26" s="154" t="s">
        <v>2361</v>
      </c>
      <c r="ATY26" s="154" t="s">
        <v>2361</v>
      </c>
      <c r="ATZ26" s="154" t="s">
        <v>2361</v>
      </c>
      <c r="AUA26" s="154" t="s">
        <v>2361</v>
      </c>
      <c r="AUB26" s="154" t="s">
        <v>2372</v>
      </c>
      <c r="AUC26" s="154" t="s">
        <v>2372</v>
      </c>
      <c r="AUD26" s="154" t="s">
        <v>2372</v>
      </c>
      <c r="AUE26" s="154" t="s">
        <v>2372</v>
      </c>
      <c r="AUF26" s="154" t="s">
        <v>2372</v>
      </c>
      <c r="AUG26" s="154" t="s">
        <v>2372</v>
      </c>
      <c r="AUH26" s="154" t="s">
        <v>2362</v>
      </c>
      <c r="AUI26" s="154" t="s">
        <v>2362</v>
      </c>
      <c r="AUJ26" s="154" t="s">
        <v>2362</v>
      </c>
      <c r="AUK26" s="154" t="s">
        <v>2362</v>
      </c>
      <c r="AUL26" s="154" t="s">
        <v>2362</v>
      </c>
      <c r="AUM26" s="154" t="s">
        <v>2362</v>
      </c>
      <c r="AUN26" s="154" t="s">
        <v>2036</v>
      </c>
      <c r="AUO26" s="154" t="s">
        <v>2036</v>
      </c>
      <c r="AUP26" s="154" t="s">
        <v>2036</v>
      </c>
      <c r="AUQ26" s="154" t="s">
        <v>2036</v>
      </c>
      <c r="AUR26" s="154" t="s">
        <v>2036</v>
      </c>
      <c r="AUS26" s="154" t="s">
        <v>2036</v>
      </c>
    </row>
    <row r="27" spans="1:88 1090:1369" x14ac:dyDescent="0.25">
      <c r="A27" s="365">
        <v>3</v>
      </c>
      <c r="B27" s="365">
        <v>5</v>
      </c>
      <c r="C27" s="365">
        <v>1</v>
      </c>
      <c r="D27" s="365" t="s">
        <v>2374</v>
      </c>
      <c r="E27" s="365" t="s">
        <v>2435</v>
      </c>
      <c r="F27" s="365" t="s">
        <v>2435</v>
      </c>
      <c r="G27" s="365" t="s">
        <v>2382</v>
      </c>
      <c r="H27" s="365" t="s">
        <v>2435</v>
      </c>
      <c r="I27" s="365">
        <v>0</v>
      </c>
      <c r="J27" s="365">
        <v>1</v>
      </c>
      <c r="K27" s="365">
        <v>0</v>
      </c>
      <c r="L27" s="365">
        <v>2</v>
      </c>
      <c r="M27" s="366">
        <v>73</v>
      </c>
      <c r="N27" s="359" t="s">
        <v>737</v>
      </c>
      <c r="O27" s="237" t="s">
        <v>1486</v>
      </c>
      <c r="P27" s="237"/>
      <c r="Q27" s="360" t="s">
        <v>2159</v>
      </c>
      <c r="R27" s="361">
        <v>48037</v>
      </c>
      <c r="S27" s="368" t="s">
        <v>498</v>
      </c>
      <c r="T27" s="363">
        <v>6.5</v>
      </c>
      <c r="U27" s="364" t="s">
        <v>2160</v>
      </c>
      <c r="AH27" s="154" t="s">
        <v>2037</v>
      </c>
      <c r="AI27" s="154" t="s">
        <v>2037</v>
      </c>
      <c r="AJ27" s="154" t="s">
        <v>2370</v>
      </c>
      <c r="AK27" s="154" t="s">
        <v>2037</v>
      </c>
      <c r="AL27" s="154" t="s">
        <v>2037</v>
      </c>
      <c r="AM27" s="154" t="s">
        <v>2370</v>
      </c>
      <c r="AS27" s="154" t="s">
        <v>2033</v>
      </c>
      <c r="AT27" s="154" t="s">
        <v>2034</v>
      </c>
      <c r="AU27" s="154" t="s">
        <v>2034</v>
      </c>
      <c r="AV27" s="154" t="s">
        <v>2034</v>
      </c>
      <c r="AW27" s="154" t="s">
        <v>2034</v>
      </c>
      <c r="AX27" s="154" t="s">
        <v>2034</v>
      </c>
      <c r="AY27" s="154" t="s">
        <v>2033</v>
      </c>
      <c r="AZ27" s="154" t="s">
        <v>2033</v>
      </c>
      <c r="BA27" s="154" t="s">
        <v>2033</v>
      </c>
      <c r="BB27" s="154" t="s">
        <v>2033</v>
      </c>
      <c r="BC27" s="154" t="s">
        <v>2033</v>
      </c>
      <c r="BD27" s="154" t="s">
        <v>2033</v>
      </c>
      <c r="BE27" s="154" t="s">
        <v>2034</v>
      </c>
      <c r="BF27" s="154" t="s">
        <v>2034</v>
      </c>
      <c r="BG27" s="154" t="s">
        <v>2034</v>
      </c>
      <c r="BH27" s="154" t="s">
        <v>2034</v>
      </c>
      <c r="BI27" s="154" t="s">
        <v>2034</v>
      </c>
      <c r="BJ27" s="154" t="s">
        <v>2034</v>
      </c>
      <c r="BK27" s="154" t="s">
        <v>2034</v>
      </c>
      <c r="BL27" s="154" t="s">
        <v>2034</v>
      </c>
      <c r="BM27" s="154" t="s">
        <v>2034</v>
      </c>
      <c r="BN27" s="154" t="s">
        <v>2034</v>
      </c>
      <c r="BO27" s="154" t="s">
        <v>2034</v>
      </c>
      <c r="BY27" s="154" t="s">
        <v>2372</v>
      </c>
      <c r="BZ27" s="154" t="s">
        <v>2036</v>
      </c>
      <c r="CA27" s="154" t="s">
        <v>2036</v>
      </c>
      <c r="CB27" s="154" t="s">
        <v>2359</v>
      </c>
      <c r="CC27" s="154" t="s">
        <v>2359</v>
      </c>
      <c r="CD27" s="154" t="s">
        <v>2359</v>
      </c>
      <c r="CE27" s="154" t="s">
        <v>2359</v>
      </c>
      <c r="CF27" s="154" t="s">
        <v>2359</v>
      </c>
      <c r="CG27" s="154" t="s">
        <v>2359</v>
      </c>
      <c r="CH27" s="154" t="s">
        <v>2359</v>
      </c>
      <c r="CI27" s="154" t="s">
        <v>2359</v>
      </c>
      <c r="CJ27" s="154" t="s">
        <v>2359</v>
      </c>
      <c r="AUT27" s="154" t="s">
        <v>2361</v>
      </c>
      <c r="AUU27" s="154" t="s">
        <v>2361</v>
      </c>
      <c r="AUV27" s="154" t="s">
        <v>2361</v>
      </c>
      <c r="AUW27" s="154" t="s">
        <v>2361</v>
      </c>
      <c r="AUX27" s="154" t="s">
        <v>2361</v>
      </c>
      <c r="AUY27" s="154" t="s">
        <v>2361</v>
      </c>
      <c r="AUZ27" s="154" t="s">
        <v>2372</v>
      </c>
      <c r="AVA27" s="154" t="s">
        <v>2372</v>
      </c>
      <c r="AVB27" s="154" t="s">
        <v>2372</v>
      </c>
      <c r="AVC27" s="154" t="s">
        <v>2372</v>
      </c>
      <c r="AVD27" s="154" t="s">
        <v>2372</v>
      </c>
      <c r="AVE27" s="154" t="s">
        <v>2372</v>
      </c>
      <c r="AVF27" s="154" t="s">
        <v>2362</v>
      </c>
      <c r="AVG27" s="154" t="s">
        <v>2362</v>
      </c>
      <c r="AVH27" s="154" t="s">
        <v>2362</v>
      </c>
      <c r="AVI27" s="154" t="s">
        <v>2362</v>
      </c>
      <c r="AVJ27" s="154" t="s">
        <v>2362</v>
      </c>
      <c r="AVK27" s="154" t="s">
        <v>2362</v>
      </c>
      <c r="AVL27" s="154" t="s">
        <v>2036</v>
      </c>
      <c r="AVM27" s="154" t="s">
        <v>2036</v>
      </c>
      <c r="AVN27" s="154" t="s">
        <v>2036</v>
      </c>
      <c r="AVO27" s="154" t="s">
        <v>2036</v>
      </c>
      <c r="AVP27" s="154" t="s">
        <v>2036</v>
      </c>
      <c r="AVQ27" s="154" t="s">
        <v>2036</v>
      </c>
    </row>
    <row r="28" spans="1:88 1090:1369" x14ac:dyDescent="0.25">
      <c r="A28" s="197">
        <v>3</v>
      </c>
      <c r="B28" s="197">
        <v>5</v>
      </c>
      <c r="C28" s="197">
        <v>5</v>
      </c>
      <c r="D28" s="365" t="s">
        <v>2374</v>
      </c>
      <c r="E28" s="197" t="s">
        <v>2435</v>
      </c>
      <c r="F28" s="197" t="s">
        <v>2435</v>
      </c>
      <c r="G28" s="197" t="s">
        <v>2383</v>
      </c>
      <c r="H28" s="197" t="s">
        <v>2435</v>
      </c>
      <c r="I28" s="197">
        <v>0</v>
      </c>
      <c r="J28" s="197">
        <v>2</v>
      </c>
      <c r="K28" s="197">
        <v>0</v>
      </c>
      <c r="L28" s="197">
        <v>3</v>
      </c>
      <c r="M28" s="366">
        <v>41</v>
      </c>
      <c r="N28" s="359" t="s">
        <v>739</v>
      </c>
      <c r="O28" s="237" t="s">
        <v>1489</v>
      </c>
      <c r="P28" s="237"/>
      <c r="Q28" s="360" t="s">
        <v>2161</v>
      </c>
      <c r="R28" s="361">
        <v>48777</v>
      </c>
      <c r="S28" s="368" t="s">
        <v>498</v>
      </c>
      <c r="T28" s="363">
        <v>6.3</v>
      </c>
      <c r="U28" s="364" t="s">
        <v>2162</v>
      </c>
      <c r="AH28" s="154" t="s">
        <v>2037</v>
      </c>
      <c r="AI28" s="154" t="s">
        <v>2037</v>
      </c>
      <c r="AJ28" s="154" t="s">
        <v>2370</v>
      </c>
      <c r="AK28" s="154" t="s">
        <v>2037</v>
      </c>
      <c r="AL28" s="154" t="s">
        <v>2037</v>
      </c>
      <c r="AM28" s="154" t="s">
        <v>2370</v>
      </c>
      <c r="AS28" s="154" t="s">
        <v>2033</v>
      </c>
      <c r="AT28" s="154" t="s">
        <v>2033</v>
      </c>
      <c r="AU28" s="154" t="s">
        <v>2033</v>
      </c>
      <c r="AV28" s="154" t="s">
        <v>2033</v>
      </c>
      <c r="AW28" s="154" t="s">
        <v>2033</v>
      </c>
      <c r="AX28" s="154" t="s">
        <v>2034</v>
      </c>
      <c r="AY28" s="154" t="s">
        <v>2034</v>
      </c>
      <c r="AZ28" s="154" t="s">
        <v>2034</v>
      </c>
      <c r="BA28" s="154" t="s">
        <v>2034</v>
      </c>
      <c r="BB28" s="154" t="s">
        <v>2034</v>
      </c>
      <c r="BC28" s="154" t="s">
        <v>2033</v>
      </c>
      <c r="BD28" s="154" t="s">
        <v>2033</v>
      </c>
      <c r="BE28" s="154" t="s">
        <v>2034</v>
      </c>
      <c r="BF28" s="154" t="s">
        <v>2034</v>
      </c>
      <c r="BG28" s="154" t="s">
        <v>2034</v>
      </c>
      <c r="BH28" s="154" t="s">
        <v>2034</v>
      </c>
      <c r="BI28" s="154" t="s">
        <v>2034</v>
      </c>
      <c r="BJ28" s="154" t="s">
        <v>2034</v>
      </c>
      <c r="BK28" s="154" t="s">
        <v>2034</v>
      </c>
      <c r="BL28" s="154" t="s">
        <v>2034</v>
      </c>
      <c r="BM28" s="154" t="s">
        <v>2034</v>
      </c>
      <c r="BN28" s="154" t="s">
        <v>2034</v>
      </c>
      <c r="BO28" s="154" t="s">
        <v>2034</v>
      </c>
      <c r="BY28" s="154" t="s">
        <v>2372</v>
      </c>
      <c r="BZ28" s="154" t="s">
        <v>2372</v>
      </c>
      <c r="CA28" s="154" t="s">
        <v>2036</v>
      </c>
      <c r="CB28" s="154" t="s">
        <v>2036</v>
      </c>
      <c r="CC28" s="154" t="s">
        <v>2036</v>
      </c>
      <c r="CD28" s="154" t="s">
        <v>2359</v>
      </c>
      <c r="CE28" s="154" t="s">
        <v>2359</v>
      </c>
      <c r="CF28" s="154" t="s">
        <v>2359</v>
      </c>
      <c r="CG28" s="154" t="s">
        <v>2359</v>
      </c>
      <c r="CH28" s="154" t="s">
        <v>2359</v>
      </c>
      <c r="CI28" s="154" t="s">
        <v>2359</v>
      </c>
      <c r="CJ28" s="154" t="s">
        <v>2359</v>
      </c>
      <c r="AVR28" s="154" t="s">
        <v>2361</v>
      </c>
      <c r="AVS28" s="154" t="s">
        <v>2361</v>
      </c>
      <c r="AVT28" s="154" t="s">
        <v>2361</v>
      </c>
      <c r="AVU28" s="154" t="s">
        <v>2361</v>
      </c>
      <c r="AVV28" s="154" t="s">
        <v>2361</v>
      </c>
      <c r="AVW28" s="154" t="s">
        <v>2361</v>
      </c>
      <c r="AVX28" s="154" t="s">
        <v>2372</v>
      </c>
      <c r="AVY28" s="154" t="s">
        <v>2372</v>
      </c>
      <c r="AVZ28" s="154" t="s">
        <v>2372</v>
      </c>
      <c r="AWA28" s="154" t="s">
        <v>2372</v>
      </c>
      <c r="AWB28" s="154" t="s">
        <v>2372</v>
      </c>
      <c r="AWC28" s="154" t="s">
        <v>2372</v>
      </c>
      <c r="AWD28" s="154" t="s">
        <v>2362</v>
      </c>
      <c r="AWE28" s="154" t="s">
        <v>2362</v>
      </c>
      <c r="AWF28" s="154" t="s">
        <v>2362</v>
      </c>
      <c r="AWG28" s="154" t="s">
        <v>2362</v>
      </c>
      <c r="AWH28" s="154" t="s">
        <v>2362</v>
      </c>
      <c r="AWI28" s="154" t="s">
        <v>2362</v>
      </c>
      <c r="AWJ28" s="154" t="s">
        <v>2036</v>
      </c>
      <c r="AWK28" s="154" t="s">
        <v>2036</v>
      </c>
      <c r="AWL28" s="154" t="s">
        <v>2036</v>
      </c>
      <c r="AWM28" s="154" t="s">
        <v>2036</v>
      </c>
      <c r="AWN28" s="154" t="s">
        <v>2036</v>
      </c>
      <c r="AWO28" s="154" t="s">
        <v>2036</v>
      </c>
    </row>
    <row r="29" spans="1:88 1090:1369" x14ac:dyDescent="0.25">
      <c r="A29" s="197">
        <v>3</v>
      </c>
      <c r="B29" s="197">
        <v>5</v>
      </c>
      <c r="C29" s="197">
        <v>5</v>
      </c>
      <c r="D29" s="365" t="s">
        <v>2374</v>
      </c>
      <c r="E29" s="365" t="s">
        <v>2435</v>
      </c>
      <c r="F29" s="365" t="s">
        <v>2435</v>
      </c>
      <c r="G29" s="365" t="s">
        <v>2384</v>
      </c>
      <c r="H29" s="365" t="s">
        <v>2435</v>
      </c>
      <c r="I29" s="365">
        <v>0</v>
      </c>
      <c r="J29" s="197">
        <v>2</v>
      </c>
      <c r="K29" s="365">
        <v>0</v>
      </c>
      <c r="L29" s="197">
        <v>3</v>
      </c>
      <c r="M29" s="366">
        <v>49</v>
      </c>
      <c r="N29" s="359" t="s">
        <v>742</v>
      </c>
      <c r="O29" s="237" t="s">
        <v>1489</v>
      </c>
      <c r="P29" s="237"/>
      <c r="Q29" s="360" t="s">
        <v>2163</v>
      </c>
      <c r="R29" s="361">
        <v>50564</v>
      </c>
      <c r="S29" s="368" t="s">
        <v>498</v>
      </c>
      <c r="T29" s="363">
        <v>6.3</v>
      </c>
      <c r="U29" s="364" t="s">
        <v>2164</v>
      </c>
      <c r="AH29" s="154" t="s">
        <v>2037</v>
      </c>
      <c r="AI29" s="154" t="s">
        <v>2037</v>
      </c>
      <c r="AJ29" s="154" t="s">
        <v>2370</v>
      </c>
      <c r="AK29" s="154" t="s">
        <v>2037</v>
      </c>
      <c r="AL29" s="154" t="s">
        <v>2037</v>
      </c>
      <c r="AM29" s="154" t="s">
        <v>2370</v>
      </c>
      <c r="AS29" s="154" t="s">
        <v>2033</v>
      </c>
      <c r="AT29" s="154" t="s">
        <v>2033</v>
      </c>
      <c r="AU29" s="154" t="s">
        <v>2033</v>
      </c>
      <c r="AV29" s="154" t="s">
        <v>2033</v>
      </c>
      <c r="AW29" s="154" t="s">
        <v>2033</v>
      </c>
      <c r="AX29" s="154" t="s">
        <v>2034</v>
      </c>
      <c r="AY29" s="154" t="s">
        <v>2034</v>
      </c>
      <c r="AZ29" s="154" t="s">
        <v>2034</v>
      </c>
      <c r="BA29" s="154" t="s">
        <v>2034</v>
      </c>
      <c r="BB29" s="154" t="s">
        <v>2034</v>
      </c>
      <c r="BC29" s="154" t="s">
        <v>2033</v>
      </c>
      <c r="BD29" s="154" t="s">
        <v>2033</v>
      </c>
      <c r="BE29" s="154" t="s">
        <v>2034</v>
      </c>
      <c r="BF29" s="154" t="s">
        <v>2034</v>
      </c>
      <c r="BG29" s="154" t="s">
        <v>2034</v>
      </c>
      <c r="BH29" s="154" t="s">
        <v>2034</v>
      </c>
      <c r="BI29" s="154" t="s">
        <v>2034</v>
      </c>
      <c r="BJ29" s="154" t="s">
        <v>2034</v>
      </c>
      <c r="BK29" s="154" t="s">
        <v>2034</v>
      </c>
      <c r="BL29" s="154" t="s">
        <v>2034</v>
      </c>
      <c r="BM29" s="154" t="s">
        <v>2034</v>
      </c>
      <c r="BN29" s="154" t="s">
        <v>2034</v>
      </c>
      <c r="BO29" s="154" t="s">
        <v>2034</v>
      </c>
      <c r="BY29" s="154" t="s">
        <v>2372</v>
      </c>
      <c r="BZ29" s="154" t="s">
        <v>2372</v>
      </c>
      <c r="CA29" s="154" t="s">
        <v>2036</v>
      </c>
      <c r="CB29" s="154" t="s">
        <v>2036</v>
      </c>
      <c r="CC29" s="154" t="s">
        <v>2036</v>
      </c>
      <c r="CD29" s="154" t="s">
        <v>2359</v>
      </c>
      <c r="CE29" s="154" t="s">
        <v>2359</v>
      </c>
      <c r="CF29" s="154" t="s">
        <v>2359</v>
      </c>
      <c r="CG29" s="154" t="s">
        <v>2359</v>
      </c>
      <c r="CH29" s="154" t="s">
        <v>2359</v>
      </c>
      <c r="CI29" s="154" t="s">
        <v>2359</v>
      </c>
      <c r="CJ29" s="154" t="s">
        <v>2359</v>
      </c>
      <c r="AWP29" s="154" t="s">
        <v>2361</v>
      </c>
      <c r="AWQ29" s="154" t="s">
        <v>2361</v>
      </c>
      <c r="AWR29" s="154" t="s">
        <v>2361</v>
      </c>
      <c r="AWS29" s="154" t="s">
        <v>2361</v>
      </c>
      <c r="AWT29" s="154" t="s">
        <v>2361</v>
      </c>
      <c r="AWU29" s="154" t="s">
        <v>2361</v>
      </c>
      <c r="AWV29" s="154" t="s">
        <v>2372</v>
      </c>
      <c r="AWW29" s="154" t="s">
        <v>2372</v>
      </c>
      <c r="AWX29" s="154" t="s">
        <v>2372</v>
      </c>
      <c r="AWY29" s="154" t="s">
        <v>2372</v>
      </c>
      <c r="AWZ29" s="154" t="s">
        <v>2372</v>
      </c>
      <c r="AXA29" s="154" t="s">
        <v>2372</v>
      </c>
      <c r="AXB29" s="154" t="s">
        <v>2362</v>
      </c>
      <c r="AXC29" s="154" t="s">
        <v>2362</v>
      </c>
      <c r="AXD29" s="154" t="s">
        <v>2362</v>
      </c>
      <c r="AXE29" s="154" t="s">
        <v>2362</v>
      </c>
      <c r="AXF29" s="154" t="s">
        <v>2362</v>
      </c>
      <c r="AXG29" s="154" t="s">
        <v>2362</v>
      </c>
      <c r="AXH29" s="154" t="s">
        <v>2036</v>
      </c>
      <c r="AXI29" s="154" t="s">
        <v>2036</v>
      </c>
      <c r="AXJ29" s="154" t="s">
        <v>2036</v>
      </c>
      <c r="AXK29" s="154" t="s">
        <v>2036</v>
      </c>
      <c r="AXL29" s="154" t="s">
        <v>2036</v>
      </c>
      <c r="AXM29" s="154" t="s">
        <v>2036</v>
      </c>
    </row>
    <row r="30" spans="1:88 1090:1369" x14ac:dyDescent="0.25">
      <c r="A30" s="197">
        <v>3</v>
      </c>
      <c r="B30" s="197">
        <v>5</v>
      </c>
      <c r="C30" s="197">
        <v>5</v>
      </c>
      <c r="D30" s="365" t="s">
        <v>2374</v>
      </c>
      <c r="E30" s="197" t="s">
        <v>2435</v>
      </c>
      <c r="F30" s="197" t="s">
        <v>2435</v>
      </c>
      <c r="G30" s="365" t="s">
        <v>2385</v>
      </c>
      <c r="H30" s="197" t="s">
        <v>2435</v>
      </c>
      <c r="I30" s="197">
        <v>0</v>
      </c>
      <c r="J30" s="197">
        <v>2</v>
      </c>
      <c r="K30" s="197">
        <v>0</v>
      </c>
      <c r="L30" s="197">
        <v>3</v>
      </c>
      <c r="M30" s="366">
        <v>59</v>
      </c>
      <c r="N30" s="359" t="s">
        <v>745</v>
      </c>
      <c r="O30" s="237" t="s">
        <v>1489</v>
      </c>
      <c r="P30" s="237"/>
      <c r="Q30" s="360" t="s">
        <v>2165</v>
      </c>
      <c r="R30" s="361">
        <v>52220</v>
      </c>
      <c r="S30" s="368" t="s">
        <v>498</v>
      </c>
      <c r="T30" s="363">
        <v>6.5</v>
      </c>
      <c r="U30" s="364" t="s">
        <v>2166</v>
      </c>
      <c r="AH30" s="154" t="s">
        <v>2037</v>
      </c>
      <c r="AI30" s="154" t="s">
        <v>2037</v>
      </c>
      <c r="AJ30" s="154" t="s">
        <v>2370</v>
      </c>
      <c r="AK30" s="154" t="s">
        <v>2037</v>
      </c>
      <c r="AL30" s="154" t="s">
        <v>2037</v>
      </c>
      <c r="AM30" s="154" t="s">
        <v>2370</v>
      </c>
      <c r="AS30" s="154" t="s">
        <v>2033</v>
      </c>
      <c r="AT30" s="154" t="s">
        <v>2033</v>
      </c>
      <c r="AU30" s="154" t="s">
        <v>2033</v>
      </c>
      <c r="AV30" s="154" t="s">
        <v>2033</v>
      </c>
      <c r="AW30" s="154" t="s">
        <v>2033</v>
      </c>
      <c r="AX30" s="154" t="s">
        <v>2034</v>
      </c>
      <c r="AY30" s="154" t="s">
        <v>2034</v>
      </c>
      <c r="AZ30" s="154" t="s">
        <v>2034</v>
      </c>
      <c r="BA30" s="154" t="s">
        <v>2034</v>
      </c>
      <c r="BB30" s="154" t="s">
        <v>2034</v>
      </c>
      <c r="BC30" s="154" t="s">
        <v>2033</v>
      </c>
      <c r="BD30" s="154" t="s">
        <v>2033</v>
      </c>
      <c r="BE30" s="154" t="s">
        <v>2034</v>
      </c>
      <c r="BF30" s="154" t="s">
        <v>2034</v>
      </c>
      <c r="BG30" s="154" t="s">
        <v>2034</v>
      </c>
      <c r="BH30" s="154" t="s">
        <v>2034</v>
      </c>
      <c r="BI30" s="154" t="s">
        <v>2034</v>
      </c>
      <c r="BJ30" s="154" t="s">
        <v>2034</v>
      </c>
      <c r="BK30" s="154" t="s">
        <v>2034</v>
      </c>
      <c r="BL30" s="154" t="s">
        <v>2034</v>
      </c>
      <c r="BM30" s="154" t="s">
        <v>2034</v>
      </c>
      <c r="BN30" s="154" t="s">
        <v>2034</v>
      </c>
      <c r="BO30" s="154" t="s">
        <v>2034</v>
      </c>
      <c r="BY30" s="154" t="s">
        <v>2372</v>
      </c>
      <c r="BZ30" s="154" t="s">
        <v>2372</v>
      </c>
      <c r="CA30" s="154" t="s">
        <v>2036</v>
      </c>
      <c r="CB30" s="154" t="s">
        <v>2036</v>
      </c>
      <c r="CC30" s="154" t="s">
        <v>2036</v>
      </c>
      <c r="CD30" s="154" t="s">
        <v>2359</v>
      </c>
      <c r="CE30" s="154" t="s">
        <v>2359</v>
      </c>
      <c r="CF30" s="154" t="s">
        <v>2359</v>
      </c>
      <c r="CG30" s="154" t="s">
        <v>2359</v>
      </c>
      <c r="CH30" s="154" t="s">
        <v>2359</v>
      </c>
      <c r="CI30" s="154" t="s">
        <v>2359</v>
      </c>
      <c r="CJ30" s="154" t="s">
        <v>2359</v>
      </c>
      <c r="AXN30" s="154" t="s">
        <v>2361</v>
      </c>
      <c r="AXO30" s="154" t="s">
        <v>2361</v>
      </c>
      <c r="AXP30" s="154" t="s">
        <v>2361</v>
      </c>
      <c r="AXQ30" s="154" t="s">
        <v>2361</v>
      </c>
      <c r="AXR30" s="154" t="s">
        <v>2361</v>
      </c>
      <c r="AXS30" s="154" t="s">
        <v>2361</v>
      </c>
      <c r="AXT30" s="154" t="s">
        <v>2372</v>
      </c>
      <c r="AXU30" s="154" t="s">
        <v>2372</v>
      </c>
      <c r="AXV30" s="154" t="s">
        <v>2372</v>
      </c>
      <c r="AXW30" s="154" t="s">
        <v>2372</v>
      </c>
      <c r="AXX30" s="154" t="s">
        <v>2372</v>
      </c>
      <c r="AXY30" s="154" t="s">
        <v>2372</v>
      </c>
      <c r="AXZ30" s="154" t="s">
        <v>2362</v>
      </c>
      <c r="AYA30" s="154" t="s">
        <v>2362</v>
      </c>
      <c r="AYB30" s="154" t="s">
        <v>2362</v>
      </c>
      <c r="AYC30" s="154" t="s">
        <v>2362</v>
      </c>
      <c r="AYD30" s="154" t="s">
        <v>2362</v>
      </c>
      <c r="AYE30" s="154" t="s">
        <v>2362</v>
      </c>
      <c r="AYF30" s="154" t="s">
        <v>2036</v>
      </c>
      <c r="AYG30" s="154" t="s">
        <v>2036</v>
      </c>
      <c r="AYH30" s="154" t="s">
        <v>2036</v>
      </c>
      <c r="AYI30" s="154" t="s">
        <v>2036</v>
      </c>
      <c r="AYJ30" s="154" t="s">
        <v>2036</v>
      </c>
      <c r="AYK30" s="154" t="s">
        <v>2036</v>
      </c>
    </row>
    <row r="31" spans="1:88 1090:1369" x14ac:dyDescent="0.25">
      <c r="A31" s="197">
        <v>3</v>
      </c>
      <c r="B31" s="197">
        <v>5</v>
      </c>
      <c r="C31" s="197">
        <v>5</v>
      </c>
      <c r="D31" s="365" t="s">
        <v>2374</v>
      </c>
      <c r="E31" s="365" t="s">
        <v>2435</v>
      </c>
      <c r="F31" s="365" t="s">
        <v>2435</v>
      </c>
      <c r="G31" s="365" t="s">
        <v>2382</v>
      </c>
      <c r="H31" s="365" t="s">
        <v>2435</v>
      </c>
      <c r="I31" s="365">
        <v>0</v>
      </c>
      <c r="J31" s="197">
        <v>2</v>
      </c>
      <c r="K31" s="365">
        <v>0</v>
      </c>
      <c r="L31" s="197">
        <v>3</v>
      </c>
      <c r="M31" s="366">
        <v>73</v>
      </c>
      <c r="N31" s="359" t="s">
        <v>748</v>
      </c>
      <c r="O31" s="237" t="s">
        <v>1489</v>
      </c>
      <c r="P31" s="237"/>
      <c r="Q31" s="360" t="s">
        <v>2167</v>
      </c>
      <c r="R31" s="361">
        <v>55197</v>
      </c>
      <c r="S31" s="368" t="s">
        <v>498</v>
      </c>
      <c r="T31" s="363">
        <v>6.5</v>
      </c>
      <c r="U31" s="364" t="s">
        <v>2168</v>
      </c>
      <c r="AH31" s="154" t="s">
        <v>2037</v>
      </c>
      <c r="AI31" s="154" t="s">
        <v>2037</v>
      </c>
      <c r="AJ31" s="154" t="s">
        <v>2370</v>
      </c>
      <c r="AK31" s="154" t="s">
        <v>2370</v>
      </c>
      <c r="AS31" s="154" t="s">
        <v>2033</v>
      </c>
      <c r="AT31" s="154" t="s">
        <v>2033</v>
      </c>
      <c r="AU31" s="154" t="s">
        <v>2033</v>
      </c>
      <c r="AV31" s="154" t="s">
        <v>2033</v>
      </c>
      <c r="AW31" s="154" t="s">
        <v>2033</v>
      </c>
      <c r="AX31" s="154" t="s">
        <v>2034</v>
      </c>
      <c r="AY31" s="154" t="s">
        <v>2034</v>
      </c>
      <c r="AZ31" s="154" t="s">
        <v>2034</v>
      </c>
      <c r="BA31" s="154" t="s">
        <v>2034</v>
      </c>
      <c r="BB31" s="154" t="s">
        <v>2034</v>
      </c>
      <c r="BC31" s="154" t="s">
        <v>2034</v>
      </c>
      <c r="BY31" s="154" t="s">
        <v>2372</v>
      </c>
      <c r="BZ31" s="154" t="s">
        <v>2372</v>
      </c>
      <c r="CA31" s="154" t="s">
        <v>2036</v>
      </c>
      <c r="CB31" s="154" t="s">
        <v>2036</v>
      </c>
      <c r="CC31" s="154" t="s">
        <v>2036</v>
      </c>
      <c r="CD31" s="154" t="s">
        <v>2359</v>
      </c>
      <c r="CE31" s="154" t="s">
        <v>2359</v>
      </c>
      <c r="CF31" s="154" t="s">
        <v>2359</v>
      </c>
      <c r="AYL31" s="154" t="s">
        <v>2361</v>
      </c>
      <c r="AYM31" s="154" t="s">
        <v>2361</v>
      </c>
      <c r="AYN31" s="154" t="s">
        <v>2361</v>
      </c>
      <c r="AYO31" s="154" t="s">
        <v>2361</v>
      </c>
      <c r="AYP31" s="154" t="s">
        <v>2372</v>
      </c>
      <c r="AYQ31" s="154" t="s">
        <v>2372</v>
      </c>
      <c r="AYR31" s="154" t="s">
        <v>2372</v>
      </c>
      <c r="AYS31" s="154" t="s">
        <v>2372</v>
      </c>
      <c r="AYT31" s="154" t="s">
        <v>2362</v>
      </c>
      <c r="AYU31" s="154" t="s">
        <v>2362</v>
      </c>
      <c r="AYV31" s="154" t="s">
        <v>2362</v>
      </c>
      <c r="AYW31" s="154" t="s">
        <v>2362</v>
      </c>
      <c r="AYX31" s="154" t="s">
        <v>2036</v>
      </c>
      <c r="AYY31" s="154" t="s">
        <v>2036</v>
      </c>
      <c r="AYZ31" s="154" t="s">
        <v>2036</v>
      </c>
      <c r="AZA31" s="154" t="s">
        <v>2036</v>
      </c>
    </row>
    <row r="32" spans="1:88 1090:1369" x14ac:dyDescent="0.25">
      <c r="A32" s="197">
        <v>3</v>
      </c>
      <c r="B32" s="197">
        <v>5</v>
      </c>
      <c r="C32" s="197">
        <v>5</v>
      </c>
      <c r="D32" s="365" t="s">
        <v>2374</v>
      </c>
      <c r="E32" s="197" t="s">
        <v>2435</v>
      </c>
      <c r="F32" s="197" t="s">
        <v>2435</v>
      </c>
      <c r="G32" s="197" t="s">
        <v>2383</v>
      </c>
      <c r="H32" s="197" t="s">
        <v>2435</v>
      </c>
      <c r="I32" s="197">
        <v>0</v>
      </c>
      <c r="J32" s="197">
        <v>2</v>
      </c>
      <c r="K32" s="197">
        <v>0</v>
      </c>
      <c r="L32" s="197">
        <v>3</v>
      </c>
      <c r="M32" s="366">
        <v>41</v>
      </c>
      <c r="N32" s="359" t="s">
        <v>751</v>
      </c>
      <c r="O32" s="237" t="s">
        <v>1492</v>
      </c>
      <c r="P32" s="237"/>
      <c r="Q32" s="360" t="s">
        <v>2169</v>
      </c>
      <c r="R32" s="361">
        <v>52298</v>
      </c>
      <c r="S32" s="368" t="s">
        <v>498</v>
      </c>
      <c r="T32" s="363">
        <v>6.3</v>
      </c>
      <c r="U32" s="364" t="s">
        <v>2170</v>
      </c>
      <c r="AH32" s="154" t="s">
        <v>2037</v>
      </c>
      <c r="AI32" s="154" t="s">
        <v>2037</v>
      </c>
      <c r="AJ32" s="154" t="s">
        <v>2370</v>
      </c>
      <c r="AK32" s="154" t="s">
        <v>2370</v>
      </c>
      <c r="AS32" s="154" t="s">
        <v>2033</v>
      </c>
      <c r="AT32" s="154" t="s">
        <v>2033</v>
      </c>
      <c r="AU32" s="154" t="s">
        <v>2033</v>
      </c>
      <c r="AV32" s="154" t="s">
        <v>2033</v>
      </c>
      <c r="AW32" s="154" t="s">
        <v>2033</v>
      </c>
      <c r="AX32" s="154" t="s">
        <v>2034</v>
      </c>
      <c r="AY32" s="154" t="s">
        <v>2034</v>
      </c>
      <c r="AZ32" s="154" t="s">
        <v>2034</v>
      </c>
      <c r="BA32" s="154" t="s">
        <v>2034</v>
      </c>
      <c r="BB32" s="154" t="s">
        <v>2034</v>
      </c>
      <c r="BC32" s="154" t="s">
        <v>2034</v>
      </c>
      <c r="BY32" s="154" t="s">
        <v>2372</v>
      </c>
      <c r="BZ32" s="154" t="s">
        <v>2372</v>
      </c>
      <c r="CA32" s="154" t="s">
        <v>2036</v>
      </c>
      <c r="CB32" s="154" t="s">
        <v>2036</v>
      </c>
      <c r="CC32" s="154" t="s">
        <v>2036</v>
      </c>
      <c r="CD32" s="154" t="s">
        <v>2359</v>
      </c>
      <c r="CE32" s="154" t="s">
        <v>2359</v>
      </c>
      <c r="CF32" s="154" t="s">
        <v>2359</v>
      </c>
      <c r="AZB32" s="154" t="s">
        <v>2361</v>
      </c>
      <c r="AZC32" s="154" t="s">
        <v>2361</v>
      </c>
      <c r="AZD32" s="154" t="s">
        <v>2361</v>
      </c>
      <c r="AZE32" s="154" t="s">
        <v>2361</v>
      </c>
      <c r="AZF32" s="154" t="s">
        <v>2372</v>
      </c>
      <c r="AZG32" s="154" t="s">
        <v>2372</v>
      </c>
      <c r="AZH32" s="154" t="s">
        <v>2372</v>
      </c>
      <c r="AZI32" s="154" t="s">
        <v>2372</v>
      </c>
      <c r="AZJ32" s="154" t="s">
        <v>2362</v>
      </c>
      <c r="AZK32" s="154" t="s">
        <v>2362</v>
      </c>
      <c r="AZL32" s="154" t="s">
        <v>2362</v>
      </c>
      <c r="AZM32" s="154" t="s">
        <v>2362</v>
      </c>
      <c r="AZN32" s="154" t="s">
        <v>2036</v>
      </c>
      <c r="AZO32" s="154" t="s">
        <v>2036</v>
      </c>
      <c r="AZP32" s="154" t="s">
        <v>2036</v>
      </c>
      <c r="AZQ32" s="154" t="s">
        <v>2036</v>
      </c>
    </row>
    <row r="33" spans="1:86 1370:1685" x14ac:dyDescent="0.25">
      <c r="A33" s="197">
        <v>3</v>
      </c>
      <c r="B33" s="197">
        <v>5</v>
      </c>
      <c r="C33" s="197">
        <v>5</v>
      </c>
      <c r="D33" s="365" t="s">
        <v>2374</v>
      </c>
      <c r="E33" s="365" t="s">
        <v>2435</v>
      </c>
      <c r="F33" s="365" t="s">
        <v>2435</v>
      </c>
      <c r="G33" s="365" t="s">
        <v>2384</v>
      </c>
      <c r="H33" s="365" t="s">
        <v>2435</v>
      </c>
      <c r="I33" s="365">
        <v>0</v>
      </c>
      <c r="J33" s="197">
        <v>2</v>
      </c>
      <c r="K33" s="365">
        <v>0</v>
      </c>
      <c r="L33" s="197">
        <v>3</v>
      </c>
      <c r="M33" s="366">
        <v>49</v>
      </c>
      <c r="N33" s="359" t="s">
        <v>753</v>
      </c>
      <c r="O33" s="237" t="s">
        <v>1492</v>
      </c>
      <c r="P33" s="237"/>
      <c r="Q33" s="360" t="s">
        <v>2171</v>
      </c>
      <c r="R33" s="361">
        <v>54143</v>
      </c>
      <c r="S33" s="368" t="s">
        <v>498</v>
      </c>
      <c r="T33" s="363">
        <v>6.3</v>
      </c>
      <c r="U33" s="364" t="s">
        <v>2172</v>
      </c>
      <c r="AH33" s="154" t="s">
        <v>2037</v>
      </c>
      <c r="AI33" s="154" t="s">
        <v>2037</v>
      </c>
      <c r="AJ33" s="154" t="s">
        <v>2370</v>
      </c>
      <c r="AK33" s="154" t="s">
        <v>2370</v>
      </c>
      <c r="AS33" s="154" t="s">
        <v>2033</v>
      </c>
      <c r="AT33" s="154" t="s">
        <v>2033</v>
      </c>
      <c r="AU33" s="154" t="s">
        <v>2033</v>
      </c>
      <c r="AV33" s="154" t="s">
        <v>2033</v>
      </c>
      <c r="AW33" s="154" t="s">
        <v>2033</v>
      </c>
      <c r="AX33" s="154" t="s">
        <v>2034</v>
      </c>
      <c r="AY33" s="154" t="s">
        <v>2034</v>
      </c>
      <c r="AZ33" s="154" t="s">
        <v>2034</v>
      </c>
      <c r="BA33" s="154" t="s">
        <v>2034</v>
      </c>
      <c r="BB33" s="154" t="s">
        <v>2034</v>
      </c>
      <c r="BC33" s="154" t="s">
        <v>2034</v>
      </c>
      <c r="BY33" s="154" t="s">
        <v>2372</v>
      </c>
      <c r="BZ33" s="154" t="s">
        <v>2372</v>
      </c>
      <c r="CA33" s="154" t="s">
        <v>2036</v>
      </c>
      <c r="CB33" s="154" t="s">
        <v>2036</v>
      </c>
      <c r="CC33" s="154" t="s">
        <v>2036</v>
      </c>
      <c r="CD33" s="154" t="s">
        <v>2359</v>
      </c>
      <c r="CE33" s="154" t="s">
        <v>2359</v>
      </c>
      <c r="CF33" s="154" t="s">
        <v>2359</v>
      </c>
      <c r="AZR33" s="154" t="s">
        <v>2361</v>
      </c>
      <c r="AZS33" s="154" t="s">
        <v>2361</v>
      </c>
      <c r="AZT33" s="154" t="s">
        <v>2361</v>
      </c>
      <c r="AZU33" s="154" t="s">
        <v>2361</v>
      </c>
      <c r="AZV33" s="154" t="s">
        <v>2372</v>
      </c>
      <c r="AZW33" s="154" t="s">
        <v>2372</v>
      </c>
      <c r="AZX33" s="154" t="s">
        <v>2372</v>
      </c>
      <c r="AZY33" s="154" t="s">
        <v>2372</v>
      </c>
      <c r="AZZ33" s="154" t="s">
        <v>2362</v>
      </c>
      <c r="BAA33" s="154" t="s">
        <v>2362</v>
      </c>
      <c r="BAB33" s="154" t="s">
        <v>2362</v>
      </c>
      <c r="BAC33" s="154" t="s">
        <v>2362</v>
      </c>
      <c r="BAD33" s="154" t="s">
        <v>2036</v>
      </c>
      <c r="BAE33" s="154" t="s">
        <v>2036</v>
      </c>
      <c r="BAF33" s="154" t="s">
        <v>2036</v>
      </c>
      <c r="BAG33" s="154" t="s">
        <v>2036</v>
      </c>
    </row>
    <row r="34" spans="1:86 1370:1685" x14ac:dyDescent="0.25">
      <c r="A34" s="197">
        <v>3</v>
      </c>
      <c r="B34" s="197">
        <v>5</v>
      </c>
      <c r="C34" s="197">
        <v>5</v>
      </c>
      <c r="D34" s="365" t="s">
        <v>2374</v>
      </c>
      <c r="E34" s="197" t="s">
        <v>2435</v>
      </c>
      <c r="F34" s="197" t="s">
        <v>2435</v>
      </c>
      <c r="G34" s="365" t="s">
        <v>2385</v>
      </c>
      <c r="H34" s="197" t="s">
        <v>2435</v>
      </c>
      <c r="I34" s="197">
        <v>0</v>
      </c>
      <c r="J34" s="197">
        <v>2</v>
      </c>
      <c r="K34" s="197">
        <v>0</v>
      </c>
      <c r="L34" s="197">
        <v>3</v>
      </c>
      <c r="M34" s="366">
        <v>59</v>
      </c>
      <c r="N34" s="359" t="s">
        <v>755</v>
      </c>
      <c r="O34" s="237" t="s">
        <v>1492</v>
      </c>
      <c r="P34" s="237"/>
      <c r="Q34" s="360" t="s">
        <v>2173</v>
      </c>
      <c r="R34" s="361">
        <v>55859</v>
      </c>
      <c r="S34" s="368" t="s">
        <v>498</v>
      </c>
      <c r="T34" s="363">
        <v>6.5</v>
      </c>
      <c r="U34" s="364" t="s">
        <v>2174</v>
      </c>
      <c r="AH34" s="154" t="s">
        <v>2037</v>
      </c>
      <c r="AI34" s="154" t="s">
        <v>2037</v>
      </c>
      <c r="AJ34" s="154" t="s">
        <v>2370</v>
      </c>
      <c r="AK34" s="154" t="s">
        <v>2370</v>
      </c>
      <c r="AS34" s="154" t="s">
        <v>2033</v>
      </c>
      <c r="AT34" s="154" t="s">
        <v>2033</v>
      </c>
      <c r="AU34" s="154" t="s">
        <v>2033</v>
      </c>
      <c r="AV34" s="154" t="s">
        <v>2033</v>
      </c>
      <c r="AW34" s="154" t="s">
        <v>2033</v>
      </c>
      <c r="AX34" s="154" t="s">
        <v>2034</v>
      </c>
      <c r="AY34" s="154" t="s">
        <v>2034</v>
      </c>
      <c r="AZ34" s="154" t="s">
        <v>2034</v>
      </c>
      <c r="BA34" s="154" t="s">
        <v>2034</v>
      </c>
      <c r="BB34" s="154" t="s">
        <v>2034</v>
      </c>
      <c r="BC34" s="154" t="s">
        <v>2034</v>
      </c>
      <c r="BY34" s="154" t="s">
        <v>2372</v>
      </c>
      <c r="BZ34" s="154" t="s">
        <v>2372</v>
      </c>
      <c r="CA34" s="154" t="s">
        <v>2036</v>
      </c>
      <c r="CB34" s="154" t="s">
        <v>2036</v>
      </c>
      <c r="CC34" s="154" t="s">
        <v>2036</v>
      </c>
      <c r="CD34" s="154" t="s">
        <v>2359</v>
      </c>
      <c r="CE34" s="154" t="s">
        <v>2359</v>
      </c>
      <c r="CF34" s="154" t="s">
        <v>2359</v>
      </c>
      <c r="BAH34" s="154" t="s">
        <v>2361</v>
      </c>
      <c r="BAI34" s="154" t="s">
        <v>2361</v>
      </c>
      <c r="BAJ34" s="154" t="s">
        <v>2361</v>
      </c>
      <c r="BAK34" s="154" t="s">
        <v>2361</v>
      </c>
      <c r="BAL34" s="154" t="s">
        <v>2372</v>
      </c>
      <c r="BAM34" s="154" t="s">
        <v>2372</v>
      </c>
      <c r="BAN34" s="154" t="s">
        <v>2372</v>
      </c>
      <c r="BAO34" s="154" t="s">
        <v>2372</v>
      </c>
      <c r="BAP34" s="154" t="s">
        <v>2362</v>
      </c>
      <c r="BAQ34" s="154" t="s">
        <v>2362</v>
      </c>
      <c r="BAR34" s="154" t="s">
        <v>2362</v>
      </c>
      <c r="BAS34" s="154" t="s">
        <v>2362</v>
      </c>
      <c r="BAT34" s="154" t="s">
        <v>2036</v>
      </c>
      <c r="BAU34" s="154" t="s">
        <v>2036</v>
      </c>
      <c r="BAV34" s="154" t="s">
        <v>2036</v>
      </c>
      <c r="BAW34" s="154" t="s">
        <v>2036</v>
      </c>
    </row>
    <row r="35" spans="1:86 1370:1685" x14ac:dyDescent="0.25">
      <c r="A35" s="197">
        <v>3</v>
      </c>
      <c r="B35" s="197">
        <v>5</v>
      </c>
      <c r="C35" s="197">
        <v>5</v>
      </c>
      <c r="D35" s="365" t="s">
        <v>2374</v>
      </c>
      <c r="E35" s="365" t="s">
        <v>2435</v>
      </c>
      <c r="F35" s="365" t="s">
        <v>2435</v>
      </c>
      <c r="G35" s="365" t="s">
        <v>2382</v>
      </c>
      <c r="H35" s="365" t="s">
        <v>2435</v>
      </c>
      <c r="I35" s="365">
        <v>0</v>
      </c>
      <c r="J35" s="197">
        <v>2</v>
      </c>
      <c r="K35" s="365">
        <v>0</v>
      </c>
      <c r="L35" s="197">
        <v>3</v>
      </c>
      <c r="M35" s="366">
        <v>73</v>
      </c>
      <c r="N35" s="359" t="s">
        <v>757</v>
      </c>
      <c r="O35" s="237" t="s">
        <v>1492</v>
      </c>
      <c r="P35" s="237"/>
      <c r="Q35" s="360" t="s">
        <v>2175</v>
      </c>
      <c r="R35" s="361">
        <v>58895</v>
      </c>
      <c r="S35" s="368" t="s">
        <v>498</v>
      </c>
      <c r="T35" s="363">
        <v>6.5</v>
      </c>
      <c r="U35" s="364" t="s">
        <v>2176</v>
      </c>
      <c r="AH35" s="154" t="s">
        <v>2037</v>
      </c>
      <c r="AI35" s="154" t="s">
        <v>2037</v>
      </c>
      <c r="AJ35" s="154" t="s">
        <v>2370</v>
      </c>
      <c r="AK35" s="154" t="s">
        <v>2370</v>
      </c>
      <c r="AS35" s="154" t="s">
        <v>2033</v>
      </c>
      <c r="AT35" s="154" t="s">
        <v>2033</v>
      </c>
      <c r="AU35" s="154" t="s">
        <v>2033</v>
      </c>
      <c r="AV35" s="154" t="s">
        <v>2033</v>
      </c>
      <c r="AW35" s="154" t="s">
        <v>2033</v>
      </c>
      <c r="AX35" s="154" t="s">
        <v>2034</v>
      </c>
      <c r="AY35" s="154" t="s">
        <v>2034</v>
      </c>
      <c r="AZ35" s="154" t="s">
        <v>2034</v>
      </c>
      <c r="BA35" s="154" t="s">
        <v>2034</v>
      </c>
      <c r="BB35" s="154" t="s">
        <v>2034</v>
      </c>
      <c r="BC35" s="154" t="s">
        <v>2034</v>
      </c>
      <c r="BY35" s="154" t="s">
        <v>2372</v>
      </c>
      <c r="BZ35" s="154" t="s">
        <v>2372</v>
      </c>
      <c r="CA35" s="154" t="s">
        <v>2036</v>
      </c>
      <c r="CB35" s="154" t="s">
        <v>2036</v>
      </c>
      <c r="CC35" s="154" t="s">
        <v>2036</v>
      </c>
      <c r="CD35" s="154" t="s">
        <v>2359</v>
      </c>
      <c r="CE35" s="154" t="s">
        <v>2359</v>
      </c>
      <c r="CF35" s="154" t="s">
        <v>2359</v>
      </c>
      <c r="BAX35" s="154" t="s">
        <v>2361</v>
      </c>
      <c r="BAY35" s="154" t="s">
        <v>2361</v>
      </c>
      <c r="BAZ35" s="154" t="s">
        <v>2361</v>
      </c>
      <c r="BBA35" s="154" t="s">
        <v>2361</v>
      </c>
      <c r="BBB35" s="154" t="s">
        <v>2372</v>
      </c>
      <c r="BBC35" s="154" t="s">
        <v>2372</v>
      </c>
      <c r="BBD35" s="154" t="s">
        <v>2372</v>
      </c>
      <c r="BBE35" s="154" t="s">
        <v>2372</v>
      </c>
      <c r="BBF35" s="154" t="s">
        <v>2362</v>
      </c>
      <c r="BBG35" s="154" t="s">
        <v>2362</v>
      </c>
      <c r="BBH35" s="154" t="s">
        <v>2362</v>
      </c>
      <c r="BBI35" s="154" t="s">
        <v>2362</v>
      </c>
      <c r="BBJ35" s="154" t="s">
        <v>2036</v>
      </c>
      <c r="BBK35" s="154" t="s">
        <v>2036</v>
      </c>
      <c r="BBL35" s="154" t="s">
        <v>2036</v>
      </c>
      <c r="BBM35" s="154" t="s">
        <v>2036</v>
      </c>
    </row>
    <row r="36" spans="1:86 1370:1685" x14ac:dyDescent="0.25">
      <c r="A36" s="197">
        <v>3</v>
      </c>
      <c r="B36" s="197">
        <v>5</v>
      </c>
      <c r="C36" s="197">
        <v>5</v>
      </c>
      <c r="D36" s="365" t="s">
        <v>2374</v>
      </c>
      <c r="E36" s="197" t="s">
        <v>2435</v>
      </c>
      <c r="F36" s="197" t="s">
        <v>2435</v>
      </c>
      <c r="G36" s="197" t="s">
        <v>2383</v>
      </c>
      <c r="H36" s="197" t="s">
        <v>2435</v>
      </c>
      <c r="I36" s="197">
        <v>0</v>
      </c>
      <c r="J36" s="197">
        <v>2</v>
      </c>
      <c r="K36" s="197">
        <v>0</v>
      </c>
      <c r="L36" s="197">
        <v>3</v>
      </c>
      <c r="M36" s="366">
        <v>41</v>
      </c>
      <c r="N36" s="359" t="s">
        <v>759</v>
      </c>
      <c r="O36" s="237" t="s">
        <v>1494</v>
      </c>
      <c r="P36" s="237"/>
      <c r="Q36" s="360" t="s">
        <v>2177</v>
      </c>
      <c r="R36" s="361">
        <v>57218</v>
      </c>
      <c r="S36" s="369" t="s">
        <v>761</v>
      </c>
      <c r="T36" s="370">
        <v>16.399999999999999</v>
      </c>
      <c r="U36" s="364" t="s">
        <v>2178</v>
      </c>
      <c r="AH36" s="154" t="s">
        <v>2037</v>
      </c>
      <c r="AI36" s="154" t="s">
        <v>2037</v>
      </c>
      <c r="AJ36" s="154" t="s">
        <v>2370</v>
      </c>
      <c r="AK36" s="154" t="s">
        <v>2370</v>
      </c>
      <c r="AS36" s="154" t="s">
        <v>2033</v>
      </c>
      <c r="AT36" s="154" t="s">
        <v>2033</v>
      </c>
      <c r="AU36" s="154" t="s">
        <v>2033</v>
      </c>
      <c r="AV36" s="154" t="s">
        <v>2033</v>
      </c>
      <c r="AW36" s="154" t="s">
        <v>2033</v>
      </c>
      <c r="AX36" s="154" t="s">
        <v>2034</v>
      </c>
      <c r="AY36" s="154" t="s">
        <v>2034</v>
      </c>
      <c r="AZ36" s="154" t="s">
        <v>2034</v>
      </c>
      <c r="BA36" s="154" t="s">
        <v>2034</v>
      </c>
      <c r="BB36" s="154" t="s">
        <v>2034</v>
      </c>
      <c r="BC36" s="154" t="s">
        <v>2034</v>
      </c>
      <c r="BY36" s="154" t="s">
        <v>2372</v>
      </c>
      <c r="BZ36" s="154" t="s">
        <v>2372</v>
      </c>
      <c r="CA36" s="154" t="s">
        <v>2036</v>
      </c>
      <c r="CB36" s="154" t="s">
        <v>2036</v>
      </c>
      <c r="CC36" s="154" t="s">
        <v>2036</v>
      </c>
      <c r="CD36" s="154" t="s">
        <v>2359</v>
      </c>
      <c r="CE36" s="154" t="s">
        <v>2359</v>
      </c>
      <c r="CF36" s="154" t="s">
        <v>2359</v>
      </c>
      <c r="BBN36" s="154" t="s">
        <v>2361</v>
      </c>
      <c r="BBO36" s="154" t="s">
        <v>2361</v>
      </c>
      <c r="BBP36" s="154" t="s">
        <v>2361</v>
      </c>
      <c r="BBQ36" s="154" t="s">
        <v>2361</v>
      </c>
      <c r="BBR36" s="154" t="s">
        <v>2372</v>
      </c>
      <c r="BBS36" s="154" t="s">
        <v>2372</v>
      </c>
      <c r="BBT36" s="154" t="s">
        <v>2372</v>
      </c>
      <c r="BBU36" s="154" t="s">
        <v>2372</v>
      </c>
      <c r="BBV36" s="154" t="s">
        <v>2362</v>
      </c>
      <c r="BBW36" s="154" t="s">
        <v>2362</v>
      </c>
      <c r="BBX36" s="154" t="s">
        <v>2362</v>
      </c>
      <c r="BBY36" s="154" t="s">
        <v>2362</v>
      </c>
      <c r="BBZ36" s="154" t="s">
        <v>2036</v>
      </c>
      <c r="BCA36" s="154" t="s">
        <v>2036</v>
      </c>
      <c r="BCB36" s="154" t="s">
        <v>2036</v>
      </c>
      <c r="BCC36" s="154" t="s">
        <v>2036</v>
      </c>
    </row>
    <row r="37" spans="1:86 1370:1685" x14ac:dyDescent="0.25">
      <c r="A37" s="197">
        <v>3</v>
      </c>
      <c r="B37" s="197">
        <v>5</v>
      </c>
      <c r="C37" s="197">
        <v>5</v>
      </c>
      <c r="D37" s="365" t="s">
        <v>2374</v>
      </c>
      <c r="E37" s="365" t="s">
        <v>2435</v>
      </c>
      <c r="F37" s="365" t="s">
        <v>2435</v>
      </c>
      <c r="G37" s="365" t="s">
        <v>2384</v>
      </c>
      <c r="H37" s="365" t="s">
        <v>2435</v>
      </c>
      <c r="I37" s="365">
        <v>0</v>
      </c>
      <c r="J37" s="197">
        <v>2</v>
      </c>
      <c r="K37" s="365">
        <v>0</v>
      </c>
      <c r="L37" s="197">
        <v>3</v>
      </c>
      <c r="M37" s="366">
        <v>49</v>
      </c>
      <c r="N37" s="359" t="s">
        <v>763</v>
      </c>
      <c r="O37" s="237" t="s">
        <v>1494</v>
      </c>
      <c r="P37" s="237"/>
      <c r="Q37" s="360" t="s">
        <v>2179</v>
      </c>
      <c r="R37" s="361">
        <v>59148</v>
      </c>
      <c r="S37" s="369" t="s">
        <v>761</v>
      </c>
      <c r="T37" s="370">
        <v>16.399999999999999</v>
      </c>
      <c r="U37" s="364" t="s">
        <v>2180</v>
      </c>
      <c r="AH37" s="154" t="s">
        <v>2037</v>
      </c>
      <c r="AI37" s="154" t="s">
        <v>2037</v>
      </c>
      <c r="AJ37" s="154" t="s">
        <v>2370</v>
      </c>
      <c r="AK37" s="154" t="s">
        <v>2370</v>
      </c>
      <c r="AS37" s="154" t="s">
        <v>2033</v>
      </c>
      <c r="AT37" s="154" t="s">
        <v>2033</v>
      </c>
      <c r="AU37" s="154" t="s">
        <v>2033</v>
      </c>
      <c r="AV37" s="154" t="s">
        <v>2033</v>
      </c>
      <c r="AW37" s="154" t="s">
        <v>2033</v>
      </c>
      <c r="AX37" s="154" t="s">
        <v>2034</v>
      </c>
      <c r="AY37" s="154" t="s">
        <v>2034</v>
      </c>
      <c r="AZ37" s="154" t="s">
        <v>2034</v>
      </c>
      <c r="BA37" s="154" t="s">
        <v>2034</v>
      </c>
      <c r="BB37" s="154" t="s">
        <v>2034</v>
      </c>
      <c r="BC37" s="154" t="s">
        <v>2034</v>
      </c>
      <c r="BY37" s="154" t="s">
        <v>2372</v>
      </c>
      <c r="BZ37" s="154" t="s">
        <v>2372</v>
      </c>
      <c r="CA37" s="154" t="s">
        <v>2036</v>
      </c>
      <c r="CB37" s="154" t="s">
        <v>2036</v>
      </c>
      <c r="CC37" s="154" t="s">
        <v>2036</v>
      </c>
      <c r="CD37" s="154" t="s">
        <v>2359</v>
      </c>
      <c r="CE37" s="154" t="s">
        <v>2359</v>
      </c>
      <c r="CF37" s="154" t="s">
        <v>2359</v>
      </c>
      <c r="BCD37" s="154" t="s">
        <v>2361</v>
      </c>
      <c r="BCE37" s="154" t="s">
        <v>2361</v>
      </c>
      <c r="BCF37" s="154" t="s">
        <v>2361</v>
      </c>
      <c r="BCG37" s="154" t="s">
        <v>2361</v>
      </c>
      <c r="BCH37" s="154" t="s">
        <v>2372</v>
      </c>
      <c r="BCI37" s="154" t="s">
        <v>2372</v>
      </c>
      <c r="BCJ37" s="154" t="s">
        <v>2372</v>
      </c>
      <c r="BCK37" s="154" t="s">
        <v>2372</v>
      </c>
      <c r="BCL37" s="154" t="s">
        <v>2362</v>
      </c>
      <c r="BCM37" s="154" t="s">
        <v>2362</v>
      </c>
      <c r="BCN37" s="154" t="s">
        <v>2362</v>
      </c>
      <c r="BCO37" s="154" t="s">
        <v>2362</v>
      </c>
      <c r="BCP37" s="154" t="s">
        <v>2036</v>
      </c>
      <c r="BCQ37" s="154" t="s">
        <v>2036</v>
      </c>
      <c r="BCR37" s="154" t="s">
        <v>2036</v>
      </c>
      <c r="BCS37" s="154" t="s">
        <v>2036</v>
      </c>
    </row>
    <row r="38" spans="1:86 1370:1685" x14ac:dyDescent="0.25">
      <c r="A38" s="197">
        <v>3</v>
      </c>
      <c r="B38" s="197">
        <v>5</v>
      </c>
      <c r="C38" s="197">
        <v>5</v>
      </c>
      <c r="D38" s="365" t="s">
        <v>2374</v>
      </c>
      <c r="E38" s="197" t="s">
        <v>2435</v>
      </c>
      <c r="F38" s="197" t="s">
        <v>2435</v>
      </c>
      <c r="G38" s="365" t="s">
        <v>2385</v>
      </c>
      <c r="H38" s="197" t="s">
        <v>2435</v>
      </c>
      <c r="I38" s="197">
        <v>0</v>
      </c>
      <c r="J38" s="197">
        <v>2</v>
      </c>
      <c r="K38" s="197">
        <v>0</v>
      </c>
      <c r="L38" s="197">
        <v>3</v>
      </c>
      <c r="M38" s="366">
        <v>59</v>
      </c>
      <c r="N38" s="359" t="s">
        <v>766</v>
      </c>
      <c r="O38" s="237" t="s">
        <v>1494</v>
      </c>
      <c r="P38" s="237"/>
      <c r="Q38" s="360" t="s">
        <v>2181</v>
      </c>
      <c r="R38" s="361">
        <v>60951</v>
      </c>
      <c r="S38" s="369" t="s">
        <v>761</v>
      </c>
      <c r="T38" s="370">
        <v>16.399999999999999</v>
      </c>
      <c r="U38" s="364" t="s">
        <v>2182</v>
      </c>
      <c r="AH38" s="154" t="s">
        <v>2037</v>
      </c>
      <c r="AI38" s="154" t="s">
        <v>2037</v>
      </c>
      <c r="AJ38" s="154" t="s">
        <v>2370</v>
      </c>
      <c r="AK38" s="154" t="s">
        <v>2370</v>
      </c>
      <c r="AL38" s="154" t="s">
        <v>2370</v>
      </c>
      <c r="AS38" s="154" t="s">
        <v>2033</v>
      </c>
      <c r="AT38" s="154" t="s">
        <v>2033</v>
      </c>
      <c r="AU38" s="154" t="s">
        <v>2033</v>
      </c>
      <c r="AV38" s="154" t="s">
        <v>2033</v>
      </c>
      <c r="AW38" s="154" t="s">
        <v>2033</v>
      </c>
      <c r="AX38" s="154" t="s">
        <v>2034</v>
      </c>
      <c r="AY38" s="154" t="s">
        <v>2034</v>
      </c>
      <c r="AZ38" s="154" t="s">
        <v>2034</v>
      </c>
      <c r="BA38" s="154" t="s">
        <v>2034</v>
      </c>
      <c r="BB38" s="154" t="s">
        <v>2034</v>
      </c>
      <c r="BC38" s="154" t="s">
        <v>2034</v>
      </c>
      <c r="BD38" s="154" t="s">
        <v>2034</v>
      </c>
      <c r="BE38" s="154" t="s">
        <v>2034</v>
      </c>
      <c r="BF38" s="154" t="s">
        <v>2034</v>
      </c>
      <c r="BG38" s="154" t="s">
        <v>2034</v>
      </c>
      <c r="BY38" s="154" t="s">
        <v>2372</v>
      </c>
      <c r="BZ38" s="154" t="s">
        <v>2372</v>
      </c>
      <c r="CA38" s="154" t="s">
        <v>2036</v>
      </c>
      <c r="CB38" s="154" t="s">
        <v>2036</v>
      </c>
      <c r="CC38" s="154" t="s">
        <v>2036</v>
      </c>
      <c r="CD38" s="154" t="s">
        <v>2359</v>
      </c>
      <c r="CE38" s="154" t="s">
        <v>2359</v>
      </c>
      <c r="CF38" s="154" t="s">
        <v>2359</v>
      </c>
      <c r="BCT38" s="154" t="s">
        <v>2361</v>
      </c>
      <c r="BCU38" s="154" t="s">
        <v>2361</v>
      </c>
      <c r="BCV38" s="154" t="s">
        <v>2361</v>
      </c>
      <c r="BCW38" s="154" t="s">
        <v>2361</v>
      </c>
      <c r="BCX38" s="154" t="s">
        <v>2361</v>
      </c>
      <c r="BCY38" s="154" t="s">
        <v>2372</v>
      </c>
      <c r="BCZ38" s="154" t="s">
        <v>2372</v>
      </c>
      <c r="BDA38" s="154" t="s">
        <v>2372</v>
      </c>
      <c r="BDB38" s="154" t="s">
        <v>2372</v>
      </c>
      <c r="BDC38" s="154" t="s">
        <v>2372</v>
      </c>
      <c r="BDD38" s="154" t="s">
        <v>2362</v>
      </c>
      <c r="BDE38" s="154" t="s">
        <v>2362</v>
      </c>
      <c r="BDF38" s="154" t="s">
        <v>2362</v>
      </c>
      <c r="BDG38" s="154" t="s">
        <v>2362</v>
      </c>
      <c r="BDH38" s="154" t="s">
        <v>2362</v>
      </c>
      <c r="BDI38" s="154" t="s">
        <v>2036</v>
      </c>
      <c r="BDJ38" s="154" t="s">
        <v>2036</v>
      </c>
      <c r="BDK38" s="154" t="s">
        <v>2036</v>
      </c>
      <c r="BDL38" s="154" t="s">
        <v>2036</v>
      </c>
      <c r="BDM38" s="154" t="s">
        <v>2036</v>
      </c>
    </row>
    <row r="39" spans="1:86 1370:1685" x14ac:dyDescent="0.25">
      <c r="A39" s="197">
        <v>3</v>
      </c>
      <c r="B39" s="197">
        <v>5</v>
      </c>
      <c r="C39" s="197">
        <v>5</v>
      </c>
      <c r="D39" s="365" t="s">
        <v>2374</v>
      </c>
      <c r="E39" s="365" t="s">
        <v>2435</v>
      </c>
      <c r="F39" s="365" t="s">
        <v>2435</v>
      </c>
      <c r="G39" s="365" t="s">
        <v>2382</v>
      </c>
      <c r="H39" s="365" t="s">
        <v>2435</v>
      </c>
      <c r="I39" s="365">
        <v>0</v>
      </c>
      <c r="J39" s="197">
        <v>2</v>
      </c>
      <c r="K39" s="365">
        <v>0</v>
      </c>
      <c r="L39" s="197">
        <v>3</v>
      </c>
      <c r="M39" s="366">
        <v>73</v>
      </c>
      <c r="N39" s="359" t="s">
        <v>769</v>
      </c>
      <c r="O39" s="237" t="s">
        <v>1494</v>
      </c>
      <c r="P39" s="237"/>
      <c r="Q39" s="360" t="s">
        <v>2183</v>
      </c>
      <c r="R39" s="361">
        <v>64704</v>
      </c>
      <c r="S39" s="369" t="s">
        <v>761</v>
      </c>
      <c r="T39" s="370">
        <v>16.399999999999999</v>
      </c>
      <c r="U39" s="364" t="s">
        <v>2184</v>
      </c>
      <c r="AH39" s="154" t="s">
        <v>2037</v>
      </c>
      <c r="AI39" s="154" t="s">
        <v>2037</v>
      </c>
      <c r="AJ39" s="154" t="s">
        <v>2370</v>
      </c>
      <c r="AK39" s="154" t="s">
        <v>2370</v>
      </c>
      <c r="AL39" s="154" t="s">
        <v>2370</v>
      </c>
      <c r="AS39" s="154" t="s">
        <v>2033</v>
      </c>
      <c r="AT39" s="154" t="s">
        <v>2033</v>
      </c>
      <c r="AU39" s="154" t="s">
        <v>2033</v>
      </c>
      <c r="AV39" s="154" t="s">
        <v>2033</v>
      </c>
      <c r="AW39" s="154" t="s">
        <v>2033</v>
      </c>
      <c r="AX39" s="154" t="s">
        <v>2034</v>
      </c>
      <c r="AY39" s="154" t="s">
        <v>2034</v>
      </c>
      <c r="AZ39" s="154" t="s">
        <v>2034</v>
      </c>
      <c r="BA39" s="154" t="s">
        <v>2034</v>
      </c>
      <c r="BB39" s="154" t="s">
        <v>2034</v>
      </c>
      <c r="BC39" s="154" t="s">
        <v>2034</v>
      </c>
      <c r="BD39" s="154" t="s">
        <v>2034</v>
      </c>
      <c r="BE39" s="154" t="s">
        <v>2034</v>
      </c>
      <c r="BF39" s="154" t="s">
        <v>2034</v>
      </c>
      <c r="BG39" s="154" t="s">
        <v>2034</v>
      </c>
      <c r="BY39" s="154" t="s">
        <v>2372</v>
      </c>
      <c r="BZ39" s="154" t="s">
        <v>2372</v>
      </c>
      <c r="CA39" s="154" t="s">
        <v>2036</v>
      </c>
      <c r="CB39" s="154" t="s">
        <v>2036</v>
      </c>
      <c r="CC39" s="154" t="s">
        <v>2036</v>
      </c>
      <c r="CD39" s="154" t="s">
        <v>2359</v>
      </c>
      <c r="CE39" s="154" t="s">
        <v>2359</v>
      </c>
      <c r="CF39" s="154" t="s">
        <v>2359</v>
      </c>
      <c r="BDN39" s="154" t="s">
        <v>2361</v>
      </c>
      <c r="BDO39" s="154" t="s">
        <v>2361</v>
      </c>
      <c r="BDP39" s="154" t="s">
        <v>2361</v>
      </c>
      <c r="BDQ39" s="154" t="s">
        <v>2361</v>
      </c>
      <c r="BDR39" s="154" t="s">
        <v>2361</v>
      </c>
      <c r="BDS39" s="154" t="s">
        <v>2372</v>
      </c>
      <c r="BDT39" s="154" t="s">
        <v>2372</v>
      </c>
      <c r="BDU39" s="154" t="s">
        <v>2372</v>
      </c>
      <c r="BDV39" s="154" t="s">
        <v>2372</v>
      </c>
      <c r="BDW39" s="154" t="s">
        <v>2372</v>
      </c>
      <c r="BDX39" s="154" t="s">
        <v>2362</v>
      </c>
      <c r="BDY39" s="154" t="s">
        <v>2362</v>
      </c>
      <c r="BDZ39" s="154" t="s">
        <v>2362</v>
      </c>
      <c r="BEA39" s="154" t="s">
        <v>2362</v>
      </c>
      <c r="BEB39" s="154" t="s">
        <v>2362</v>
      </c>
      <c r="BEC39" s="154" t="s">
        <v>2036</v>
      </c>
      <c r="BED39" s="154" t="s">
        <v>2036</v>
      </c>
      <c r="BEE39" s="154" t="s">
        <v>2036</v>
      </c>
      <c r="BEF39" s="154" t="s">
        <v>2036</v>
      </c>
      <c r="BEG39" s="154" t="s">
        <v>2036</v>
      </c>
    </row>
    <row r="40" spans="1:86 1370:1685" x14ac:dyDescent="0.25">
      <c r="A40" s="197">
        <v>3</v>
      </c>
      <c r="B40" s="197">
        <v>5</v>
      </c>
      <c r="C40" s="197">
        <v>1</v>
      </c>
      <c r="D40" s="197" t="s">
        <v>2386</v>
      </c>
      <c r="E40" s="197" t="s">
        <v>2435</v>
      </c>
      <c r="F40" s="197" t="s">
        <v>2435</v>
      </c>
      <c r="G40" s="197" t="s">
        <v>2435</v>
      </c>
      <c r="H40" s="197" t="s">
        <v>2435</v>
      </c>
      <c r="I40" s="197">
        <v>2</v>
      </c>
      <c r="J40" s="197">
        <v>0</v>
      </c>
      <c r="K40" s="197">
        <v>0</v>
      </c>
      <c r="L40" s="197">
        <v>0</v>
      </c>
      <c r="M40" s="359">
        <v>34</v>
      </c>
      <c r="N40" s="359" t="s">
        <v>772</v>
      </c>
      <c r="O40" s="237" t="s">
        <v>1482</v>
      </c>
      <c r="P40" s="237"/>
      <c r="Q40" s="371" t="s">
        <v>2185</v>
      </c>
      <c r="R40" s="361">
        <v>40891</v>
      </c>
      <c r="S40" s="368" t="s">
        <v>498</v>
      </c>
      <c r="T40" s="363">
        <v>6.6</v>
      </c>
      <c r="U40" s="364" t="s">
        <v>2186</v>
      </c>
      <c r="AH40" s="154" t="s">
        <v>2370</v>
      </c>
      <c r="AI40" s="154" t="s">
        <v>2370</v>
      </c>
      <c r="AJ40" s="154" t="s">
        <v>2370</v>
      </c>
      <c r="AK40" s="154" t="s">
        <v>2370</v>
      </c>
      <c r="AL40" s="154" t="s">
        <v>2370</v>
      </c>
      <c r="AS40" s="154" t="s">
        <v>2033</v>
      </c>
      <c r="AT40" s="154" t="s">
        <v>2034</v>
      </c>
      <c r="AU40" s="154" t="s">
        <v>2034</v>
      </c>
      <c r="AV40" s="154" t="s">
        <v>2034</v>
      </c>
      <c r="AW40" s="154" t="s">
        <v>2034</v>
      </c>
      <c r="AX40" s="154" t="s">
        <v>2034</v>
      </c>
      <c r="AY40" s="154" t="s">
        <v>2033</v>
      </c>
      <c r="AZ40" s="154" t="s">
        <v>2033</v>
      </c>
      <c r="BA40" s="154" t="s">
        <v>2034</v>
      </c>
      <c r="BB40" s="154" t="s">
        <v>2034</v>
      </c>
      <c r="BC40" s="154" t="s">
        <v>2034</v>
      </c>
      <c r="BD40" s="154" t="s">
        <v>2034</v>
      </c>
      <c r="BE40" s="154" t="s">
        <v>2034</v>
      </c>
      <c r="BF40" s="154" t="s">
        <v>2034</v>
      </c>
      <c r="BG40" s="154" t="s">
        <v>2034</v>
      </c>
      <c r="BY40" s="154" t="s">
        <v>2361</v>
      </c>
      <c r="BZ40" s="154" t="s">
        <v>2361</v>
      </c>
      <c r="CA40" s="154" t="s">
        <v>2359</v>
      </c>
      <c r="CB40" s="154" t="s">
        <v>2359</v>
      </c>
      <c r="CC40" s="154" t="s">
        <v>2359</v>
      </c>
      <c r="CD40" s="154" t="s">
        <v>2359</v>
      </c>
      <c r="BEH40" s="154" t="s">
        <v>2361</v>
      </c>
      <c r="BEI40" s="154" t="s">
        <v>2361</v>
      </c>
      <c r="BEJ40" s="154" t="s">
        <v>2361</v>
      </c>
      <c r="BEK40" s="154" t="s">
        <v>2361</v>
      </c>
      <c r="BEL40" s="154" t="s">
        <v>2361</v>
      </c>
      <c r="BEM40" s="154" t="s">
        <v>2372</v>
      </c>
      <c r="BEN40" s="154" t="s">
        <v>2372</v>
      </c>
      <c r="BEO40" s="154" t="s">
        <v>2372</v>
      </c>
      <c r="BEP40" s="154" t="s">
        <v>2372</v>
      </c>
      <c r="BEQ40" s="154" t="s">
        <v>2372</v>
      </c>
      <c r="BER40" s="154" t="s">
        <v>2362</v>
      </c>
      <c r="BES40" s="154" t="s">
        <v>2362</v>
      </c>
      <c r="BET40" s="154" t="s">
        <v>2362</v>
      </c>
      <c r="BEU40" s="154" t="s">
        <v>2362</v>
      </c>
      <c r="BEV40" s="154" t="s">
        <v>2362</v>
      </c>
      <c r="BEW40" s="154" t="s">
        <v>2036</v>
      </c>
      <c r="BEX40" s="154" t="s">
        <v>2036</v>
      </c>
      <c r="BEY40" s="154" t="s">
        <v>2036</v>
      </c>
      <c r="BEZ40" s="154" t="s">
        <v>2036</v>
      </c>
      <c r="BFA40" s="154" t="s">
        <v>2036</v>
      </c>
    </row>
    <row r="41" spans="1:86 1370:1685" x14ac:dyDescent="0.25">
      <c r="A41" s="197">
        <v>3</v>
      </c>
      <c r="B41" s="197">
        <v>5</v>
      </c>
      <c r="C41" s="197">
        <v>1</v>
      </c>
      <c r="D41" s="197" t="s">
        <v>2381</v>
      </c>
      <c r="E41" s="197" t="s">
        <v>2435</v>
      </c>
      <c r="F41" s="197" t="s">
        <v>2435</v>
      </c>
      <c r="G41" s="197" t="s">
        <v>2435</v>
      </c>
      <c r="H41" s="197" t="s">
        <v>2435</v>
      </c>
      <c r="I41" s="197">
        <v>2</v>
      </c>
      <c r="J41" s="197">
        <v>0</v>
      </c>
      <c r="K41" s="197">
        <v>0</v>
      </c>
      <c r="L41" s="197">
        <v>0</v>
      </c>
      <c r="M41" s="359">
        <v>46</v>
      </c>
      <c r="N41" s="359" t="s">
        <v>775</v>
      </c>
      <c r="O41" s="237" t="s">
        <v>1482</v>
      </c>
      <c r="P41" s="237"/>
      <c r="Q41" s="371" t="s">
        <v>2187</v>
      </c>
      <c r="R41" s="361">
        <v>42561</v>
      </c>
      <c r="S41" s="368" t="s">
        <v>498</v>
      </c>
      <c r="T41" s="363">
        <v>6.6</v>
      </c>
      <c r="U41" s="364" t="s">
        <v>2188</v>
      </c>
      <c r="AH41" s="154" t="s">
        <v>2370</v>
      </c>
      <c r="AI41" s="154" t="s">
        <v>2370</v>
      </c>
      <c r="AJ41" s="154" t="s">
        <v>2370</v>
      </c>
      <c r="AK41" s="154" t="s">
        <v>2370</v>
      </c>
      <c r="AL41" s="154" t="s">
        <v>2370</v>
      </c>
      <c r="AS41" s="154" t="s">
        <v>2033</v>
      </c>
      <c r="AT41" s="154" t="s">
        <v>2034</v>
      </c>
      <c r="AU41" s="154" t="s">
        <v>2034</v>
      </c>
      <c r="AV41" s="154" t="s">
        <v>2034</v>
      </c>
      <c r="AW41" s="154" t="s">
        <v>2034</v>
      </c>
      <c r="AX41" s="154" t="s">
        <v>2034</v>
      </c>
      <c r="AY41" s="154" t="s">
        <v>2033</v>
      </c>
      <c r="AZ41" s="154" t="s">
        <v>2033</v>
      </c>
      <c r="BA41" s="154" t="s">
        <v>2034</v>
      </c>
      <c r="BB41" s="154" t="s">
        <v>2034</v>
      </c>
      <c r="BC41" s="154" t="s">
        <v>2034</v>
      </c>
      <c r="BD41" s="154" t="s">
        <v>2034</v>
      </c>
      <c r="BE41" s="154" t="s">
        <v>2034</v>
      </c>
      <c r="BF41" s="154" t="s">
        <v>2034</v>
      </c>
      <c r="BG41" s="154" t="s">
        <v>2034</v>
      </c>
      <c r="BY41" s="154" t="s">
        <v>2361</v>
      </c>
      <c r="BZ41" s="154" t="s">
        <v>2361</v>
      </c>
      <c r="CA41" s="154" t="s">
        <v>2359</v>
      </c>
      <c r="CB41" s="154" t="s">
        <v>2359</v>
      </c>
      <c r="CC41" s="154" t="s">
        <v>2359</v>
      </c>
      <c r="CD41" s="154" t="s">
        <v>2359</v>
      </c>
      <c r="BFB41" s="154" t="s">
        <v>2361</v>
      </c>
      <c r="BFC41" s="154" t="s">
        <v>2361</v>
      </c>
      <c r="BFD41" s="154" t="s">
        <v>2361</v>
      </c>
      <c r="BFE41" s="154" t="s">
        <v>2361</v>
      </c>
      <c r="BFF41" s="154" t="s">
        <v>2361</v>
      </c>
      <c r="BFG41" s="154" t="s">
        <v>2372</v>
      </c>
      <c r="BFH41" s="154" t="s">
        <v>2372</v>
      </c>
      <c r="BFI41" s="154" t="s">
        <v>2372</v>
      </c>
      <c r="BFJ41" s="154" t="s">
        <v>2372</v>
      </c>
      <c r="BFK41" s="154" t="s">
        <v>2372</v>
      </c>
      <c r="BFL41" s="154" t="s">
        <v>2362</v>
      </c>
      <c r="BFM41" s="154" t="s">
        <v>2362</v>
      </c>
      <c r="BFN41" s="154" t="s">
        <v>2362</v>
      </c>
      <c r="BFO41" s="154" t="s">
        <v>2362</v>
      </c>
      <c r="BFP41" s="154" t="s">
        <v>2362</v>
      </c>
      <c r="BFQ41" s="154" t="s">
        <v>2036</v>
      </c>
      <c r="BFR41" s="154" t="s">
        <v>2036</v>
      </c>
      <c r="BFS41" s="154" t="s">
        <v>2036</v>
      </c>
      <c r="BFT41" s="154" t="s">
        <v>2036</v>
      </c>
      <c r="BFU41" s="154" t="s">
        <v>2036</v>
      </c>
    </row>
    <row r="42" spans="1:86 1370:1685" x14ac:dyDescent="0.25">
      <c r="A42" s="197">
        <v>3</v>
      </c>
      <c r="B42" s="197">
        <v>5</v>
      </c>
      <c r="C42" s="197">
        <v>1</v>
      </c>
      <c r="D42" s="197" t="s">
        <v>2385</v>
      </c>
      <c r="E42" s="197" t="s">
        <v>2435</v>
      </c>
      <c r="F42" s="197" t="s">
        <v>2435</v>
      </c>
      <c r="G42" s="197" t="s">
        <v>2435</v>
      </c>
      <c r="H42" s="197" t="s">
        <v>2435</v>
      </c>
      <c r="I42" s="197">
        <v>2</v>
      </c>
      <c r="J42" s="197">
        <v>0</v>
      </c>
      <c r="K42" s="197">
        <v>0</v>
      </c>
      <c r="L42" s="197">
        <v>0</v>
      </c>
      <c r="M42" s="359">
        <v>60</v>
      </c>
      <c r="N42" s="359" t="s">
        <v>778</v>
      </c>
      <c r="O42" s="237" t="s">
        <v>1482</v>
      </c>
      <c r="P42" s="237"/>
      <c r="Q42" s="371" t="s">
        <v>2189</v>
      </c>
      <c r="R42" s="361">
        <v>45329</v>
      </c>
      <c r="S42" s="368" t="s">
        <v>498</v>
      </c>
      <c r="T42" s="363">
        <v>6.8</v>
      </c>
      <c r="U42" s="364" t="s">
        <v>2190</v>
      </c>
      <c r="AH42" s="154" t="s">
        <v>2370</v>
      </c>
      <c r="AI42" s="154" t="s">
        <v>2370</v>
      </c>
      <c r="AJ42" s="154" t="s">
        <v>2370</v>
      </c>
      <c r="AK42" s="154" t="s">
        <v>2370</v>
      </c>
      <c r="AL42" s="154" t="s">
        <v>2370</v>
      </c>
      <c r="AS42" s="154" t="s">
        <v>2033</v>
      </c>
      <c r="AT42" s="154" t="s">
        <v>2034</v>
      </c>
      <c r="AU42" s="154" t="s">
        <v>2034</v>
      </c>
      <c r="AV42" s="154" t="s">
        <v>2034</v>
      </c>
      <c r="AW42" s="154" t="s">
        <v>2034</v>
      </c>
      <c r="AX42" s="154" t="s">
        <v>2034</v>
      </c>
      <c r="AY42" s="154" t="s">
        <v>2033</v>
      </c>
      <c r="AZ42" s="154" t="s">
        <v>2033</v>
      </c>
      <c r="BA42" s="154" t="s">
        <v>2034</v>
      </c>
      <c r="BB42" s="154" t="s">
        <v>2034</v>
      </c>
      <c r="BC42" s="154" t="s">
        <v>2034</v>
      </c>
      <c r="BD42" s="154" t="s">
        <v>2034</v>
      </c>
      <c r="BE42" s="154" t="s">
        <v>2034</v>
      </c>
      <c r="BF42" s="154" t="s">
        <v>2034</v>
      </c>
      <c r="BG42" s="154" t="s">
        <v>2034</v>
      </c>
      <c r="BY42" s="154" t="s">
        <v>2361</v>
      </c>
      <c r="BZ42" s="154" t="s">
        <v>2361</v>
      </c>
      <c r="CA42" s="154" t="s">
        <v>2359</v>
      </c>
      <c r="CB42" s="154" t="s">
        <v>2359</v>
      </c>
      <c r="CC42" s="154" t="s">
        <v>2359</v>
      </c>
      <c r="CD42" s="154" t="s">
        <v>2359</v>
      </c>
      <c r="BFV42" s="154" t="s">
        <v>2361</v>
      </c>
      <c r="BFW42" s="154" t="s">
        <v>2361</v>
      </c>
      <c r="BFX42" s="154" t="s">
        <v>2361</v>
      </c>
      <c r="BFY42" s="154" t="s">
        <v>2361</v>
      </c>
      <c r="BFZ42" s="154" t="s">
        <v>2361</v>
      </c>
      <c r="BGA42" s="154" t="s">
        <v>2372</v>
      </c>
      <c r="BGB42" s="154" t="s">
        <v>2372</v>
      </c>
      <c r="BGC42" s="154" t="s">
        <v>2372</v>
      </c>
      <c r="BGD42" s="154" t="s">
        <v>2372</v>
      </c>
      <c r="BGE42" s="154" t="s">
        <v>2372</v>
      </c>
      <c r="BGF42" s="154" t="s">
        <v>2362</v>
      </c>
      <c r="BGG42" s="154" t="s">
        <v>2362</v>
      </c>
      <c r="BGH42" s="154" t="s">
        <v>2362</v>
      </c>
      <c r="BGI42" s="154" t="s">
        <v>2362</v>
      </c>
      <c r="BGJ42" s="154" t="s">
        <v>2362</v>
      </c>
      <c r="BGK42" s="154" t="s">
        <v>2036</v>
      </c>
      <c r="BGL42" s="154" t="s">
        <v>2036</v>
      </c>
      <c r="BGM42" s="154" t="s">
        <v>2036</v>
      </c>
      <c r="BGN42" s="154" t="s">
        <v>2036</v>
      </c>
      <c r="BGO42" s="154" t="s">
        <v>2036</v>
      </c>
    </row>
    <row r="43" spans="1:86 1370:1685" x14ac:dyDescent="0.25">
      <c r="A43" s="197">
        <v>3</v>
      </c>
      <c r="B43" s="197">
        <v>5</v>
      </c>
      <c r="C43" s="197">
        <v>1</v>
      </c>
      <c r="D43" s="197" t="s">
        <v>2382</v>
      </c>
      <c r="E43" s="197" t="s">
        <v>2435</v>
      </c>
      <c r="F43" s="197" t="s">
        <v>2435</v>
      </c>
      <c r="G43" s="197" t="s">
        <v>2435</v>
      </c>
      <c r="H43" s="197" t="s">
        <v>2435</v>
      </c>
      <c r="I43" s="197">
        <v>2</v>
      </c>
      <c r="J43" s="197">
        <v>0</v>
      </c>
      <c r="K43" s="197">
        <v>0</v>
      </c>
      <c r="L43" s="197">
        <v>0</v>
      </c>
      <c r="M43" s="359">
        <v>74</v>
      </c>
      <c r="N43" s="359" t="s">
        <v>781</v>
      </c>
      <c r="O43" s="237" t="s">
        <v>1482</v>
      </c>
      <c r="P43" s="237"/>
      <c r="Q43" s="371" t="s">
        <v>2191</v>
      </c>
      <c r="R43" s="361">
        <v>48978</v>
      </c>
      <c r="S43" s="368" t="s">
        <v>498</v>
      </c>
      <c r="T43" s="363">
        <v>6.8</v>
      </c>
      <c r="U43" s="364" t="s">
        <v>2192</v>
      </c>
      <c r="AH43" s="154" t="s">
        <v>2370</v>
      </c>
      <c r="AI43" s="154" t="s">
        <v>2370</v>
      </c>
      <c r="AJ43" s="154" t="s">
        <v>2370</v>
      </c>
      <c r="AK43" s="154" t="s">
        <v>2370</v>
      </c>
      <c r="AL43" s="154" t="s">
        <v>2370</v>
      </c>
      <c r="AS43" s="154" t="s">
        <v>2033</v>
      </c>
      <c r="AT43" s="154" t="s">
        <v>2034</v>
      </c>
      <c r="AU43" s="154" t="s">
        <v>2034</v>
      </c>
      <c r="AV43" s="154" t="s">
        <v>2034</v>
      </c>
      <c r="AW43" s="154" t="s">
        <v>2034</v>
      </c>
      <c r="AX43" s="154" t="s">
        <v>2034</v>
      </c>
      <c r="AY43" s="154" t="s">
        <v>2033</v>
      </c>
      <c r="AZ43" s="154" t="s">
        <v>2033</v>
      </c>
      <c r="BA43" s="154" t="s">
        <v>2034</v>
      </c>
      <c r="BB43" s="154" t="s">
        <v>2034</v>
      </c>
      <c r="BC43" s="154" t="s">
        <v>2034</v>
      </c>
      <c r="BD43" s="154" t="s">
        <v>2034</v>
      </c>
      <c r="BE43" s="154" t="s">
        <v>2034</v>
      </c>
      <c r="BF43" s="154" t="s">
        <v>2034</v>
      </c>
      <c r="BG43" s="154" t="s">
        <v>2034</v>
      </c>
      <c r="BY43" s="154" t="s">
        <v>2361</v>
      </c>
      <c r="BZ43" s="154" t="s">
        <v>2361</v>
      </c>
      <c r="CA43" s="154" t="s">
        <v>2359</v>
      </c>
      <c r="CB43" s="154" t="s">
        <v>2359</v>
      </c>
      <c r="CC43" s="154" t="s">
        <v>2359</v>
      </c>
      <c r="CD43" s="154" t="s">
        <v>2359</v>
      </c>
      <c r="BGP43" s="154" t="s">
        <v>2361</v>
      </c>
      <c r="BGQ43" s="154" t="s">
        <v>2361</v>
      </c>
      <c r="BGR43" s="154" t="s">
        <v>2361</v>
      </c>
      <c r="BGS43" s="154" t="s">
        <v>2361</v>
      </c>
      <c r="BGT43" s="154" t="s">
        <v>2361</v>
      </c>
      <c r="BGU43" s="154" t="s">
        <v>2372</v>
      </c>
      <c r="BGV43" s="154" t="s">
        <v>2372</v>
      </c>
      <c r="BGW43" s="154" t="s">
        <v>2372</v>
      </c>
      <c r="BGX43" s="154" t="s">
        <v>2372</v>
      </c>
      <c r="BGY43" s="154" t="s">
        <v>2372</v>
      </c>
      <c r="BGZ43" s="154" t="s">
        <v>2362</v>
      </c>
      <c r="BHA43" s="154" t="s">
        <v>2362</v>
      </c>
      <c r="BHB43" s="154" t="s">
        <v>2362</v>
      </c>
      <c r="BHC43" s="154" t="s">
        <v>2362</v>
      </c>
      <c r="BHD43" s="154" t="s">
        <v>2362</v>
      </c>
      <c r="BHE43" s="154" t="s">
        <v>2036</v>
      </c>
      <c r="BHF43" s="154" t="s">
        <v>2036</v>
      </c>
      <c r="BHG43" s="154" t="s">
        <v>2036</v>
      </c>
      <c r="BHH43" s="154" t="s">
        <v>2036</v>
      </c>
      <c r="BHI43" s="154" t="s">
        <v>2036</v>
      </c>
    </row>
    <row r="44" spans="1:86 1370:1685" x14ac:dyDescent="0.25">
      <c r="A44" s="197">
        <v>3</v>
      </c>
      <c r="B44" s="197">
        <v>5</v>
      </c>
      <c r="C44" s="197">
        <v>1</v>
      </c>
      <c r="D44" s="197" t="s">
        <v>2386</v>
      </c>
      <c r="E44" s="197" t="s">
        <v>2435</v>
      </c>
      <c r="F44" s="197" t="s">
        <v>2435</v>
      </c>
      <c r="G44" s="197" t="s">
        <v>2435</v>
      </c>
      <c r="H44" s="197" t="s">
        <v>2435</v>
      </c>
      <c r="I44" s="197">
        <v>2</v>
      </c>
      <c r="J44" s="197">
        <v>0</v>
      </c>
      <c r="K44" s="197">
        <v>0</v>
      </c>
      <c r="L44" s="197">
        <v>0</v>
      </c>
      <c r="M44" s="359">
        <v>34</v>
      </c>
      <c r="N44" s="359" t="s">
        <v>784</v>
      </c>
      <c r="O44" s="237" t="s">
        <v>1486</v>
      </c>
      <c r="P44" s="237"/>
      <c r="Q44" s="371" t="s">
        <v>2193</v>
      </c>
      <c r="R44" s="361">
        <v>43833</v>
      </c>
      <c r="S44" s="368" t="s">
        <v>498</v>
      </c>
      <c r="T44" s="363">
        <v>6.6</v>
      </c>
      <c r="U44" s="364" t="s">
        <v>2194</v>
      </c>
      <c r="AH44" s="154" t="s">
        <v>2370</v>
      </c>
      <c r="AI44" s="154" t="s">
        <v>2370</v>
      </c>
      <c r="AJ44" s="154" t="s">
        <v>2370</v>
      </c>
      <c r="AK44" s="154" t="s">
        <v>2370</v>
      </c>
      <c r="AL44" s="154" t="s">
        <v>2370</v>
      </c>
      <c r="AS44" s="154" t="s">
        <v>2033</v>
      </c>
      <c r="AT44" s="154" t="s">
        <v>2034</v>
      </c>
      <c r="AU44" s="154" t="s">
        <v>2034</v>
      </c>
      <c r="AV44" s="154" t="s">
        <v>2034</v>
      </c>
      <c r="AW44" s="154" t="s">
        <v>2034</v>
      </c>
      <c r="AX44" s="154" t="s">
        <v>2034</v>
      </c>
      <c r="AY44" s="154" t="s">
        <v>2033</v>
      </c>
      <c r="AZ44" s="154" t="s">
        <v>2033</v>
      </c>
      <c r="BA44" s="154" t="s">
        <v>2034</v>
      </c>
      <c r="BB44" s="154" t="s">
        <v>2034</v>
      </c>
      <c r="BC44" s="154" t="s">
        <v>2034</v>
      </c>
      <c r="BD44" s="154" t="s">
        <v>2034</v>
      </c>
      <c r="BE44" s="154" t="s">
        <v>2034</v>
      </c>
      <c r="BF44" s="154" t="s">
        <v>2034</v>
      </c>
      <c r="BG44" s="154" t="s">
        <v>2034</v>
      </c>
      <c r="BY44" s="154" t="s">
        <v>2361</v>
      </c>
      <c r="BZ44" s="154" t="s">
        <v>2361</v>
      </c>
      <c r="CA44" s="154" t="s">
        <v>2359</v>
      </c>
      <c r="CB44" s="154" t="s">
        <v>2359</v>
      </c>
      <c r="CC44" s="154" t="s">
        <v>2359</v>
      </c>
      <c r="CD44" s="154" t="s">
        <v>2359</v>
      </c>
      <c r="BHJ44" s="154" t="s">
        <v>2361</v>
      </c>
      <c r="BHK44" s="154" t="s">
        <v>2361</v>
      </c>
      <c r="BHL44" s="154" t="s">
        <v>2361</v>
      </c>
      <c r="BHM44" s="154" t="s">
        <v>2361</v>
      </c>
      <c r="BHN44" s="154" t="s">
        <v>2361</v>
      </c>
      <c r="BHO44" s="154" t="s">
        <v>2372</v>
      </c>
      <c r="BHP44" s="154" t="s">
        <v>2372</v>
      </c>
      <c r="BHQ44" s="154" t="s">
        <v>2372</v>
      </c>
      <c r="BHR44" s="154" t="s">
        <v>2372</v>
      </c>
      <c r="BHS44" s="154" t="s">
        <v>2372</v>
      </c>
      <c r="BHT44" s="154" t="s">
        <v>2362</v>
      </c>
      <c r="BHU44" s="154" t="s">
        <v>2362</v>
      </c>
      <c r="BHV44" s="154" t="s">
        <v>2362</v>
      </c>
      <c r="BHW44" s="154" t="s">
        <v>2362</v>
      </c>
      <c r="BHX44" s="154" t="s">
        <v>2362</v>
      </c>
      <c r="BHY44" s="154" t="s">
        <v>2036</v>
      </c>
      <c r="BHZ44" s="154" t="s">
        <v>2036</v>
      </c>
      <c r="BIA44" s="154" t="s">
        <v>2036</v>
      </c>
      <c r="BIB44" s="154" t="s">
        <v>2036</v>
      </c>
      <c r="BIC44" s="154" t="s">
        <v>2036</v>
      </c>
    </row>
    <row r="45" spans="1:86 1370:1685" x14ac:dyDescent="0.25">
      <c r="A45" s="197">
        <v>3</v>
      </c>
      <c r="B45" s="197">
        <v>5</v>
      </c>
      <c r="C45" s="197">
        <v>1</v>
      </c>
      <c r="D45" s="197" t="s">
        <v>2381</v>
      </c>
      <c r="E45" s="197" t="s">
        <v>2435</v>
      </c>
      <c r="F45" s="197" t="s">
        <v>2435</v>
      </c>
      <c r="G45" s="197" t="s">
        <v>2435</v>
      </c>
      <c r="H45" s="197" t="s">
        <v>2435</v>
      </c>
      <c r="I45" s="197">
        <v>2</v>
      </c>
      <c r="J45" s="197">
        <v>0</v>
      </c>
      <c r="K45" s="197">
        <v>0</v>
      </c>
      <c r="L45" s="197">
        <v>0</v>
      </c>
      <c r="M45" s="359">
        <v>46</v>
      </c>
      <c r="N45" s="359" t="s">
        <v>787</v>
      </c>
      <c r="O45" s="237" t="s">
        <v>1486</v>
      </c>
      <c r="P45" s="237"/>
      <c r="Q45" s="371" t="s">
        <v>2195</v>
      </c>
      <c r="R45" s="361">
        <v>45553</v>
      </c>
      <c r="S45" s="368" t="s">
        <v>498</v>
      </c>
      <c r="T45" s="363">
        <v>6.6</v>
      </c>
      <c r="U45" s="364" t="s">
        <v>2196</v>
      </c>
      <c r="AH45" s="154" t="s">
        <v>2370</v>
      </c>
      <c r="AI45" s="154" t="s">
        <v>2370</v>
      </c>
      <c r="AJ45" s="154" t="s">
        <v>2370</v>
      </c>
      <c r="AK45" s="154" t="s">
        <v>2370</v>
      </c>
      <c r="AL45" s="154" t="s">
        <v>2370</v>
      </c>
      <c r="AM45" s="154" t="s">
        <v>2370</v>
      </c>
      <c r="AS45" s="154" t="s">
        <v>2033</v>
      </c>
      <c r="AT45" s="154" t="s">
        <v>2034</v>
      </c>
      <c r="AU45" s="154" t="s">
        <v>2034</v>
      </c>
      <c r="AV45" s="154" t="s">
        <v>2034</v>
      </c>
      <c r="AW45" s="154" t="s">
        <v>2034</v>
      </c>
      <c r="AX45" s="154" t="s">
        <v>2034</v>
      </c>
      <c r="AY45" s="154" t="s">
        <v>2033</v>
      </c>
      <c r="AZ45" s="154" t="s">
        <v>2033</v>
      </c>
      <c r="BA45" s="154" t="s">
        <v>2033</v>
      </c>
      <c r="BB45" s="154" t="s">
        <v>2033</v>
      </c>
      <c r="BC45" s="154" t="s">
        <v>2033</v>
      </c>
      <c r="BD45" s="154" t="s">
        <v>2033</v>
      </c>
      <c r="BE45" s="154" t="s">
        <v>2034</v>
      </c>
      <c r="BF45" s="154" t="s">
        <v>2034</v>
      </c>
      <c r="BG45" s="154" t="s">
        <v>2034</v>
      </c>
      <c r="BH45" s="154" t="s">
        <v>2034</v>
      </c>
      <c r="BI45" s="154" t="s">
        <v>2034</v>
      </c>
      <c r="BJ45" s="154" t="s">
        <v>2034</v>
      </c>
      <c r="BK45" s="154" t="s">
        <v>2034</v>
      </c>
      <c r="BL45" s="154" t="s">
        <v>2034</v>
      </c>
      <c r="BM45" s="154" t="s">
        <v>2034</v>
      </c>
      <c r="BN45" s="154" t="s">
        <v>2034</v>
      </c>
      <c r="BO45" s="154" t="s">
        <v>2034</v>
      </c>
      <c r="BP45" s="154" t="s">
        <v>2034</v>
      </c>
      <c r="BQ45" s="154" t="s">
        <v>2034</v>
      </c>
      <c r="BR45" s="154" t="s">
        <v>2034</v>
      </c>
      <c r="BS45" s="154" t="s">
        <v>2034</v>
      </c>
      <c r="BY45" s="154" t="s">
        <v>2361</v>
      </c>
      <c r="BZ45" s="154" t="s">
        <v>2361</v>
      </c>
      <c r="CA45" s="154" t="s">
        <v>2359</v>
      </c>
      <c r="CB45" s="154" t="s">
        <v>2359</v>
      </c>
      <c r="CC45" s="154" t="s">
        <v>2359</v>
      </c>
      <c r="CD45" s="154" t="s">
        <v>2359</v>
      </c>
      <c r="CE45" s="154" t="s">
        <v>2359</v>
      </c>
      <c r="CF45" s="154" t="s">
        <v>2359</v>
      </c>
      <c r="CG45" s="154" t="s">
        <v>2359</v>
      </c>
      <c r="CH45" s="154" t="s">
        <v>2359</v>
      </c>
      <c r="BID45" s="154" t="s">
        <v>2361</v>
      </c>
      <c r="BIE45" s="154" t="s">
        <v>2361</v>
      </c>
      <c r="BIF45" s="154" t="s">
        <v>2361</v>
      </c>
      <c r="BIG45" s="154" t="s">
        <v>2361</v>
      </c>
      <c r="BIH45" s="154" t="s">
        <v>2361</v>
      </c>
      <c r="BII45" s="154" t="s">
        <v>2361</v>
      </c>
      <c r="BIJ45" s="154" t="s">
        <v>2372</v>
      </c>
      <c r="BIK45" s="154" t="s">
        <v>2372</v>
      </c>
      <c r="BIL45" s="154" t="s">
        <v>2372</v>
      </c>
      <c r="BIM45" s="154" t="s">
        <v>2372</v>
      </c>
      <c r="BIN45" s="154" t="s">
        <v>2372</v>
      </c>
      <c r="BIO45" s="154" t="s">
        <v>2372</v>
      </c>
      <c r="BIP45" s="154" t="s">
        <v>2362</v>
      </c>
      <c r="BIQ45" s="154" t="s">
        <v>2362</v>
      </c>
      <c r="BIR45" s="154" t="s">
        <v>2362</v>
      </c>
      <c r="BIS45" s="154" t="s">
        <v>2362</v>
      </c>
      <c r="BIT45" s="154" t="s">
        <v>2362</v>
      </c>
      <c r="BIU45" s="154" t="s">
        <v>2362</v>
      </c>
      <c r="BIV45" s="154" t="s">
        <v>2036</v>
      </c>
      <c r="BIW45" s="154" t="s">
        <v>2036</v>
      </c>
      <c r="BIX45" s="154" t="s">
        <v>2036</v>
      </c>
      <c r="BIY45" s="154" t="s">
        <v>2036</v>
      </c>
      <c r="BIZ45" s="154" t="s">
        <v>2036</v>
      </c>
      <c r="BJA45" s="154" t="s">
        <v>2036</v>
      </c>
    </row>
    <row r="46" spans="1:86 1370:1685" x14ac:dyDescent="0.25">
      <c r="A46" s="197">
        <v>3</v>
      </c>
      <c r="B46" s="197">
        <v>5</v>
      </c>
      <c r="C46" s="197">
        <v>1</v>
      </c>
      <c r="D46" s="197" t="s">
        <v>2385</v>
      </c>
      <c r="E46" s="197" t="s">
        <v>2435</v>
      </c>
      <c r="F46" s="197" t="s">
        <v>2435</v>
      </c>
      <c r="G46" s="197" t="s">
        <v>2435</v>
      </c>
      <c r="H46" s="197" t="s">
        <v>2435</v>
      </c>
      <c r="I46" s="197">
        <v>2</v>
      </c>
      <c r="J46" s="197">
        <v>0</v>
      </c>
      <c r="K46" s="197">
        <v>0</v>
      </c>
      <c r="L46" s="197">
        <v>0</v>
      </c>
      <c r="M46" s="359">
        <v>60</v>
      </c>
      <c r="N46" s="359" t="s">
        <v>789</v>
      </c>
      <c r="O46" s="237" t="s">
        <v>1486</v>
      </c>
      <c r="P46" s="237"/>
      <c r="Q46" s="371" t="s">
        <v>2197</v>
      </c>
      <c r="R46" s="361">
        <v>48372</v>
      </c>
      <c r="S46" s="368" t="s">
        <v>498</v>
      </c>
      <c r="T46" s="363">
        <v>6.8</v>
      </c>
      <c r="U46" s="364" t="s">
        <v>2198</v>
      </c>
      <c r="AH46" s="154" t="s">
        <v>2370</v>
      </c>
      <c r="AI46" s="154" t="s">
        <v>2370</v>
      </c>
      <c r="AJ46" s="154" t="s">
        <v>2370</v>
      </c>
      <c r="AK46" s="154" t="s">
        <v>2370</v>
      </c>
      <c r="AL46" s="154" t="s">
        <v>2370</v>
      </c>
      <c r="AM46" s="154" t="s">
        <v>2370</v>
      </c>
      <c r="AS46" s="154" t="s">
        <v>2033</v>
      </c>
      <c r="AT46" s="154" t="s">
        <v>2034</v>
      </c>
      <c r="AU46" s="154" t="s">
        <v>2034</v>
      </c>
      <c r="AV46" s="154" t="s">
        <v>2034</v>
      </c>
      <c r="AW46" s="154" t="s">
        <v>2034</v>
      </c>
      <c r="AX46" s="154" t="s">
        <v>2034</v>
      </c>
      <c r="AY46" s="154" t="s">
        <v>2033</v>
      </c>
      <c r="AZ46" s="154" t="s">
        <v>2033</v>
      </c>
      <c r="BA46" s="154" t="s">
        <v>2033</v>
      </c>
      <c r="BB46" s="154" t="s">
        <v>2033</v>
      </c>
      <c r="BC46" s="154" t="s">
        <v>2033</v>
      </c>
      <c r="BD46" s="154" t="s">
        <v>2033</v>
      </c>
      <c r="BE46" s="154" t="s">
        <v>2034</v>
      </c>
      <c r="BF46" s="154" t="s">
        <v>2034</v>
      </c>
      <c r="BG46" s="154" t="s">
        <v>2034</v>
      </c>
      <c r="BH46" s="154" t="s">
        <v>2034</v>
      </c>
      <c r="BI46" s="154" t="s">
        <v>2034</v>
      </c>
      <c r="BJ46" s="154" t="s">
        <v>2034</v>
      </c>
      <c r="BK46" s="154" t="s">
        <v>2034</v>
      </c>
      <c r="BL46" s="154" t="s">
        <v>2034</v>
      </c>
      <c r="BM46" s="154" t="s">
        <v>2034</v>
      </c>
      <c r="BN46" s="154" t="s">
        <v>2034</v>
      </c>
      <c r="BO46" s="154" t="s">
        <v>2034</v>
      </c>
      <c r="BP46" s="154" t="s">
        <v>2034</v>
      </c>
      <c r="BQ46" s="154" t="s">
        <v>2034</v>
      </c>
      <c r="BR46" s="154" t="s">
        <v>2034</v>
      </c>
      <c r="BS46" s="154" t="s">
        <v>2034</v>
      </c>
      <c r="BY46" s="154" t="s">
        <v>2361</v>
      </c>
      <c r="BZ46" s="154" t="s">
        <v>2361</v>
      </c>
      <c r="CA46" s="154" t="s">
        <v>2359</v>
      </c>
      <c r="CB46" s="154" t="s">
        <v>2359</v>
      </c>
      <c r="CC46" s="154" t="s">
        <v>2359</v>
      </c>
      <c r="CD46" s="154" t="s">
        <v>2359</v>
      </c>
      <c r="CE46" s="154" t="s">
        <v>2359</v>
      </c>
      <c r="CF46" s="154" t="s">
        <v>2359</v>
      </c>
      <c r="CG46" s="154" t="s">
        <v>2359</v>
      </c>
      <c r="CH46" s="154" t="s">
        <v>2359</v>
      </c>
      <c r="BJB46" s="154" t="s">
        <v>2361</v>
      </c>
      <c r="BJC46" s="154" t="s">
        <v>2361</v>
      </c>
      <c r="BJD46" s="154" t="s">
        <v>2361</v>
      </c>
      <c r="BJE46" s="154" t="s">
        <v>2361</v>
      </c>
      <c r="BJF46" s="154" t="s">
        <v>2361</v>
      </c>
      <c r="BJG46" s="154" t="s">
        <v>2361</v>
      </c>
      <c r="BJH46" s="154" t="s">
        <v>2372</v>
      </c>
      <c r="BJI46" s="154" t="s">
        <v>2372</v>
      </c>
      <c r="BJJ46" s="154" t="s">
        <v>2372</v>
      </c>
      <c r="BJK46" s="154" t="s">
        <v>2372</v>
      </c>
      <c r="BJL46" s="154" t="s">
        <v>2372</v>
      </c>
      <c r="BJM46" s="154" t="s">
        <v>2372</v>
      </c>
      <c r="BJN46" s="154" t="s">
        <v>2362</v>
      </c>
      <c r="BJO46" s="154" t="s">
        <v>2362</v>
      </c>
      <c r="BJP46" s="154" t="s">
        <v>2362</v>
      </c>
      <c r="BJQ46" s="154" t="s">
        <v>2362</v>
      </c>
      <c r="BJR46" s="154" t="s">
        <v>2362</v>
      </c>
      <c r="BJS46" s="154" t="s">
        <v>2362</v>
      </c>
      <c r="BJT46" s="154" t="s">
        <v>2036</v>
      </c>
      <c r="BJU46" s="154" t="s">
        <v>2036</v>
      </c>
      <c r="BJV46" s="154" t="s">
        <v>2036</v>
      </c>
      <c r="BJW46" s="154" t="s">
        <v>2036</v>
      </c>
      <c r="BJX46" s="154" t="s">
        <v>2036</v>
      </c>
      <c r="BJY46" s="154" t="s">
        <v>2036</v>
      </c>
    </row>
    <row r="47" spans="1:86 1370:1685" x14ac:dyDescent="0.25">
      <c r="A47" s="197">
        <v>3</v>
      </c>
      <c r="B47" s="197">
        <v>5</v>
      </c>
      <c r="C47" s="197">
        <v>1</v>
      </c>
      <c r="D47" s="197" t="s">
        <v>2382</v>
      </c>
      <c r="E47" s="197" t="s">
        <v>2435</v>
      </c>
      <c r="F47" s="197" t="s">
        <v>2435</v>
      </c>
      <c r="G47" s="197" t="s">
        <v>2435</v>
      </c>
      <c r="H47" s="197" t="s">
        <v>2435</v>
      </c>
      <c r="I47" s="197">
        <v>2</v>
      </c>
      <c r="J47" s="197">
        <v>0</v>
      </c>
      <c r="K47" s="197">
        <v>0</v>
      </c>
      <c r="L47" s="197">
        <v>0</v>
      </c>
      <c r="M47" s="359">
        <v>74</v>
      </c>
      <c r="N47" s="359" t="s">
        <v>791</v>
      </c>
      <c r="O47" s="237" t="s">
        <v>1486</v>
      </c>
      <c r="P47" s="237"/>
      <c r="Q47" s="371" t="s">
        <v>2199</v>
      </c>
      <c r="R47" s="361">
        <v>52072</v>
      </c>
      <c r="S47" s="368" t="s">
        <v>498</v>
      </c>
      <c r="T47" s="363">
        <v>6.8</v>
      </c>
      <c r="U47" s="364" t="s">
        <v>2200</v>
      </c>
      <c r="AH47" s="154" t="s">
        <v>2370</v>
      </c>
      <c r="AI47" s="154" t="s">
        <v>2370</v>
      </c>
      <c r="AJ47" s="154" t="s">
        <v>2370</v>
      </c>
      <c r="AK47" s="154" t="s">
        <v>2370</v>
      </c>
      <c r="AL47" s="154" t="s">
        <v>2370</v>
      </c>
      <c r="AM47" s="154" t="s">
        <v>2370</v>
      </c>
      <c r="AS47" s="154" t="s">
        <v>2033</v>
      </c>
      <c r="AT47" s="154" t="s">
        <v>2034</v>
      </c>
      <c r="AU47" s="154" t="s">
        <v>2034</v>
      </c>
      <c r="AV47" s="154" t="s">
        <v>2034</v>
      </c>
      <c r="AW47" s="154" t="s">
        <v>2034</v>
      </c>
      <c r="AX47" s="154" t="s">
        <v>2034</v>
      </c>
      <c r="AY47" s="154" t="s">
        <v>2033</v>
      </c>
      <c r="AZ47" s="154" t="s">
        <v>2033</v>
      </c>
      <c r="BA47" s="154" t="s">
        <v>2033</v>
      </c>
      <c r="BB47" s="154" t="s">
        <v>2033</v>
      </c>
      <c r="BC47" s="154" t="s">
        <v>2033</v>
      </c>
      <c r="BD47" s="154" t="s">
        <v>2033</v>
      </c>
      <c r="BE47" s="154" t="s">
        <v>2034</v>
      </c>
      <c r="BF47" s="154" t="s">
        <v>2034</v>
      </c>
      <c r="BG47" s="154" t="s">
        <v>2034</v>
      </c>
      <c r="BH47" s="154" t="s">
        <v>2034</v>
      </c>
      <c r="BI47" s="154" t="s">
        <v>2034</v>
      </c>
      <c r="BJ47" s="154" t="s">
        <v>2034</v>
      </c>
      <c r="BK47" s="154" t="s">
        <v>2034</v>
      </c>
      <c r="BL47" s="154" t="s">
        <v>2034</v>
      </c>
      <c r="BM47" s="154" t="s">
        <v>2034</v>
      </c>
      <c r="BN47" s="154" t="s">
        <v>2034</v>
      </c>
      <c r="BO47" s="154" t="s">
        <v>2034</v>
      </c>
      <c r="BP47" s="154" t="s">
        <v>2034</v>
      </c>
      <c r="BQ47" s="154" t="s">
        <v>2034</v>
      </c>
      <c r="BR47" s="154" t="s">
        <v>2034</v>
      </c>
      <c r="BS47" s="154" t="s">
        <v>2034</v>
      </c>
      <c r="BY47" s="154" t="s">
        <v>2361</v>
      </c>
      <c r="BZ47" s="154" t="s">
        <v>2361</v>
      </c>
      <c r="CA47" s="154" t="s">
        <v>2359</v>
      </c>
      <c r="CB47" s="154" t="s">
        <v>2359</v>
      </c>
      <c r="CC47" s="154" t="s">
        <v>2359</v>
      </c>
      <c r="CD47" s="154" t="s">
        <v>2359</v>
      </c>
      <c r="CE47" s="154" t="s">
        <v>2359</v>
      </c>
      <c r="CF47" s="154" t="s">
        <v>2359</v>
      </c>
      <c r="CG47" s="154" t="s">
        <v>2359</v>
      </c>
      <c r="CH47" s="154" t="s">
        <v>2359</v>
      </c>
      <c r="BJZ47" s="154" t="s">
        <v>2361</v>
      </c>
      <c r="BKA47" s="154" t="s">
        <v>2361</v>
      </c>
      <c r="BKB47" s="154" t="s">
        <v>2361</v>
      </c>
      <c r="BKC47" s="154" t="s">
        <v>2361</v>
      </c>
      <c r="BKD47" s="154" t="s">
        <v>2361</v>
      </c>
      <c r="BKE47" s="154" t="s">
        <v>2361</v>
      </c>
      <c r="BKF47" s="154" t="s">
        <v>2372</v>
      </c>
      <c r="BKG47" s="154" t="s">
        <v>2372</v>
      </c>
      <c r="BKH47" s="154" t="s">
        <v>2372</v>
      </c>
      <c r="BKI47" s="154" t="s">
        <v>2372</v>
      </c>
      <c r="BKJ47" s="154" t="s">
        <v>2372</v>
      </c>
      <c r="BKK47" s="154" t="s">
        <v>2372</v>
      </c>
      <c r="BKL47" s="154" t="s">
        <v>2362</v>
      </c>
      <c r="BKM47" s="154" t="s">
        <v>2362</v>
      </c>
      <c r="BKN47" s="154" t="s">
        <v>2362</v>
      </c>
      <c r="BKO47" s="154" t="s">
        <v>2362</v>
      </c>
      <c r="BKP47" s="154" t="s">
        <v>2362</v>
      </c>
      <c r="BKQ47" s="154" t="s">
        <v>2362</v>
      </c>
      <c r="BKR47" s="154" t="s">
        <v>2036</v>
      </c>
      <c r="BKS47" s="154" t="s">
        <v>2036</v>
      </c>
      <c r="BKT47" s="154" t="s">
        <v>2036</v>
      </c>
      <c r="BKU47" s="154" t="s">
        <v>2036</v>
      </c>
      <c r="BKV47" s="154" t="s">
        <v>2036</v>
      </c>
      <c r="BKW47" s="154" t="s">
        <v>2036</v>
      </c>
    </row>
    <row r="48" spans="1:86 1370:1685" x14ac:dyDescent="0.25">
      <c r="A48" s="197">
        <v>3</v>
      </c>
      <c r="B48" s="197">
        <v>5</v>
      </c>
      <c r="C48" s="197">
        <v>5</v>
      </c>
      <c r="D48" s="197" t="s">
        <v>2387</v>
      </c>
      <c r="E48" s="197" t="s">
        <v>2435</v>
      </c>
      <c r="F48" s="197" t="s">
        <v>2435</v>
      </c>
      <c r="G48" s="197" t="s">
        <v>2435</v>
      </c>
      <c r="H48" s="197" t="s">
        <v>2435</v>
      </c>
      <c r="I48" s="197">
        <v>4</v>
      </c>
      <c r="J48" s="197">
        <v>0</v>
      </c>
      <c r="K48" s="197">
        <v>0</v>
      </c>
      <c r="L48" s="197">
        <v>0</v>
      </c>
      <c r="M48" s="359">
        <v>56</v>
      </c>
      <c r="N48" s="359" t="s">
        <v>793</v>
      </c>
      <c r="O48" s="237" t="s">
        <v>1489</v>
      </c>
      <c r="P48" s="237"/>
      <c r="Q48" s="371" t="s">
        <v>2201</v>
      </c>
      <c r="R48" s="361">
        <v>58647</v>
      </c>
      <c r="S48" s="368" t="s">
        <v>795</v>
      </c>
      <c r="T48" s="363">
        <v>8.4</v>
      </c>
      <c r="U48" s="364" t="s">
        <v>2202</v>
      </c>
      <c r="AH48" s="154" t="s">
        <v>2370</v>
      </c>
      <c r="AI48" s="154" t="s">
        <v>2370</v>
      </c>
      <c r="AJ48" s="154" t="s">
        <v>2370</v>
      </c>
      <c r="AK48" s="154" t="s">
        <v>2370</v>
      </c>
      <c r="AL48" s="154" t="s">
        <v>2370</v>
      </c>
      <c r="AM48" s="154" t="s">
        <v>2370</v>
      </c>
      <c r="AS48" s="154" t="s">
        <v>2033</v>
      </c>
      <c r="AT48" s="154" t="s">
        <v>2033</v>
      </c>
      <c r="AU48" s="154" t="s">
        <v>2033</v>
      </c>
      <c r="AV48" s="154" t="s">
        <v>2033</v>
      </c>
      <c r="AW48" s="154" t="s">
        <v>2033</v>
      </c>
      <c r="AX48" s="154" t="s">
        <v>2034</v>
      </c>
      <c r="AY48" s="154" t="s">
        <v>2034</v>
      </c>
      <c r="AZ48" s="154" t="s">
        <v>2034</v>
      </c>
      <c r="BA48" s="154" t="s">
        <v>2034</v>
      </c>
      <c r="BB48" s="154" t="s">
        <v>2034</v>
      </c>
      <c r="BC48" s="154" t="s">
        <v>2033</v>
      </c>
      <c r="BD48" s="154" t="s">
        <v>2033</v>
      </c>
      <c r="BE48" s="154" t="s">
        <v>2034</v>
      </c>
      <c r="BF48" s="154" t="s">
        <v>2034</v>
      </c>
      <c r="BG48" s="154" t="s">
        <v>2034</v>
      </c>
      <c r="BH48" s="154" t="s">
        <v>2034</v>
      </c>
      <c r="BI48" s="154" t="s">
        <v>2034</v>
      </c>
      <c r="BJ48" s="154" t="s">
        <v>2034</v>
      </c>
      <c r="BK48" s="154" t="s">
        <v>2034</v>
      </c>
      <c r="BL48" s="154" t="s">
        <v>2034</v>
      </c>
      <c r="BM48" s="154" t="s">
        <v>2034</v>
      </c>
      <c r="BN48" s="154" t="s">
        <v>2034</v>
      </c>
      <c r="BO48" s="154" t="s">
        <v>2034</v>
      </c>
      <c r="BP48" s="154" t="s">
        <v>2034</v>
      </c>
      <c r="BQ48" s="154" t="s">
        <v>2034</v>
      </c>
      <c r="BR48" s="154" t="s">
        <v>2034</v>
      </c>
      <c r="BS48" s="154" t="s">
        <v>2034</v>
      </c>
      <c r="BY48" s="154" t="s">
        <v>2361</v>
      </c>
      <c r="BZ48" s="154" t="s">
        <v>2361</v>
      </c>
      <c r="CA48" s="154" t="s">
        <v>2361</v>
      </c>
      <c r="CB48" s="154" t="s">
        <v>2361</v>
      </c>
      <c r="CC48" s="154" t="s">
        <v>2359</v>
      </c>
      <c r="CD48" s="154" t="s">
        <v>2359</v>
      </c>
      <c r="CE48" s="154" t="s">
        <v>2359</v>
      </c>
      <c r="CF48" s="154" t="s">
        <v>2359</v>
      </c>
      <c r="CG48" s="154" t="s">
        <v>2359</v>
      </c>
      <c r="CH48" s="154" t="s">
        <v>2359</v>
      </c>
      <c r="BKX48" s="154" t="s">
        <v>2361</v>
      </c>
      <c r="BKY48" s="154" t="s">
        <v>2361</v>
      </c>
      <c r="BKZ48" s="154" t="s">
        <v>2361</v>
      </c>
      <c r="BLA48" s="154" t="s">
        <v>2361</v>
      </c>
      <c r="BLB48" s="154" t="s">
        <v>2361</v>
      </c>
      <c r="BLC48" s="154" t="s">
        <v>2361</v>
      </c>
      <c r="BLD48" s="154" t="s">
        <v>2372</v>
      </c>
      <c r="BLE48" s="154" t="s">
        <v>2372</v>
      </c>
      <c r="BLF48" s="154" t="s">
        <v>2372</v>
      </c>
      <c r="BLG48" s="154" t="s">
        <v>2372</v>
      </c>
      <c r="BLH48" s="154" t="s">
        <v>2372</v>
      </c>
      <c r="BLI48" s="154" t="s">
        <v>2372</v>
      </c>
      <c r="BLJ48" s="154" t="s">
        <v>2362</v>
      </c>
      <c r="BLK48" s="154" t="s">
        <v>2362</v>
      </c>
      <c r="BLL48" s="154" t="s">
        <v>2362</v>
      </c>
      <c r="BLM48" s="154" t="s">
        <v>2362</v>
      </c>
      <c r="BLN48" s="154" t="s">
        <v>2362</v>
      </c>
      <c r="BLO48" s="154" t="s">
        <v>2362</v>
      </c>
      <c r="BLP48" s="154" t="s">
        <v>2036</v>
      </c>
      <c r="BLQ48" s="154" t="s">
        <v>2036</v>
      </c>
      <c r="BLR48" s="154" t="s">
        <v>2036</v>
      </c>
      <c r="BLS48" s="154" t="s">
        <v>2036</v>
      </c>
      <c r="BLT48" s="154" t="s">
        <v>2036</v>
      </c>
      <c r="BLU48" s="154" t="s">
        <v>2036</v>
      </c>
    </row>
    <row r="49" spans="1:86 1590:1757" x14ac:dyDescent="0.25">
      <c r="A49" s="197">
        <v>3</v>
      </c>
      <c r="B49" s="197">
        <v>5</v>
      </c>
      <c r="C49" s="197">
        <v>5</v>
      </c>
      <c r="D49" s="197" t="s">
        <v>2388</v>
      </c>
      <c r="E49" s="197" t="s">
        <v>2435</v>
      </c>
      <c r="F49" s="197" t="s">
        <v>2435</v>
      </c>
      <c r="G49" s="197" t="s">
        <v>2435</v>
      </c>
      <c r="H49" s="197" t="s">
        <v>2435</v>
      </c>
      <c r="I49" s="197">
        <v>4</v>
      </c>
      <c r="J49" s="197">
        <v>0</v>
      </c>
      <c r="K49" s="197">
        <v>0</v>
      </c>
      <c r="L49" s="197">
        <v>0</v>
      </c>
      <c r="M49" s="359">
        <v>74</v>
      </c>
      <c r="N49" s="359" t="s">
        <v>797</v>
      </c>
      <c r="O49" s="237" t="s">
        <v>1489</v>
      </c>
      <c r="P49" s="237"/>
      <c r="Q49" s="371" t="s">
        <v>2203</v>
      </c>
      <c r="R49" s="361">
        <v>60622</v>
      </c>
      <c r="S49" s="368" t="s">
        <v>795</v>
      </c>
      <c r="T49" s="363">
        <v>8.4</v>
      </c>
      <c r="U49" s="364" t="s">
        <v>2204</v>
      </c>
      <c r="AH49" s="154" t="s">
        <v>2370</v>
      </c>
      <c r="AI49" s="154" t="s">
        <v>2370</v>
      </c>
      <c r="AJ49" s="154" t="s">
        <v>2370</v>
      </c>
      <c r="AK49" s="154" t="s">
        <v>2370</v>
      </c>
      <c r="AL49" s="154" t="s">
        <v>2370</v>
      </c>
      <c r="AM49" s="154" t="s">
        <v>2370</v>
      </c>
      <c r="AS49" s="154" t="s">
        <v>2033</v>
      </c>
      <c r="AT49" s="154" t="s">
        <v>2033</v>
      </c>
      <c r="AU49" s="154" t="s">
        <v>2033</v>
      </c>
      <c r="AV49" s="154" t="s">
        <v>2033</v>
      </c>
      <c r="AW49" s="154" t="s">
        <v>2033</v>
      </c>
      <c r="AX49" s="154" t="s">
        <v>2034</v>
      </c>
      <c r="AY49" s="154" t="s">
        <v>2034</v>
      </c>
      <c r="AZ49" s="154" t="s">
        <v>2034</v>
      </c>
      <c r="BA49" s="154" t="s">
        <v>2034</v>
      </c>
      <c r="BB49" s="154" t="s">
        <v>2034</v>
      </c>
      <c r="BC49" s="154" t="s">
        <v>2033</v>
      </c>
      <c r="BD49" s="154" t="s">
        <v>2033</v>
      </c>
      <c r="BE49" s="154" t="s">
        <v>2034</v>
      </c>
      <c r="BF49" s="154" t="s">
        <v>2034</v>
      </c>
      <c r="BG49" s="154" t="s">
        <v>2034</v>
      </c>
      <c r="BH49" s="154" t="s">
        <v>2034</v>
      </c>
      <c r="BI49" s="154" t="s">
        <v>2034</v>
      </c>
      <c r="BJ49" s="154" t="s">
        <v>2034</v>
      </c>
      <c r="BK49" s="154" t="s">
        <v>2034</v>
      </c>
      <c r="BL49" s="154" t="s">
        <v>2034</v>
      </c>
      <c r="BM49" s="154" t="s">
        <v>2034</v>
      </c>
      <c r="BN49" s="154" t="s">
        <v>2034</v>
      </c>
      <c r="BO49" s="154" t="s">
        <v>2034</v>
      </c>
      <c r="BP49" s="154" t="s">
        <v>2034</v>
      </c>
      <c r="BQ49" s="154" t="s">
        <v>2034</v>
      </c>
      <c r="BR49" s="154" t="s">
        <v>2034</v>
      </c>
      <c r="BS49" s="154" t="s">
        <v>2034</v>
      </c>
      <c r="BY49" s="154" t="s">
        <v>2361</v>
      </c>
      <c r="BZ49" s="154" t="s">
        <v>2361</v>
      </c>
      <c r="CA49" s="154" t="s">
        <v>2361</v>
      </c>
      <c r="CB49" s="154" t="s">
        <v>2361</v>
      </c>
      <c r="CC49" s="154" t="s">
        <v>2359</v>
      </c>
      <c r="CD49" s="154" t="s">
        <v>2359</v>
      </c>
      <c r="CE49" s="154" t="s">
        <v>2359</v>
      </c>
      <c r="CF49" s="154" t="s">
        <v>2359</v>
      </c>
      <c r="CG49" s="154" t="s">
        <v>2359</v>
      </c>
      <c r="CH49" s="154" t="s">
        <v>2359</v>
      </c>
      <c r="BLV49" s="154" t="s">
        <v>2361</v>
      </c>
      <c r="BLW49" s="154" t="s">
        <v>2361</v>
      </c>
      <c r="BLX49" s="154" t="s">
        <v>2361</v>
      </c>
      <c r="BLY49" s="154" t="s">
        <v>2361</v>
      </c>
      <c r="BLZ49" s="154" t="s">
        <v>2361</v>
      </c>
      <c r="BMA49" s="154" t="s">
        <v>2361</v>
      </c>
      <c r="BMB49" s="154" t="s">
        <v>2372</v>
      </c>
      <c r="BMC49" s="154" t="s">
        <v>2372</v>
      </c>
      <c r="BMD49" s="154" t="s">
        <v>2372</v>
      </c>
      <c r="BME49" s="154" t="s">
        <v>2372</v>
      </c>
      <c r="BMF49" s="154" t="s">
        <v>2372</v>
      </c>
      <c r="BMG49" s="154" t="s">
        <v>2372</v>
      </c>
      <c r="BMH49" s="154" t="s">
        <v>2362</v>
      </c>
      <c r="BMI49" s="154" t="s">
        <v>2362</v>
      </c>
      <c r="BMJ49" s="154" t="s">
        <v>2362</v>
      </c>
      <c r="BMK49" s="154" t="s">
        <v>2362</v>
      </c>
      <c r="BML49" s="154" t="s">
        <v>2362</v>
      </c>
      <c r="BMM49" s="154" t="s">
        <v>2362</v>
      </c>
      <c r="BMN49" s="154" t="s">
        <v>2036</v>
      </c>
      <c r="BMO49" s="154" t="s">
        <v>2036</v>
      </c>
      <c r="BMP49" s="154" t="s">
        <v>2036</v>
      </c>
      <c r="BMQ49" s="154" t="s">
        <v>2036</v>
      </c>
      <c r="BMR49" s="154" t="s">
        <v>2036</v>
      </c>
      <c r="BMS49" s="154" t="s">
        <v>2036</v>
      </c>
    </row>
    <row r="50" spans="1:86 1590:1757" x14ac:dyDescent="0.25">
      <c r="A50" s="197">
        <v>3</v>
      </c>
      <c r="B50" s="197">
        <v>5</v>
      </c>
      <c r="C50" s="197">
        <v>5</v>
      </c>
      <c r="D50" s="197" t="s">
        <v>2389</v>
      </c>
      <c r="E50" s="197" t="s">
        <v>2435</v>
      </c>
      <c r="F50" s="197" t="s">
        <v>2435</v>
      </c>
      <c r="G50" s="197" t="s">
        <v>2435</v>
      </c>
      <c r="H50" s="197" t="s">
        <v>2435</v>
      </c>
      <c r="I50" s="197">
        <v>4</v>
      </c>
      <c r="J50" s="197">
        <v>0</v>
      </c>
      <c r="K50" s="197">
        <v>0</v>
      </c>
      <c r="L50" s="197">
        <v>0</v>
      </c>
      <c r="M50" s="359">
        <v>95</v>
      </c>
      <c r="N50" s="359" t="s">
        <v>800</v>
      </c>
      <c r="O50" s="237" t="s">
        <v>1489</v>
      </c>
      <c r="P50" s="237"/>
      <c r="Q50" s="371" t="s">
        <v>2205</v>
      </c>
      <c r="R50" s="361">
        <v>65035</v>
      </c>
      <c r="S50" s="368" t="s">
        <v>795</v>
      </c>
      <c r="T50" s="363">
        <v>8.6999999999999993</v>
      </c>
      <c r="U50" s="364" t="s">
        <v>2206</v>
      </c>
      <c r="AH50" s="154" t="s">
        <v>2370</v>
      </c>
      <c r="AI50" s="154" t="s">
        <v>2370</v>
      </c>
      <c r="AJ50" s="154" t="s">
        <v>2370</v>
      </c>
      <c r="AK50" s="154" t="s">
        <v>2370</v>
      </c>
      <c r="AL50" s="154" t="s">
        <v>2370</v>
      </c>
      <c r="AM50" s="154" t="s">
        <v>2370</v>
      </c>
      <c r="AS50" s="154" t="s">
        <v>2033</v>
      </c>
      <c r="AT50" s="154" t="s">
        <v>2033</v>
      </c>
      <c r="AU50" s="154" t="s">
        <v>2033</v>
      </c>
      <c r="AV50" s="154" t="s">
        <v>2033</v>
      </c>
      <c r="AW50" s="154" t="s">
        <v>2033</v>
      </c>
      <c r="AX50" s="154" t="s">
        <v>2034</v>
      </c>
      <c r="AY50" s="154" t="s">
        <v>2034</v>
      </c>
      <c r="AZ50" s="154" t="s">
        <v>2034</v>
      </c>
      <c r="BA50" s="154" t="s">
        <v>2034</v>
      </c>
      <c r="BB50" s="154" t="s">
        <v>2034</v>
      </c>
      <c r="BC50" s="154" t="s">
        <v>2033</v>
      </c>
      <c r="BD50" s="154" t="s">
        <v>2033</v>
      </c>
      <c r="BE50" s="154" t="s">
        <v>2034</v>
      </c>
      <c r="BF50" s="154" t="s">
        <v>2034</v>
      </c>
      <c r="BG50" s="154" t="s">
        <v>2034</v>
      </c>
      <c r="BH50" s="154" t="s">
        <v>2034</v>
      </c>
      <c r="BI50" s="154" t="s">
        <v>2034</v>
      </c>
      <c r="BJ50" s="154" t="s">
        <v>2034</v>
      </c>
      <c r="BK50" s="154" t="s">
        <v>2034</v>
      </c>
      <c r="BL50" s="154" t="s">
        <v>2034</v>
      </c>
      <c r="BM50" s="154" t="s">
        <v>2034</v>
      </c>
      <c r="BN50" s="154" t="s">
        <v>2034</v>
      </c>
      <c r="BO50" s="154" t="s">
        <v>2034</v>
      </c>
      <c r="BP50" s="154" t="s">
        <v>2034</v>
      </c>
      <c r="BQ50" s="154" t="s">
        <v>2034</v>
      </c>
      <c r="BR50" s="154" t="s">
        <v>2034</v>
      </c>
      <c r="BS50" s="154" t="s">
        <v>2034</v>
      </c>
      <c r="BY50" s="154" t="s">
        <v>2361</v>
      </c>
      <c r="BZ50" s="154" t="s">
        <v>2361</v>
      </c>
      <c r="CA50" s="154" t="s">
        <v>2361</v>
      </c>
      <c r="CB50" s="154" t="s">
        <v>2361</v>
      </c>
      <c r="CC50" s="154" t="s">
        <v>2359</v>
      </c>
      <c r="CD50" s="154" t="s">
        <v>2359</v>
      </c>
      <c r="CE50" s="154" t="s">
        <v>2359</v>
      </c>
      <c r="CF50" s="154" t="s">
        <v>2359</v>
      </c>
      <c r="CG50" s="154" t="s">
        <v>2359</v>
      </c>
      <c r="CH50" s="154" t="s">
        <v>2359</v>
      </c>
      <c r="BMT50" s="154" t="s">
        <v>2361</v>
      </c>
      <c r="BMU50" s="154" t="s">
        <v>2361</v>
      </c>
      <c r="BMV50" s="154" t="s">
        <v>2361</v>
      </c>
      <c r="BMW50" s="154" t="s">
        <v>2361</v>
      </c>
      <c r="BMX50" s="154" t="s">
        <v>2361</v>
      </c>
      <c r="BMY50" s="154" t="s">
        <v>2361</v>
      </c>
      <c r="BMZ50" s="154" t="s">
        <v>2372</v>
      </c>
      <c r="BNA50" s="154" t="s">
        <v>2372</v>
      </c>
      <c r="BNB50" s="154" t="s">
        <v>2372</v>
      </c>
      <c r="BNC50" s="154" t="s">
        <v>2372</v>
      </c>
      <c r="BND50" s="154" t="s">
        <v>2372</v>
      </c>
      <c r="BNE50" s="154" t="s">
        <v>2372</v>
      </c>
      <c r="BNF50" s="154" t="s">
        <v>2362</v>
      </c>
      <c r="BNG50" s="154" t="s">
        <v>2362</v>
      </c>
      <c r="BNH50" s="154" t="s">
        <v>2362</v>
      </c>
      <c r="BNI50" s="154" t="s">
        <v>2362</v>
      </c>
      <c r="BNJ50" s="154" t="s">
        <v>2362</v>
      </c>
      <c r="BNK50" s="154" t="s">
        <v>2362</v>
      </c>
      <c r="BNL50" s="154" t="s">
        <v>2036</v>
      </c>
      <c r="BNM50" s="154" t="s">
        <v>2036</v>
      </c>
      <c r="BNN50" s="154" t="s">
        <v>2036</v>
      </c>
      <c r="BNO50" s="154" t="s">
        <v>2036</v>
      </c>
      <c r="BNP50" s="154" t="s">
        <v>2036</v>
      </c>
      <c r="BNQ50" s="154" t="s">
        <v>2036</v>
      </c>
    </row>
    <row r="51" spans="1:86 1590:1757" x14ac:dyDescent="0.25">
      <c r="A51" s="197">
        <v>3</v>
      </c>
      <c r="B51" s="197">
        <v>5</v>
      </c>
      <c r="C51" s="197">
        <v>5</v>
      </c>
      <c r="D51" s="197" t="s">
        <v>2390</v>
      </c>
      <c r="E51" s="197" t="s">
        <v>2435</v>
      </c>
      <c r="F51" s="197" t="s">
        <v>2435</v>
      </c>
      <c r="G51" s="197" t="s">
        <v>2435</v>
      </c>
      <c r="H51" s="197" t="s">
        <v>2435</v>
      </c>
      <c r="I51" s="197">
        <v>4</v>
      </c>
      <c r="J51" s="197">
        <v>0</v>
      </c>
      <c r="K51" s="197">
        <v>0</v>
      </c>
      <c r="L51" s="197">
        <v>0</v>
      </c>
      <c r="M51" s="359">
        <v>116</v>
      </c>
      <c r="N51" s="359" t="s">
        <v>803</v>
      </c>
      <c r="O51" s="237" t="s">
        <v>1489</v>
      </c>
      <c r="P51" s="237"/>
      <c r="Q51" s="371" t="s">
        <v>2207</v>
      </c>
      <c r="R51" s="361">
        <v>68495</v>
      </c>
      <c r="S51" s="368" t="s">
        <v>795</v>
      </c>
      <c r="T51" s="363">
        <v>8.6999999999999993</v>
      </c>
      <c r="U51" s="364" t="s">
        <v>2208</v>
      </c>
      <c r="AH51" s="154" t="s">
        <v>2370</v>
      </c>
      <c r="AI51" s="154" t="s">
        <v>2370</v>
      </c>
      <c r="AJ51" s="154" t="s">
        <v>2370</v>
      </c>
      <c r="AK51" s="154" t="s">
        <v>2370</v>
      </c>
      <c r="AL51" s="154" t="s">
        <v>2370</v>
      </c>
      <c r="AM51" s="154" t="s">
        <v>2370</v>
      </c>
      <c r="AS51" s="154" t="s">
        <v>2033</v>
      </c>
      <c r="AT51" s="154" t="s">
        <v>2033</v>
      </c>
      <c r="AU51" s="154" t="s">
        <v>2033</v>
      </c>
      <c r="AV51" s="154" t="s">
        <v>2033</v>
      </c>
      <c r="AW51" s="154" t="s">
        <v>2033</v>
      </c>
      <c r="AX51" s="154" t="s">
        <v>2034</v>
      </c>
      <c r="AY51" s="154" t="s">
        <v>2034</v>
      </c>
      <c r="AZ51" s="154" t="s">
        <v>2034</v>
      </c>
      <c r="BA51" s="154" t="s">
        <v>2034</v>
      </c>
      <c r="BB51" s="154" t="s">
        <v>2034</v>
      </c>
      <c r="BC51" s="154" t="s">
        <v>2033</v>
      </c>
      <c r="BD51" s="154" t="s">
        <v>2033</v>
      </c>
      <c r="BE51" s="154" t="s">
        <v>2034</v>
      </c>
      <c r="BF51" s="154" t="s">
        <v>2034</v>
      </c>
      <c r="BG51" s="154" t="s">
        <v>2034</v>
      </c>
      <c r="BH51" s="154" t="s">
        <v>2034</v>
      </c>
      <c r="BI51" s="154" t="s">
        <v>2034</v>
      </c>
      <c r="BJ51" s="154" t="s">
        <v>2034</v>
      </c>
      <c r="BK51" s="154" t="s">
        <v>2034</v>
      </c>
      <c r="BL51" s="154" t="s">
        <v>2034</v>
      </c>
      <c r="BM51" s="154" t="s">
        <v>2034</v>
      </c>
      <c r="BN51" s="154" t="s">
        <v>2034</v>
      </c>
      <c r="BO51" s="154" t="s">
        <v>2034</v>
      </c>
      <c r="BP51" s="154" t="s">
        <v>2034</v>
      </c>
      <c r="BQ51" s="154" t="s">
        <v>2034</v>
      </c>
      <c r="BR51" s="154" t="s">
        <v>2034</v>
      </c>
      <c r="BS51" s="154" t="s">
        <v>2034</v>
      </c>
      <c r="BY51" s="154" t="s">
        <v>2361</v>
      </c>
      <c r="BZ51" s="154" t="s">
        <v>2361</v>
      </c>
      <c r="CA51" s="154" t="s">
        <v>2361</v>
      </c>
      <c r="CB51" s="154" t="s">
        <v>2361</v>
      </c>
      <c r="CC51" s="154" t="s">
        <v>2359</v>
      </c>
      <c r="CD51" s="154" t="s">
        <v>2359</v>
      </c>
      <c r="CE51" s="154" t="s">
        <v>2359</v>
      </c>
      <c r="CF51" s="154" t="s">
        <v>2359</v>
      </c>
      <c r="CG51" s="154" t="s">
        <v>2359</v>
      </c>
      <c r="CH51" s="154" t="s">
        <v>2359</v>
      </c>
      <c r="BNR51" s="154" t="s">
        <v>2361</v>
      </c>
      <c r="BNS51" s="154" t="s">
        <v>2361</v>
      </c>
      <c r="BNT51" s="154" t="s">
        <v>2361</v>
      </c>
      <c r="BNU51" s="154" t="s">
        <v>2361</v>
      </c>
      <c r="BNV51" s="154" t="s">
        <v>2361</v>
      </c>
      <c r="BNW51" s="154" t="s">
        <v>2361</v>
      </c>
      <c r="BNX51" s="154" t="s">
        <v>2372</v>
      </c>
      <c r="BNY51" s="154" t="s">
        <v>2372</v>
      </c>
      <c r="BNZ51" s="154" t="s">
        <v>2372</v>
      </c>
      <c r="BOA51" s="154" t="s">
        <v>2372</v>
      </c>
      <c r="BOB51" s="154" t="s">
        <v>2372</v>
      </c>
      <c r="BOC51" s="154" t="s">
        <v>2372</v>
      </c>
      <c r="BOD51" s="154" t="s">
        <v>2362</v>
      </c>
      <c r="BOE51" s="154" t="s">
        <v>2362</v>
      </c>
      <c r="BOF51" s="154" t="s">
        <v>2362</v>
      </c>
      <c r="BOG51" s="154" t="s">
        <v>2362</v>
      </c>
      <c r="BOH51" s="154" t="s">
        <v>2362</v>
      </c>
      <c r="BOI51" s="154" t="s">
        <v>2362</v>
      </c>
      <c r="BOJ51" s="154" t="s">
        <v>2036</v>
      </c>
      <c r="BOK51" s="154" t="s">
        <v>2036</v>
      </c>
      <c r="BOL51" s="154" t="s">
        <v>2036</v>
      </c>
      <c r="BOM51" s="154" t="s">
        <v>2036</v>
      </c>
      <c r="BON51" s="154" t="s">
        <v>2036</v>
      </c>
      <c r="BOO51" s="154" t="s">
        <v>2036</v>
      </c>
    </row>
    <row r="52" spans="1:86 1590:1757" s="390" customFormat="1" x14ac:dyDescent="0.25">
      <c r="A52" s="365">
        <v>3</v>
      </c>
      <c r="B52" s="365">
        <v>5</v>
      </c>
      <c r="C52" s="365">
        <v>5</v>
      </c>
      <c r="D52" s="365" t="s">
        <v>2387</v>
      </c>
      <c r="E52" s="365" t="s">
        <v>2435</v>
      </c>
      <c r="F52" s="365" t="s">
        <v>2435</v>
      </c>
      <c r="G52" s="365" t="s">
        <v>2435</v>
      </c>
      <c r="H52" s="365" t="s">
        <v>2435</v>
      </c>
      <c r="I52" s="365">
        <v>4</v>
      </c>
      <c r="J52" s="365">
        <v>0</v>
      </c>
      <c r="K52" s="365">
        <v>0</v>
      </c>
      <c r="L52" s="365">
        <v>0</v>
      </c>
      <c r="M52" s="366">
        <v>56</v>
      </c>
      <c r="N52" s="366" t="s">
        <v>806</v>
      </c>
      <c r="O52" s="374" t="s">
        <v>1492</v>
      </c>
      <c r="P52" s="374"/>
      <c r="Q52" s="385" t="s">
        <v>2209</v>
      </c>
      <c r="R52" s="386">
        <v>62166</v>
      </c>
      <c r="S52" s="387" t="s">
        <v>795</v>
      </c>
      <c r="T52" s="388">
        <v>8.4</v>
      </c>
      <c r="U52" s="389" t="s">
        <v>2210</v>
      </c>
      <c r="AH52" s="390" t="s">
        <v>2370</v>
      </c>
      <c r="AI52" s="390" t="s">
        <v>2370</v>
      </c>
      <c r="AJ52" s="390" t="s">
        <v>2370</v>
      </c>
      <c r="AK52" s="390" t="s">
        <v>2370</v>
      </c>
      <c r="AL52" s="390" t="s">
        <v>2370</v>
      </c>
      <c r="AM52" s="390" t="s">
        <v>2370</v>
      </c>
      <c r="AS52" s="390" t="s">
        <v>2033</v>
      </c>
      <c r="AT52" s="390" t="s">
        <v>2033</v>
      </c>
      <c r="AU52" s="390" t="s">
        <v>2033</v>
      </c>
      <c r="AV52" s="390" t="s">
        <v>2033</v>
      </c>
      <c r="AW52" s="390" t="s">
        <v>2033</v>
      </c>
      <c r="AX52" s="390" t="s">
        <v>2034</v>
      </c>
      <c r="AY52" s="390" t="s">
        <v>2034</v>
      </c>
      <c r="AZ52" s="390" t="s">
        <v>2034</v>
      </c>
      <c r="BA52" s="390" t="s">
        <v>2034</v>
      </c>
      <c r="BB52" s="390" t="s">
        <v>2034</v>
      </c>
      <c r="BC52" s="390" t="s">
        <v>2033</v>
      </c>
      <c r="BD52" s="390" t="s">
        <v>2033</v>
      </c>
      <c r="BE52" s="390" t="s">
        <v>2034</v>
      </c>
      <c r="BF52" s="390" t="s">
        <v>2034</v>
      </c>
      <c r="BG52" s="390" t="s">
        <v>2034</v>
      </c>
      <c r="BH52" s="390" t="s">
        <v>2034</v>
      </c>
      <c r="BI52" s="390" t="s">
        <v>2034</v>
      </c>
      <c r="BJ52" s="390" t="s">
        <v>2034</v>
      </c>
      <c r="BK52" s="390" t="s">
        <v>2034</v>
      </c>
      <c r="BL52" s="390" t="s">
        <v>2034</v>
      </c>
      <c r="BM52" s="390" t="s">
        <v>2034</v>
      </c>
      <c r="BN52" s="390" t="s">
        <v>2034</v>
      </c>
      <c r="BO52" s="390" t="s">
        <v>2034</v>
      </c>
      <c r="BP52" s="390" t="s">
        <v>2034</v>
      </c>
      <c r="BQ52" s="390" t="s">
        <v>2034</v>
      </c>
      <c r="BR52" s="390" t="s">
        <v>2034</v>
      </c>
      <c r="BS52" s="390" t="s">
        <v>2034</v>
      </c>
      <c r="BY52" s="390" t="s">
        <v>2361</v>
      </c>
      <c r="BZ52" s="390" t="s">
        <v>2361</v>
      </c>
      <c r="CA52" s="390" t="s">
        <v>2361</v>
      </c>
      <c r="CB52" s="390" t="s">
        <v>2361</v>
      </c>
      <c r="CC52" s="390" t="s">
        <v>2359</v>
      </c>
      <c r="CD52" s="390" t="s">
        <v>2359</v>
      </c>
      <c r="CE52" s="390" t="s">
        <v>2359</v>
      </c>
      <c r="CF52" s="390" t="s">
        <v>2359</v>
      </c>
      <c r="CG52" s="390" t="s">
        <v>2359</v>
      </c>
      <c r="CH52" s="390" t="s">
        <v>2359</v>
      </c>
      <c r="BID52" s="390" t="s">
        <v>2361</v>
      </c>
      <c r="BIE52" s="390" t="s">
        <v>2361</v>
      </c>
      <c r="BIF52" s="390" t="s">
        <v>2361</v>
      </c>
      <c r="BIG52" s="390" t="s">
        <v>2361</v>
      </c>
      <c r="BIH52" s="390" t="s">
        <v>2361</v>
      </c>
      <c r="BII52" s="390" t="s">
        <v>2361</v>
      </c>
      <c r="BIJ52" s="390" t="s">
        <v>2372</v>
      </c>
      <c r="BIK52" s="390" t="s">
        <v>2372</v>
      </c>
      <c r="BIL52" s="390" t="s">
        <v>2372</v>
      </c>
      <c r="BIM52" s="390" t="s">
        <v>2372</v>
      </c>
      <c r="BIN52" s="390" t="s">
        <v>2372</v>
      </c>
      <c r="BIO52" s="390" t="s">
        <v>2372</v>
      </c>
      <c r="BIP52" s="390" t="s">
        <v>2362</v>
      </c>
      <c r="BIQ52" s="390" t="s">
        <v>2362</v>
      </c>
      <c r="BIR52" s="390" t="s">
        <v>2362</v>
      </c>
      <c r="BIS52" s="390" t="s">
        <v>2362</v>
      </c>
      <c r="BIT52" s="390" t="s">
        <v>2362</v>
      </c>
      <c r="BIU52" s="390" t="s">
        <v>2362</v>
      </c>
      <c r="BIV52" s="390" t="s">
        <v>2036</v>
      </c>
      <c r="BIW52" s="390" t="s">
        <v>2036</v>
      </c>
      <c r="BIX52" s="390" t="s">
        <v>2036</v>
      </c>
      <c r="BIY52" s="390" t="s">
        <v>2036</v>
      </c>
      <c r="BIZ52" s="390" t="s">
        <v>2036</v>
      </c>
      <c r="BJA52" s="390" t="s">
        <v>2036</v>
      </c>
    </row>
    <row r="53" spans="1:86 1590:1757" s="390" customFormat="1" x14ac:dyDescent="0.25">
      <c r="A53" s="365">
        <v>3</v>
      </c>
      <c r="B53" s="365">
        <v>5</v>
      </c>
      <c r="C53" s="365">
        <v>5</v>
      </c>
      <c r="D53" s="365" t="s">
        <v>2388</v>
      </c>
      <c r="E53" s="365" t="s">
        <v>2435</v>
      </c>
      <c r="F53" s="365" t="s">
        <v>2435</v>
      </c>
      <c r="G53" s="365" t="s">
        <v>2435</v>
      </c>
      <c r="H53" s="365" t="s">
        <v>2435</v>
      </c>
      <c r="I53" s="365">
        <v>4</v>
      </c>
      <c r="J53" s="365">
        <v>0</v>
      </c>
      <c r="K53" s="365">
        <v>0</v>
      </c>
      <c r="L53" s="365">
        <v>0</v>
      </c>
      <c r="M53" s="366">
        <v>74</v>
      </c>
      <c r="N53" s="366" t="s">
        <v>808</v>
      </c>
      <c r="O53" s="374" t="s">
        <v>1492</v>
      </c>
      <c r="P53" s="374"/>
      <c r="Q53" s="385" t="s">
        <v>2211</v>
      </c>
      <c r="R53" s="386">
        <v>64201</v>
      </c>
      <c r="S53" s="387" t="s">
        <v>795</v>
      </c>
      <c r="T53" s="388">
        <v>8.4</v>
      </c>
      <c r="U53" s="389" t="s">
        <v>2212</v>
      </c>
      <c r="AH53" s="390" t="s">
        <v>2370</v>
      </c>
      <c r="AI53" s="390" t="s">
        <v>2370</v>
      </c>
      <c r="AJ53" s="390" t="s">
        <v>2370</v>
      </c>
      <c r="AK53" s="390" t="s">
        <v>2370</v>
      </c>
      <c r="AL53" s="390" t="s">
        <v>2370</v>
      </c>
      <c r="AM53" s="390" t="s">
        <v>2370</v>
      </c>
      <c r="AS53" s="390" t="s">
        <v>2033</v>
      </c>
      <c r="AT53" s="390" t="s">
        <v>2033</v>
      </c>
      <c r="AU53" s="390" t="s">
        <v>2033</v>
      </c>
      <c r="AV53" s="390" t="s">
        <v>2033</v>
      </c>
      <c r="AW53" s="390" t="s">
        <v>2033</v>
      </c>
      <c r="AX53" s="390" t="s">
        <v>2034</v>
      </c>
      <c r="AY53" s="390" t="s">
        <v>2034</v>
      </c>
      <c r="AZ53" s="390" t="s">
        <v>2034</v>
      </c>
      <c r="BA53" s="390" t="s">
        <v>2034</v>
      </c>
      <c r="BB53" s="390" t="s">
        <v>2034</v>
      </c>
      <c r="BC53" s="390" t="s">
        <v>2033</v>
      </c>
      <c r="BD53" s="390" t="s">
        <v>2033</v>
      </c>
      <c r="BE53" s="390" t="s">
        <v>2034</v>
      </c>
      <c r="BF53" s="390" t="s">
        <v>2034</v>
      </c>
      <c r="BG53" s="390" t="s">
        <v>2034</v>
      </c>
      <c r="BH53" s="390" t="s">
        <v>2034</v>
      </c>
      <c r="BI53" s="390" t="s">
        <v>2034</v>
      </c>
      <c r="BJ53" s="390" t="s">
        <v>2034</v>
      </c>
      <c r="BK53" s="390" t="s">
        <v>2034</v>
      </c>
      <c r="BL53" s="390" t="s">
        <v>2034</v>
      </c>
      <c r="BM53" s="390" t="s">
        <v>2034</v>
      </c>
      <c r="BN53" s="390" t="s">
        <v>2034</v>
      </c>
      <c r="BO53" s="390" t="s">
        <v>2034</v>
      </c>
      <c r="BP53" s="390" t="s">
        <v>2034</v>
      </c>
      <c r="BQ53" s="390" t="s">
        <v>2034</v>
      </c>
      <c r="BR53" s="390" t="s">
        <v>2034</v>
      </c>
      <c r="BS53" s="390" t="s">
        <v>2034</v>
      </c>
      <c r="BY53" s="390" t="s">
        <v>2361</v>
      </c>
      <c r="BZ53" s="390" t="s">
        <v>2361</v>
      </c>
      <c r="CA53" s="390" t="s">
        <v>2361</v>
      </c>
      <c r="CB53" s="390" t="s">
        <v>2361</v>
      </c>
      <c r="CC53" s="390" t="s">
        <v>2359</v>
      </c>
      <c r="CD53" s="390" t="s">
        <v>2359</v>
      </c>
      <c r="CE53" s="390" t="s">
        <v>2359</v>
      </c>
      <c r="CF53" s="390" t="s">
        <v>2359</v>
      </c>
      <c r="CG53" s="390" t="s">
        <v>2359</v>
      </c>
      <c r="CH53" s="390" t="s">
        <v>2359</v>
      </c>
      <c r="BJB53" s="390" t="s">
        <v>2361</v>
      </c>
      <c r="BJC53" s="390" t="s">
        <v>2361</v>
      </c>
      <c r="BJD53" s="390" t="s">
        <v>2361</v>
      </c>
      <c r="BJE53" s="390" t="s">
        <v>2361</v>
      </c>
      <c r="BJF53" s="390" t="s">
        <v>2361</v>
      </c>
      <c r="BJG53" s="390" t="s">
        <v>2361</v>
      </c>
      <c r="BJH53" s="390" t="s">
        <v>2372</v>
      </c>
      <c r="BJI53" s="390" t="s">
        <v>2372</v>
      </c>
      <c r="BJJ53" s="390" t="s">
        <v>2372</v>
      </c>
      <c r="BJK53" s="390" t="s">
        <v>2372</v>
      </c>
      <c r="BJL53" s="390" t="s">
        <v>2372</v>
      </c>
      <c r="BJM53" s="390" t="s">
        <v>2372</v>
      </c>
      <c r="BJN53" s="390" t="s">
        <v>2362</v>
      </c>
      <c r="BJO53" s="390" t="s">
        <v>2362</v>
      </c>
      <c r="BJP53" s="390" t="s">
        <v>2362</v>
      </c>
      <c r="BJQ53" s="390" t="s">
        <v>2362</v>
      </c>
      <c r="BJR53" s="390" t="s">
        <v>2362</v>
      </c>
      <c r="BJS53" s="390" t="s">
        <v>2362</v>
      </c>
      <c r="BJT53" s="390" t="s">
        <v>2036</v>
      </c>
      <c r="BJU53" s="390" t="s">
        <v>2036</v>
      </c>
      <c r="BJV53" s="390" t="s">
        <v>2036</v>
      </c>
      <c r="BJW53" s="390" t="s">
        <v>2036</v>
      </c>
      <c r="BJX53" s="390" t="s">
        <v>2036</v>
      </c>
      <c r="BJY53" s="390" t="s">
        <v>2036</v>
      </c>
    </row>
    <row r="54" spans="1:86 1590:1757" s="390" customFormat="1" x14ac:dyDescent="0.25">
      <c r="A54" s="365">
        <v>3</v>
      </c>
      <c r="B54" s="365">
        <v>5</v>
      </c>
      <c r="C54" s="365">
        <v>5</v>
      </c>
      <c r="D54" s="365" t="s">
        <v>2389</v>
      </c>
      <c r="E54" s="365" t="s">
        <v>2435</v>
      </c>
      <c r="F54" s="365" t="s">
        <v>2435</v>
      </c>
      <c r="G54" s="365" t="s">
        <v>2435</v>
      </c>
      <c r="H54" s="365" t="s">
        <v>2435</v>
      </c>
      <c r="I54" s="365">
        <v>4</v>
      </c>
      <c r="J54" s="365">
        <v>0</v>
      </c>
      <c r="K54" s="365">
        <v>0</v>
      </c>
      <c r="L54" s="365">
        <v>0</v>
      </c>
      <c r="M54" s="366">
        <v>95</v>
      </c>
      <c r="N54" s="366" t="s">
        <v>810</v>
      </c>
      <c r="O54" s="374" t="s">
        <v>1492</v>
      </c>
      <c r="P54" s="374"/>
      <c r="Q54" s="385" t="s">
        <v>2213</v>
      </c>
      <c r="R54" s="386">
        <v>68673</v>
      </c>
      <c r="S54" s="387" t="s">
        <v>795</v>
      </c>
      <c r="T54" s="388">
        <v>8.6999999999999993</v>
      </c>
      <c r="U54" s="389" t="s">
        <v>2214</v>
      </c>
      <c r="AH54" s="390" t="s">
        <v>2370</v>
      </c>
      <c r="AI54" s="390" t="s">
        <v>2370</v>
      </c>
      <c r="AJ54" s="390" t="s">
        <v>2370</v>
      </c>
      <c r="AK54" s="390" t="s">
        <v>2370</v>
      </c>
      <c r="AL54" s="390" t="s">
        <v>2370</v>
      </c>
      <c r="AM54" s="390" t="s">
        <v>2370</v>
      </c>
      <c r="AS54" s="390" t="s">
        <v>2033</v>
      </c>
      <c r="AT54" s="390" t="s">
        <v>2033</v>
      </c>
      <c r="AU54" s="390" t="s">
        <v>2033</v>
      </c>
      <c r="AV54" s="390" t="s">
        <v>2033</v>
      </c>
      <c r="AW54" s="390" t="s">
        <v>2033</v>
      </c>
      <c r="AX54" s="390" t="s">
        <v>2034</v>
      </c>
      <c r="AY54" s="390" t="s">
        <v>2034</v>
      </c>
      <c r="AZ54" s="390" t="s">
        <v>2034</v>
      </c>
      <c r="BA54" s="390" t="s">
        <v>2034</v>
      </c>
      <c r="BB54" s="390" t="s">
        <v>2034</v>
      </c>
      <c r="BC54" s="390" t="s">
        <v>2033</v>
      </c>
      <c r="BD54" s="390" t="s">
        <v>2033</v>
      </c>
      <c r="BE54" s="390" t="s">
        <v>2034</v>
      </c>
      <c r="BF54" s="390" t="s">
        <v>2034</v>
      </c>
      <c r="BG54" s="390" t="s">
        <v>2034</v>
      </c>
      <c r="BH54" s="390" t="s">
        <v>2034</v>
      </c>
      <c r="BI54" s="390" t="s">
        <v>2034</v>
      </c>
      <c r="BJ54" s="390" t="s">
        <v>2034</v>
      </c>
      <c r="BK54" s="390" t="s">
        <v>2034</v>
      </c>
      <c r="BL54" s="390" t="s">
        <v>2034</v>
      </c>
      <c r="BM54" s="390" t="s">
        <v>2034</v>
      </c>
      <c r="BN54" s="390" t="s">
        <v>2034</v>
      </c>
      <c r="BO54" s="390" t="s">
        <v>2034</v>
      </c>
      <c r="BP54" s="390" t="s">
        <v>2034</v>
      </c>
      <c r="BQ54" s="390" t="s">
        <v>2034</v>
      </c>
      <c r="BR54" s="390" t="s">
        <v>2034</v>
      </c>
      <c r="BS54" s="390" t="s">
        <v>2034</v>
      </c>
      <c r="BY54" s="390" t="s">
        <v>2361</v>
      </c>
      <c r="BZ54" s="390" t="s">
        <v>2361</v>
      </c>
      <c r="CA54" s="390" t="s">
        <v>2361</v>
      </c>
      <c r="CB54" s="390" t="s">
        <v>2361</v>
      </c>
      <c r="CC54" s="390" t="s">
        <v>2359</v>
      </c>
      <c r="CD54" s="390" t="s">
        <v>2359</v>
      </c>
      <c r="CE54" s="390" t="s">
        <v>2359</v>
      </c>
      <c r="CF54" s="390" t="s">
        <v>2359</v>
      </c>
      <c r="CG54" s="390" t="s">
        <v>2359</v>
      </c>
      <c r="CH54" s="390" t="s">
        <v>2359</v>
      </c>
      <c r="BJZ54" s="390" t="s">
        <v>2361</v>
      </c>
      <c r="BKA54" s="390" t="s">
        <v>2361</v>
      </c>
      <c r="BKB54" s="390" t="s">
        <v>2361</v>
      </c>
      <c r="BKC54" s="390" t="s">
        <v>2361</v>
      </c>
      <c r="BKD54" s="390" t="s">
        <v>2361</v>
      </c>
      <c r="BKE54" s="390" t="s">
        <v>2361</v>
      </c>
      <c r="BKF54" s="390" t="s">
        <v>2372</v>
      </c>
      <c r="BKG54" s="390" t="s">
        <v>2372</v>
      </c>
      <c r="BKH54" s="390" t="s">
        <v>2372</v>
      </c>
      <c r="BKI54" s="390" t="s">
        <v>2372</v>
      </c>
      <c r="BKJ54" s="390" t="s">
        <v>2372</v>
      </c>
      <c r="BKK54" s="390" t="s">
        <v>2372</v>
      </c>
      <c r="BKL54" s="390" t="s">
        <v>2362</v>
      </c>
      <c r="BKM54" s="390" t="s">
        <v>2362</v>
      </c>
      <c r="BKN54" s="390" t="s">
        <v>2362</v>
      </c>
      <c r="BKO54" s="390" t="s">
        <v>2362</v>
      </c>
      <c r="BKP54" s="390" t="s">
        <v>2362</v>
      </c>
      <c r="BKQ54" s="390" t="s">
        <v>2362</v>
      </c>
      <c r="BKR54" s="390" t="s">
        <v>2036</v>
      </c>
      <c r="BKS54" s="390" t="s">
        <v>2036</v>
      </c>
      <c r="BKT54" s="390" t="s">
        <v>2036</v>
      </c>
      <c r="BKU54" s="390" t="s">
        <v>2036</v>
      </c>
      <c r="BKV54" s="390" t="s">
        <v>2036</v>
      </c>
      <c r="BKW54" s="390" t="s">
        <v>2036</v>
      </c>
    </row>
    <row r="55" spans="1:86 1590:1757" s="390" customFormat="1" x14ac:dyDescent="0.25">
      <c r="A55" s="365">
        <v>3</v>
      </c>
      <c r="B55" s="365">
        <v>5</v>
      </c>
      <c r="C55" s="365">
        <v>5</v>
      </c>
      <c r="D55" s="365" t="s">
        <v>2390</v>
      </c>
      <c r="E55" s="365" t="s">
        <v>2435</v>
      </c>
      <c r="F55" s="365" t="s">
        <v>2435</v>
      </c>
      <c r="G55" s="365" t="s">
        <v>2435</v>
      </c>
      <c r="H55" s="365" t="s">
        <v>2435</v>
      </c>
      <c r="I55" s="365">
        <v>4</v>
      </c>
      <c r="J55" s="365">
        <v>0</v>
      </c>
      <c r="K55" s="365">
        <v>0</v>
      </c>
      <c r="L55" s="365">
        <v>0</v>
      </c>
      <c r="M55" s="366">
        <v>116</v>
      </c>
      <c r="N55" s="366" t="s">
        <v>812</v>
      </c>
      <c r="O55" s="374" t="s">
        <v>1492</v>
      </c>
      <c r="P55" s="374"/>
      <c r="Q55" s="385" t="s">
        <v>2215</v>
      </c>
      <c r="R55" s="386">
        <v>72193</v>
      </c>
      <c r="S55" s="387" t="s">
        <v>795</v>
      </c>
      <c r="T55" s="388">
        <v>8.6999999999999993</v>
      </c>
      <c r="U55" s="389" t="s">
        <v>2216</v>
      </c>
      <c r="AH55" s="390" t="s">
        <v>2370</v>
      </c>
      <c r="AI55" s="390" t="s">
        <v>2370</v>
      </c>
      <c r="AJ55" s="390" t="s">
        <v>2370</v>
      </c>
      <c r="AK55" s="390" t="s">
        <v>2370</v>
      </c>
      <c r="AL55" s="390" t="s">
        <v>2370</v>
      </c>
      <c r="AM55" s="390" t="s">
        <v>2370</v>
      </c>
      <c r="AS55" s="390" t="s">
        <v>2033</v>
      </c>
      <c r="AT55" s="390" t="s">
        <v>2033</v>
      </c>
      <c r="AU55" s="390" t="s">
        <v>2033</v>
      </c>
      <c r="AV55" s="390" t="s">
        <v>2033</v>
      </c>
      <c r="AW55" s="390" t="s">
        <v>2033</v>
      </c>
      <c r="AX55" s="390" t="s">
        <v>2034</v>
      </c>
      <c r="AY55" s="390" t="s">
        <v>2034</v>
      </c>
      <c r="AZ55" s="390" t="s">
        <v>2034</v>
      </c>
      <c r="BA55" s="390" t="s">
        <v>2034</v>
      </c>
      <c r="BB55" s="390" t="s">
        <v>2034</v>
      </c>
      <c r="BC55" s="390" t="s">
        <v>2033</v>
      </c>
      <c r="BD55" s="390" t="s">
        <v>2033</v>
      </c>
      <c r="BE55" s="390" t="s">
        <v>2034</v>
      </c>
      <c r="BF55" s="390" t="s">
        <v>2034</v>
      </c>
      <c r="BG55" s="390" t="s">
        <v>2034</v>
      </c>
      <c r="BH55" s="390" t="s">
        <v>2034</v>
      </c>
      <c r="BI55" s="390" t="s">
        <v>2034</v>
      </c>
      <c r="BJ55" s="390" t="s">
        <v>2034</v>
      </c>
      <c r="BK55" s="390" t="s">
        <v>2034</v>
      </c>
      <c r="BL55" s="390" t="s">
        <v>2034</v>
      </c>
      <c r="BM55" s="390" t="s">
        <v>2034</v>
      </c>
      <c r="BN55" s="390" t="s">
        <v>2034</v>
      </c>
      <c r="BO55" s="390" t="s">
        <v>2034</v>
      </c>
      <c r="BP55" s="390" t="s">
        <v>2034</v>
      </c>
      <c r="BQ55" s="390" t="s">
        <v>2034</v>
      </c>
      <c r="BR55" s="390" t="s">
        <v>2034</v>
      </c>
      <c r="BS55" s="390" t="s">
        <v>2034</v>
      </c>
      <c r="BY55" s="390" t="s">
        <v>2361</v>
      </c>
      <c r="BZ55" s="390" t="s">
        <v>2361</v>
      </c>
      <c r="CA55" s="390" t="s">
        <v>2361</v>
      </c>
      <c r="CB55" s="390" t="s">
        <v>2361</v>
      </c>
      <c r="CC55" s="390" t="s">
        <v>2359</v>
      </c>
      <c r="CD55" s="390" t="s">
        <v>2359</v>
      </c>
      <c r="CE55" s="390" t="s">
        <v>2359</v>
      </c>
      <c r="CF55" s="390" t="s">
        <v>2359</v>
      </c>
      <c r="CG55" s="390" t="s">
        <v>2359</v>
      </c>
      <c r="CH55" s="390" t="s">
        <v>2359</v>
      </c>
      <c r="BKX55" s="390" t="s">
        <v>2361</v>
      </c>
      <c r="BKY55" s="390" t="s">
        <v>2361</v>
      </c>
      <c r="BKZ55" s="390" t="s">
        <v>2361</v>
      </c>
      <c r="BLA55" s="390" t="s">
        <v>2361</v>
      </c>
      <c r="BLB55" s="390" t="s">
        <v>2361</v>
      </c>
      <c r="BLC55" s="390" t="s">
        <v>2361</v>
      </c>
      <c r="BLD55" s="390" t="s">
        <v>2372</v>
      </c>
      <c r="BLE55" s="390" t="s">
        <v>2372</v>
      </c>
      <c r="BLF55" s="390" t="s">
        <v>2372</v>
      </c>
      <c r="BLG55" s="390" t="s">
        <v>2372</v>
      </c>
      <c r="BLH55" s="390" t="s">
        <v>2372</v>
      </c>
      <c r="BLI55" s="390" t="s">
        <v>2372</v>
      </c>
      <c r="BLJ55" s="390" t="s">
        <v>2362</v>
      </c>
      <c r="BLK55" s="390" t="s">
        <v>2362</v>
      </c>
      <c r="BLL55" s="390" t="s">
        <v>2362</v>
      </c>
      <c r="BLM55" s="390" t="s">
        <v>2362</v>
      </c>
      <c r="BLN55" s="390" t="s">
        <v>2362</v>
      </c>
      <c r="BLO55" s="390" t="s">
        <v>2362</v>
      </c>
      <c r="BLP55" s="390" t="s">
        <v>2036</v>
      </c>
      <c r="BLQ55" s="390" t="s">
        <v>2036</v>
      </c>
      <c r="BLR55" s="390" t="s">
        <v>2036</v>
      </c>
      <c r="BLS55" s="390" t="s">
        <v>2036</v>
      </c>
      <c r="BLT55" s="390" t="s">
        <v>2036</v>
      </c>
      <c r="BLU55" s="390" t="s">
        <v>2036</v>
      </c>
    </row>
    <row r="56" spans="1:86 1590:1757" s="390" customFormat="1" x14ac:dyDescent="0.25">
      <c r="A56" s="365">
        <v>3</v>
      </c>
      <c r="B56" s="365">
        <v>5</v>
      </c>
      <c r="C56" s="365">
        <v>5</v>
      </c>
      <c r="D56" s="365" t="s">
        <v>2387</v>
      </c>
      <c r="E56" s="365" t="s">
        <v>2435</v>
      </c>
      <c r="F56" s="365" t="s">
        <v>2435</v>
      </c>
      <c r="G56" s="365" t="s">
        <v>2435</v>
      </c>
      <c r="H56" s="365" t="s">
        <v>2435</v>
      </c>
      <c r="I56" s="365">
        <v>4</v>
      </c>
      <c r="J56" s="365">
        <v>0</v>
      </c>
      <c r="K56" s="365">
        <v>0</v>
      </c>
      <c r="L56" s="365">
        <v>0</v>
      </c>
      <c r="M56" s="366">
        <v>56</v>
      </c>
      <c r="N56" s="366" t="s">
        <v>814</v>
      </c>
      <c r="O56" s="374" t="s">
        <v>1492</v>
      </c>
      <c r="P56" s="374"/>
      <c r="Q56" s="391" t="s">
        <v>2217</v>
      </c>
      <c r="R56" s="386">
        <v>69454</v>
      </c>
      <c r="S56" s="392" t="s">
        <v>816</v>
      </c>
      <c r="T56" s="393">
        <v>22.5</v>
      </c>
      <c r="U56" s="389" t="s">
        <v>2218</v>
      </c>
      <c r="AH56" s="390" t="s">
        <v>2370</v>
      </c>
      <c r="AI56" s="390" t="s">
        <v>2370</v>
      </c>
      <c r="AJ56" s="390" t="s">
        <v>2370</v>
      </c>
      <c r="AK56" s="390" t="s">
        <v>2370</v>
      </c>
      <c r="AL56" s="390" t="s">
        <v>2370</v>
      </c>
      <c r="AM56" s="390" t="s">
        <v>2370</v>
      </c>
      <c r="AS56" s="390" t="s">
        <v>2033</v>
      </c>
      <c r="AT56" s="390" t="s">
        <v>2033</v>
      </c>
      <c r="AU56" s="390" t="s">
        <v>2033</v>
      </c>
      <c r="AV56" s="390" t="s">
        <v>2033</v>
      </c>
      <c r="AW56" s="390" t="s">
        <v>2033</v>
      </c>
      <c r="AX56" s="390" t="s">
        <v>2034</v>
      </c>
      <c r="AY56" s="390" t="s">
        <v>2034</v>
      </c>
      <c r="AZ56" s="390" t="s">
        <v>2034</v>
      </c>
      <c r="BA56" s="390" t="s">
        <v>2034</v>
      </c>
      <c r="BB56" s="390" t="s">
        <v>2034</v>
      </c>
      <c r="BC56" s="390" t="s">
        <v>2033</v>
      </c>
      <c r="BD56" s="390" t="s">
        <v>2033</v>
      </c>
      <c r="BE56" s="390" t="s">
        <v>2034</v>
      </c>
      <c r="BF56" s="390" t="s">
        <v>2034</v>
      </c>
      <c r="BG56" s="390" t="s">
        <v>2034</v>
      </c>
      <c r="BH56" s="390" t="s">
        <v>2034</v>
      </c>
      <c r="BI56" s="390" t="s">
        <v>2034</v>
      </c>
      <c r="BJ56" s="390" t="s">
        <v>2034</v>
      </c>
      <c r="BK56" s="390" t="s">
        <v>2034</v>
      </c>
      <c r="BL56" s="390" t="s">
        <v>2034</v>
      </c>
      <c r="BM56" s="390" t="s">
        <v>2034</v>
      </c>
      <c r="BN56" s="390" t="s">
        <v>2034</v>
      </c>
      <c r="BO56" s="390" t="s">
        <v>2034</v>
      </c>
      <c r="BP56" s="390" t="s">
        <v>2034</v>
      </c>
      <c r="BQ56" s="390" t="s">
        <v>2034</v>
      </c>
      <c r="BR56" s="390" t="s">
        <v>2034</v>
      </c>
      <c r="BS56" s="390" t="s">
        <v>2034</v>
      </c>
      <c r="BY56" s="390" t="s">
        <v>2361</v>
      </c>
      <c r="BZ56" s="390" t="s">
        <v>2361</v>
      </c>
      <c r="CA56" s="390" t="s">
        <v>2361</v>
      </c>
      <c r="CB56" s="390" t="s">
        <v>2361</v>
      </c>
      <c r="CC56" s="390" t="s">
        <v>2359</v>
      </c>
      <c r="CD56" s="390" t="s">
        <v>2359</v>
      </c>
      <c r="CE56" s="390" t="s">
        <v>2359</v>
      </c>
      <c r="CF56" s="390" t="s">
        <v>2359</v>
      </c>
      <c r="CG56" s="390" t="s">
        <v>2359</v>
      </c>
      <c r="CH56" s="390" t="s">
        <v>2359</v>
      </c>
      <c r="BLV56" s="390" t="s">
        <v>2361</v>
      </c>
      <c r="BLW56" s="390" t="s">
        <v>2361</v>
      </c>
      <c r="BLX56" s="390" t="s">
        <v>2361</v>
      </c>
      <c r="BLY56" s="390" t="s">
        <v>2361</v>
      </c>
      <c r="BLZ56" s="390" t="s">
        <v>2361</v>
      </c>
      <c r="BMA56" s="390" t="s">
        <v>2361</v>
      </c>
      <c r="BMB56" s="390" t="s">
        <v>2372</v>
      </c>
      <c r="BMC56" s="390" t="s">
        <v>2372</v>
      </c>
      <c r="BMD56" s="390" t="s">
        <v>2372</v>
      </c>
      <c r="BME56" s="390" t="s">
        <v>2372</v>
      </c>
      <c r="BMF56" s="390" t="s">
        <v>2372</v>
      </c>
      <c r="BMG56" s="390" t="s">
        <v>2372</v>
      </c>
      <c r="BMH56" s="390" t="s">
        <v>2362</v>
      </c>
      <c r="BMI56" s="390" t="s">
        <v>2362</v>
      </c>
      <c r="BMJ56" s="390" t="s">
        <v>2362</v>
      </c>
      <c r="BMK56" s="390" t="s">
        <v>2362</v>
      </c>
      <c r="BML56" s="390" t="s">
        <v>2362</v>
      </c>
      <c r="BMM56" s="390" t="s">
        <v>2362</v>
      </c>
      <c r="BMN56" s="390" t="s">
        <v>2036</v>
      </c>
      <c r="BMO56" s="390" t="s">
        <v>2036</v>
      </c>
      <c r="BMP56" s="390" t="s">
        <v>2036</v>
      </c>
      <c r="BMQ56" s="390" t="s">
        <v>2036</v>
      </c>
      <c r="BMR56" s="390" t="s">
        <v>2036</v>
      </c>
      <c r="BMS56" s="390" t="s">
        <v>2036</v>
      </c>
    </row>
    <row r="57" spans="1:86 1590:1757" s="390" customFormat="1" x14ac:dyDescent="0.25">
      <c r="A57" s="365">
        <v>3</v>
      </c>
      <c r="B57" s="365">
        <v>5</v>
      </c>
      <c r="C57" s="365">
        <v>5</v>
      </c>
      <c r="D57" s="365" t="s">
        <v>2388</v>
      </c>
      <c r="E57" s="365" t="s">
        <v>2435</v>
      </c>
      <c r="F57" s="365" t="s">
        <v>2435</v>
      </c>
      <c r="G57" s="365" t="s">
        <v>2435</v>
      </c>
      <c r="H57" s="365" t="s">
        <v>2435</v>
      </c>
      <c r="I57" s="365">
        <v>4</v>
      </c>
      <c r="J57" s="365">
        <v>0</v>
      </c>
      <c r="K57" s="365">
        <v>0</v>
      </c>
      <c r="L57" s="365">
        <v>0</v>
      </c>
      <c r="M57" s="366">
        <v>74</v>
      </c>
      <c r="N57" s="366" t="s">
        <v>818</v>
      </c>
      <c r="O57" s="374" t="s">
        <v>1492</v>
      </c>
      <c r="P57" s="374"/>
      <c r="Q57" s="391" t="s">
        <v>2219</v>
      </c>
      <c r="R57" s="386">
        <v>71649</v>
      </c>
      <c r="S57" s="392" t="s">
        <v>816</v>
      </c>
      <c r="T57" s="393">
        <v>22.5</v>
      </c>
      <c r="U57" s="389" t="s">
        <v>2220</v>
      </c>
      <c r="AH57" s="390" t="s">
        <v>2370</v>
      </c>
      <c r="AI57" s="390" t="s">
        <v>2370</v>
      </c>
      <c r="AJ57" s="390" t="s">
        <v>2370</v>
      </c>
      <c r="AK57" s="390" t="s">
        <v>2370</v>
      </c>
      <c r="AL57" s="390" t="s">
        <v>2370</v>
      </c>
      <c r="AM57" s="390" t="s">
        <v>2370</v>
      </c>
      <c r="AS57" s="390" t="s">
        <v>2033</v>
      </c>
      <c r="AT57" s="390" t="s">
        <v>2033</v>
      </c>
      <c r="AU57" s="390" t="s">
        <v>2033</v>
      </c>
      <c r="AV57" s="390" t="s">
        <v>2033</v>
      </c>
      <c r="AW57" s="390" t="s">
        <v>2033</v>
      </c>
      <c r="AX57" s="390" t="s">
        <v>2034</v>
      </c>
      <c r="AY57" s="390" t="s">
        <v>2034</v>
      </c>
      <c r="AZ57" s="390" t="s">
        <v>2034</v>
      </c>
      <c r="BA57" s="390" t="s">
        <v>2034</v>
      </c>
      <c r="BB57" s="390" t="s">
        <v>2034</v>
      </c>
      <c r="BC57" s="390" t="s">
        <v>2033</v>
      </c>
      <c r="BD57" s="390" t="s">
        <v>2033</v>
      </c>
      <c r="BE57" s="390" t="s">
        <v>2034</v>
      </c>
      <c r="BF57" s="390" t="s">
        <v>2034</v>
      </c>
      <c r="BG57" s="390" t="s">
        <v>2034</v>
      </c>
      <c r="BH57" s="390" t="s">
        <v>2034</v>
      </c>
      <c r="BI57" s="390" t="s">
        <v>2034</v>
      </c>
      <c r="BJ57" s="390" t="s">
        <v>2034</v>
      </c>
      <c r="BK57" s="390" t="s">
        <v>2034</v>
      </c>
      <c r="BL57" s="390" t="s">
        <v>2034</v>
      </c>
      <c r="BM57" s="390" t="s">
        <v>2034</v>
      </c>
      <c r="BN57" s="390" t="s">
        <v>2034</v>
      </c>
      <c r="BO57" s="390" t="s">
        <v>2034</v>
      </c>
      <c r="BP57" s="390" t="s">
        <v>2034</v>
      </c>
      <c r="BQ57" s="390" t="s">
        <v>2034</v>
      </c>
      <c r="BR57" s="390" t="s">
        <v>2034</v>
      </c>
      <c r="BS57" s="390" t="s">
        <v>2034</v>
      </c>
      <c r="BY57" s="390" t="s">
        <v>2361</v>
      </c>
      <c r="BZ57" s="390" t="s">
        <v>2361</v>
      </c>
      <c r="CA57" s="390" t="s">
        <v>2361</v>
      </c>
      <c r="CB57" s="390" t="s">
        <v>2361</v>
      </c>
      <c r="CC57" s="390" t="s">
        <v>2359</v>
      </c>
      <c r="CD57" s="390" t="s">
        <v>2359</v>
      </c>
      <c r="CE57" s="390" t="s">
        <v>2359</v>
      </c>
      <c r="CF57" s="390" t="s">
        <v>2359</v>
      </c>
      <c r="CG57" s="390" t="s">
        <v>2359</v>
      </c>
      <c r="CH57" s="390" t="s">
        <v>2359</v>
      </c>
      <c r="BMT57" s="390" t="s">
        <v>2361</v>
      </c>
      <c r="BMU57" s="390" t="s">
        <v>2361</v>
      </c>
      <c r="BMV57" s="390" t="s">
        <v>2361</v>
      </c>
      <c r="BMW57" s="390" t="s">
        <v>2361</v>
      </c>
      <c r="BMX57" s="390" t="s">
        <v>2361</v>
      </c>
      <c r="BMY57" s="390" t="s">
        <v>2361</v>
      </c>
      <c r="BMZ57" s="390" t="s">
        <v>2372</v>
      </c>
      <c r="BNA57" s="390" t="s">
        <v>2372</v>
      </c>
      <c r="BNB57" s="390" t="s">
        <v>2372</v>
      </c>
      <c r="BNC57" s="390" t="s">
        <v>2372</v>
      </c>
      <c r="BND57" s="390" t="s">
        <v>2372</v>
      </c>
      <c r="BNE57" s="390" t="s">
        <v>2372</v>
      </c>
      <c r="BNF57" s="390" t="s">
        <v>2362</v>
      </c>
      <c r="BNG57" s="390" t="s">
        <v>2362</v>
      </c>
      <c r="BNH57" s="390" t="s">
        <v>2362</v>
      </c>
      <c r="BNI57" s="390" t="s">
        <v>2362</v>
      </c>
      <c r="BNJ57" s="390" t="s">
        <v>2362</v>
      </c>
      <c r="BNK57" s="390" t="s">
        <v>2362</v>
      </c>
      <c r="BNL57" s="390" t="s">
        <v>2036</v>
      </c>
      <c r="BNM57" s="390" t="s">
        <v>2036</v>
      </c>
      <c r="BNN57" s="390" t="s">
        <v>2036</v>
      </c>
      <c r="BNO57" s="390" t="s">
        <v>2036</v>
      </c>
      <c r="BNP57" s="390" t="s">
        <v>2036</v>
      </c>
      <c r="BNQ57" s="390" t="s">
        <v>2036</v>
      </c>
    </row>
    <row r="58" spans="1:86 1590:1757" s="390" customFormat="1" x14ac:dyDescent="0.25">
      <c r="A58" s="365">
        <v>3</v>
      </c>
      <c r="B58" s="365">
        <v>5</v>
      </c>
      <c r="C58" s="365">
        <v>5</v>
      </c>
      <c r="D58" s="365" t="s">
        <v>2389</v>
      </c>
      <c r="E58" s="365" t="s">
        <v>2435</v>
      </c>
      <c r="F58" s="365" t="s">
        <v>2435</v>
      </c>
      <c r="G58" s="365" t="s">
        <v>2435</v>
      </c>
      <c r="H58" s="365" t="s">
        <v>2435</v>
      </c>
      <c r="I58" s="365">
        <v>4</v>
      </c>
      <c r="J58" s="365">
        <v>0</v>
      </c>
      <c r="K58" s="365">
        <v>0</v>
      </c>
      <c r="L58" s="365">
        <v>0</v>
      </c>
      <c r="M58" s="366">
        <v>95</v>
      </c>
      <c r="N58" s="366" t="s">
        <v>821</v>
      </c>
      <c r="O58" s="374" t="s">
        <v>1492</v>
      </c>
      <c r="P58" s="374"/>
      <c r="Q58" s="391" t="s">
        <v>2221</v>
      </c>
      <c r="R58" s="386">
        <v>76852</v>
      </c>
      <c r="S58" s="392" t="s">
        <v>816</v>
      </c>
      <c r="T58" s="393">
        <v>22.5</v>
      </c>
      <c r="U58" s="389" t="s">
        <v>2222</v>
      </c>
      <c r="AH58" s="390" t="s">
        <v>2370</v>
      </c>
      <c r="AI58" s="390" t="s">
        <v>2370</v>
      </c>
      <c r="AJ58" s="390" t="s">
        <v>2370</v>
      </c>
      <c r="AK58" s="390" t="s">
        <v>2370</v>
      </c>
      <c r="AL58" s="390" t="s">
        <v>2370</v>
      </c>
      <c r="AM58" s="390" t="s">
        <v>2370</v>
      </c>
      <c r="AS58" s="390" t="s">
        <v>2033</v>
      </c>
      <c r="AT58" s="390" t="s">
        <v>2033</v>
      </c>
      <c r="AU58" s="390" t="s">
        <v>2033</v>
      </c>
      <c r="AV58" s="390" t="s">
        <v>2033</v>
      </c>
      <c r="AW58" s="390" t="s">
        <v>2033</v>
      </c>
      <c r="AX58" s="390" t="s">
        <v>2034</v>
      </c>
      <c r="AY58" s="390" t="s">
        <v>2034</v>
      </c>
      <c r="AZ58" s="390" t="s">
        <v>2034</v>
      </c>
      <c r="BA58" s="390" t="s">
        <v>2034</v>
      </c>
      <c r="BB58" s="390" t="s">
        <v>2034</v>
      </c>
      <c r="BC58" s="390" t="s">
        <v>2033</v>
      </c>
      <c r="BD58" s="390" t="s">
        <v>2033</v>
      </c>
      <c r="BE58" s="390" t="s">
        <v>2034</v>
      </c>
      <c r="BF58" s="390" t="s">
        <v>2034</v>
      </c>
      <c r="BG58" s="390" t="s">
        <v>2034</v>
      </c>
      <c r="BH58" s="390" t="s">
        <v>2034</v>
      </c>
      <c r="BI58" s="390" t="s">
        <v>2034</v>
      </c>
      <c r="BJ58" s="390" t="s">
        <v>2034</v>
      </c>
      <c r="BK58" s="390" t="s">
        <v>2034</v>
      </c>
      <c r="BL58" s="390" t="s">
        <v>2034</v>
      </c>
      <c r="BM58" s="390" t="s">
        <v>2034</v>
      </c>
      <c r="BN58" s="390" t="s">
        <v>2034</v>
      </c>
      <c r="BO58" s="390" t="s">
        <v>2034</v>
      </c>
      <c r="BP58" s="390" t="s">
        <v>2034</v>
      </c>
      <c r="BQ58" s="390" t="s">
        <v>2034</v>
      </c>
      <c r="BR58" s="390" t="s">
        <v>2034</v>
      </c>
      <c r="BS58" s="390" t="s">
        <v>2034</v>
      </c>
      <c r="BY58" s="390" t="s">
        <v>2361</v>
      </c>
      <c r="BZ58" s="390" t="s">
        <v>2361</v>
      </c>
      <c r="CA58" s="390" t="s">
        <v>2361</v>
      </c>
      <c r="CB58" s="390" t="s">
        <v>2361</v>
      </c>
      <c r="CC58" s="390" t="s">
        <v>2359</v>
      </c>
      <c r="CD58" s="390" t="s">
        <v>2359</v>
      </c>
      <c r="CE58" s="390" t="s">
        <v>2359</v>
      </c>
      <c r="CF58" s="390" t="s">
        <v>2359</v>
      </c>
      <c r="CG58" s="390" t="s">
        <v>2359</v>
      </c>
      <c r="CH58" s="390" t="s">
        <v>2359</v>
      </c>
      <c r="BNR58" s="390" t="s">
        <v>2361</v>
      </c>
      <c r="BNS58" s="390" t="s">
        <v>2361</v>
      </c>
      <c r="BNT58" s="390" t="s">
        <v>2361</v>
      </c>
      <c r="BNU58" s="390" t="s">
        <v>2361</v>
      </c>
      <c r="BNV58" s="390" t="s">
        <v>2361</v>
      </c>
      <c r="BNW58" s="390" t="s">
        <v>2361</v>
      </c>
      <c r="BNX58" s="390" t="s">
        <v>2372</v>
      </c>
      <c r="BNY58" s="390" t="s">
        <v>2372</v>
      </c>
      <c r="BNZ58" s="390" t="s">
        <v>2372</v>
      </c>
      <c r="BOA58" s="390" t="s">
        <v>2372</v>
      </c>
      <c r="BOB58" s="390" t="s">
        <v>2372</v>
      </c>
      <c r="BOC58" s="390" t="s">
        <v>2372</v>
      </c>
      <c r="BOD58" s="390" t="s">
        <v>2362</v>
      </c>
      <c r="BOE58" s="390" t="s">
        <v>2362</v>
      </c>
      <c r="BOF58" s="390" t="s">
        <v>2362</v>
      </c>
      <c r="BOG58" s="390" t="s">
        <v>2362</v>
      </c>
      <c r="BOH58" s="390" t="s">
        <v>2362</v>
      </c>
      <c r="BOI58" s="390" t="s">
        <v>2362</v>
      </c>
      <c r="BOJ58" s="390" t="s">
        <v>2036</v>
      </c>
      <c r="BOK58" s="390" t="s">
        <v>2036</v>
      </c>
      <c r="BOL58" s="390" t="s">
        <v>2036</v>
      </c>
      <c r="BOM58" s="390" t="s">
        <v>2036</v>
      </c>
      <c r="BON58" s="390" t="s">
        <v>2036</v>
      </c>
      <c r="BOO58" s="390" t="s">
        <v>2036</v>
      </c>
    </row>
    <row r="59" spans="1:86 1590:1757" s="390" customFormat="1" ht="18.75" customHeight="1" x14ac:dyDescent="0.25">
      <c r="A59" s="365">
        <v>3</v>
      </c>
      <c r="B59" s="365">
        <v>5</v>
      </c>
      <c r="C59" s="365">
        <v>5</v>
      </c>
      <c r="D59" s="365" t="s">
        <v>2390</v>
      </c>
      <c r="E59" s="365" t="s">
        <v>2435</v>
      </c>
      <c r="F59" s="365" t="s">
        <v>2435</v>
      </c>
      <c r="G59" s="365" t="s">
        <v>2435</v>
      </c>
      <c r="H59" s="365" t="s">
        <v>2435</v>
      </c>
      <c r="I59" s="365">
        <v>4</v>
      </c>
      <c r="J59" s="365">
        <v>0</v>
      </c>
      <c r="K59" s="365">
        <v>0</v>
      </c>
      <c r="L59" s="365">
        <v>0</v>
      </c>
      <c r="M59" s="366">
        <v>116</v>
      </c>
      <c r="N59" s="366" t="s">
        <v>824</v>
      </c>
      <c r="O59" s="374" t="s">
        <v>1492</v>
      </c>
      <c r="P59" s="374"/>
      <c r="Q59" s="391" t="s">
        <v>2223</v>
      </c>
      <c r="R59" s="386">
        <v>80571</v>
      </c>
      <c r="S59" s="392" t="s">
        <v>816</v>
      </c>
      <c r="T59" s="393">
        <v>22.5</v>
      </c>
      <c r="U59" s="389" t="s">
        <v>2224</v>
      </c>
      <c r="AH59" s="390" t="s">
        <v>2370</v>
      </c>
      <c r="AI59" s="390" t="s">
        <v>2370</v>
      </c>
      <c r="AJ59" s="390" t="s">
        <v>2370</v>
      </c>
      <c r="AK59" s="390" t="s">
        <v>2370</v>
      </c>
      <c r="AL59" s="390" t="s">
        <v>2370</v>
      </c>
      <c r="AM59" s="390" t="s">
        <v>2370</v>
      </c>
      <c r="AS59" s="390" t="s">
        <v>2033</v>
      </c>
      <c r="AT59" s="390" t="s">
        <v>2033</v>
      </c>
      <c r="AU59" s="390" t="s">
        <v>2033</v>
      </c>
      <c r="AV59" s="390" t="s">
        <v>2033</v>
      </c>
      <c r="AW59" s="390" t="s">
        <v>2033</v>
      </c>
      <c r="AX59" s="390" t="s">
        <v>2034</v>
      </c>
      <c r="AY59" s="390" t="s">
        <v>2034</v>
      </c>
      <c r="AZ59" s="390" t="s">
        <v>2034</v>
      </c>
      <c r="BA59" s="390" t="s">
        <v>2034</v>
      </c>
      <c r="BB59" s="390" t="s">
        <v>2034</v>
      </c>
      <c r="BC59" s="390" t="s">
        <v>2033</v>
      </c>
      <c r="BD59" s="390" t="s">
        <v>2033</v>
      </c>
      <c r="BE59" s="390" t="s">
        <v>2034</v>
      </c>
      <c r="BF59" s="390" t="s">
        <v>2034</v>
      </c>
      <c r="BG59" s="390" t="s">
        <v>2034</v>
      </c>
      <c r="BH59" s="390" t="s">
        <v>2034</v>
      </c>
      <c r="BI59" s="390" t="s">
        <v>2034</v>
      </c>
      <c r="BJ59" s="390" t="s">
        <v>2034</v>
      </c>
      <c r="BK59" s="390" t="s">
        <v>2034</v>
      </c>
      <c r="BL59" s="390" t="s">
        <v>2034</v>
      </c>
      <c r="BM59" s="390" t="s">
        <v>2034</v>
      </c>
      <c r="BN59" s="390" t="s">
        <v>2034</v>
      </c>
      <c r="BO59" s="390" t="s">
        <v>2034</v>
      </c>
      <c r="BP59" s="390" t="s">
        <v>2034</v>
      </c>
      <c r="BQ59" s="390" t="s">
        <v>2034</v>
      </c>
      <c r="BR59" s="390" t="s">
        <v>2034</v>
      </c>
      <c r="BS59" s="390" t="s">
        <v>2034</v>
      </c>
      <c r="BY59" s="390" t="s">
        <v>2361</v>
      </c>
      <c r="BZ59" s="390" t="s">
        <v>2361</v>
      </c>
      <c r="CA59" s="390" t="s">
        <v>2361</v>
      </c>
      <c r="CB59" s="390" t="s">
        <v>2361</v>
      </c>
      <c r="CC59" s="390" t="s">
        <v>2359</v>
      </c>
      <c r="CD59" s="390" t="s">
        <v>2359</v>
      </c>
      <c r="CE59" s="390" t="s">
        <v>2359</v>
      </c>
      <c r="CF59" s="390" t="s">
        <v>2359</v>
      </c>
      <c r="CG59" s="390" t="s">
        <v>2359</v>
      </c>
      <c r="CH59" s="390" t="s">
        <v>2359</v>
      </c>
      <c r="BNR59" s="390" t="s">
        <v>2361</v>
      </c>
      <c r="BNS59" s="390" t="s">
        <v>2361</v>
      </c>
      <c r="BNT59" s="390" t="s">
        <v>2361</v>
      </c>
      <c r="BNU59" s="390" t="s">
        <v>2361</v>
      </c>
      <c r="BNV59" s="390" t="s">
        <v>2361</v>
      </c>
      <c r="BNW59" s="390" t="s">
        <v>2361</v>
      </c>
      <c r="BNX59" s="390" t="s">
        <v>2372</v>
      </c>
      <c r="BNY59" s="390" t="s">
        <v>2372</v>
      </c>
      <c r="BNZ59" s="390" t="s">
        <v>2372</v>
      </c>
      <c r="BOA59" s="390" t="s">
        <v>2372</v>
      </c>
      <c r="BOB59" s="390" t="s">
        <v>2372</v>
      </c>
      <c r="BOC59" s="390" t="s">
        <v>2372</v>
      </c>
      <c r="BOD59" s="390" t="s">
        <v>2362</v>
      </c>
      <c r="BOE59" s="390" t="s">
        <v>2362</v>
      </c>
      <c r="BOF59" s="390" t="s">
        <v>2362</v>
      </c>
      <c r="BOG59" s="390" t="s">
        <v>2362</v>
      </c>
      <c r="BOH59" s="390" t="s">
        <v>2362</v>
      </c>
      <c r="BOI59" s="390" t="s">
        <v>2362</v>
      </c>
      <c r="BOJ59" s="390" t="s">
        <v>2036</v>
      </c>
      <c r="BOK59" s="390" t="s">
        <v>2036</v>
      </c>
      <c r="BOL59" s="390" t="s">
        <v>2036</v>
      </c>
      <c r="BOM59" s="390" t="s">
        <v>2036</v>
      </c>
      <c r="BON59" s="390" t="s">
        <v>2036</v>
      </c>
      <c r="BOO59" s="390" t="s">
        <v>2036</v>
      </c>
    </row>
    <row r="60" spans="1:86 1590:1757" s="390" customFormat="1" ht="18.75" customHeight="1" x14ac:dyDescent="0.25">
      <c r="A60" s="373">
        <v>4</v>
      </c>
      <c r="B60" s="373">
        <v>7</v>
      </c>
      <c r="C60" s="373">
        <v>8</v>
      </c>
      <c r="D60" s="373" t="s">
        <v>2374</v>
      </c>
      <c r="E60" s="373" t="s">
        <v>2435</v>
      </c>
      <c r="F60" s="373" t="s">
        <v>2435</v>
      </c>
      <c r="G60" s="373" t="s">
        <v>2391</v>
      </c>
      <c r="H60" s="373" t="s">
        <v>2435</v>
      </c>
      <c r="I60" s="373">
        <v>0</v>
      </c>
      <c r="J60" s="373">
        <v>2</v>
      </c>
      <c r="K60" s="373">
        <v>0</v>
      </c>
      <c r="L60" s="373">
        <v>4</v>
      </c>
      <c r="M60" s="366">
        <v>57</v>
      </c>
      <c r="N60" s="366" t="s">
        <v>828</v>
      </c>
      <c r="O60" s="374" t="s">
        <v>1515</v>
      </c>
      <c r="P60" s="374"/>
      <c r="Q60" s="391" t="s">
        <v>2225</v>
      </c>
      <c r="R60" s="386">
        <v>83511</v>
      </c>
      <c r="S60" s="387" t="s">
        <v>795</v>
      </c>
      <c r="T60" s="388">
        <v>8.6999999999999993</v>
      </c>
      <c r="U60" s="389" t="s">
        <v>2226</v>
      </c>
      <c r="AH60" s="390" t="s">
        <v>2037</v>
      </c>
      <c r="AI60" s="390" t="s">
        <v>2037</v>
      </c>
      <c r="AJ60" s="390" t="s">
        <v>2037</v>
      </c>
      <c r="AK60" s="390" t="s">
        <v>2370</v>
      </c>
      <c r="AL60" s="390" t="s">
        <v>2370</v>
      </c>
      <c r="AM60" s="390" t="s">
        <v>2370</v>
      </c>
      <c r="AS60" s="390" t="s">
        <v>2033</v>
      </c>
      <c r="AT60" s="390" t="s">
        <v>2033</v>
      </c>
      <c r="AU60" s="390" t="s">
        <v>2033</v>
      </c>
      <c r="AV60" s="390" t="s">
        <v>2033</v>
      </c>
      <c r="AW60" s="390" t="s">
        <v>2033</v>
      </c>
      <c r="AX60" s="390" t="s">
        <v>2033</v>
      </c>
      <c r="AY60" s="390" t="s">
        <v>2033</v>
      </c>
      <c r="AZ60" s="390" t="s">
        <v>2033</v>
      </c>
      <c r="BA60" s="390" t="s">
        <v>2034</v>
      </c>
      <c r="BB60" s="390" t="s">
        <v>2034</v>
      </c>
      <c r="BC60" s="390" t="s">
        <v>2034</v>
      </c>
      <c r="BD60" s="390" t="s">
        <v>2034</v>
      </c>
      <c r="BE60" s="390" t="s">
        <v>2034</v>
      </c>
      <c r="BF60" s="390" t="s">
        <v>2034</v>
      </c>
      <c r="BG60" s="390" t="s">
        <v>2034</v>
      </c>
      <c r="BH60" s="390" t="s">
        <v>2034</v>
      </c>
      <c r="BI60" s="390" t="s">
        <v>2034</v>
      </c>
      <c r="BJ60" s="390" t="s">
        <v>2034</v>
      </c>
      <c r="BK60" s="390" t="s">
        <v>2034</v>
      </c>
      <c r="BL60" s="390" t="s">
        <v>2034</v>
      </c>
      <c r="BM60" s="390" t="s">
        <v>2034</v>
      </c>
      <c r="BN60" s="390" t="s">
        <v>2034</v>
      </c>
      <c r="BO60" s="390" t="s">
        <v>2034</v>
      </c>
      <c r="BP60" s="390" t="s">
        <v>2034</v>
      </c>
      <c r="BQ60" s="390" t="s">
        <v>2034</v>
      </c>
      <c r="BR60" s="390" t="s">
        <v>2034</v>
      </c>
      <c r="BS60" s="390" t="s">
        <v>2034</v>
      </c>
      <c r="BY60" s="390" t="s">
        <v>2372</v>
      </c>
      <c r="BZ60" s="390" t="s">
        <v>2372</v>
      </c>
      <c r="CA60" s="390" t="s">
        <v>2036</v>
      </c>
      <c r="CB60" s="390" t="s">
        <v>2036</v>
      </c>
      <c r="CC60" s="390" t="s">
        <v>2036</v>
      </c>
      <c r="CD60" s="390" t="s">
        <v>2036</v>
      </c>
      <c r="CE60" s="390" t="s">
        <v>2359</v>
      </c>
      <c r="CF60" s="390" t="s">
        <v>2359</v>
      </c>
      <c r="CG60" s="390" t="s">
        <v>2359</v>
      </c>
      <c r="CH60" s="390" t="s">
        <v>2359</v>
      </c>
      <c r="BNR60" s="390" t="s">
        <v>2361</v>
      </c>
      <c r="BNS60" s="390" t="s">
        <v>2361</v>
      </c>
      <c r="BNT60" s="390" t="s">
        <v>2361</v>
      </c>
      <c r="BNU60" s="390" t="s">
        <v>2361</v>
      </c>
      <c r="BNV60" s="390" t="s">
        <v>2361</v>
      </c>
      <c r="BNW60" s="390" t="s">
        <v>2361</v>
      </c>
      <c r="BNX60" s="390" t="s">
        <v>2372</v>
      </c>
      <c r="BNY60" s="390" t="s">
        <v>2372</v>
      </c>
      <c r="BNZ60" s="390" t="s">
        <v>2372</v>
      </c>
      <c r="BOA60" s="390" t="s">
        <v>2372</v>
      </c>
      <c r="BOB60" s="390" t="s">
        <v>2372</v>
      </c>
      <c r="BOC60" s="390" t="s">
        <v>2372</v>
      </c>
      <c r="BOD60" s="390" t="s">
        <v>2362</v>
      </c>
      <c r="BOE60" s="390" t="s">
        <v>2362</v>
      </c>
      <c r="BOF60" s="390" t="s">
        <v>2362</v>
      </c>
      <c r="BOG60" s="390" t="s">
        <v>2362</v>
      </c>
      <c r="BOH60" s="390" t="s">
        <v>2362</v>
      </c>
      <c r="BOI60" s="390" t="s">
        <v>2362</v>
      </c>
      <c r="BOJ60" s="390" t="s">
        <v>2036</v>
      </c>
      <c r="BOK60" s="390" t="s">
        <v>2036</v>
      </c>
      <c r="BOL60" s="390" t="s">
        <v>2036</v>
      </c>
      <c r="BOM60" s="390" t="s">
        <v>2036</v>
      </c>
      <c r="BON60" s="390" t="s">
        <v>2036</v>
      </c>
      <c r="BOO60" s="390" t="s">
        <v>2036</v>
      </c>
    </row>
    <row r="61" spans="1:86 1590:1757" s="390" customFormat="1" ht="18.75" customHeight="1" x14ac:dyDescent="0.25">
      <c r="A61" s="373">
        <v>4</v>
      </c>
      <c r="B61" s="373">
        <v>7</v>
      </c>
      <c r="C61" s="373">
        <v>8</v>
      </c>
      <c r="D61" s="373" t="s">
        <v>2374</v>
      </c>
      <c r="E61" s="373" t="s">
        <v>2435</v>
      </c>
      <c r="F61" s="373" t="s">
        <v>2435</v>
      </c>
      <c r="G61" s="373" t="s">
        <v>2392</v>
      </c>
      <c r="H61" s="373" t="s">
        <v>2435</v>
      </c>
      <c r="I61" s="373">
        <v>0</v>
      </c>
      <c r="J61" s="373">
        <v>2</v>
      </c>
      <c r="K61" s="373">
        <v>0</v>
      </c>
      <c r="L61" s="373">
        <v>4</v>
      </c>
      <c r="M61" s="366">
        <v>69</v>
      </c>
      <c r="N61" s="366" t="s">
        <v>831</v>
      </c>
      <c r="O61" s="374" t="s">
        <v>1515</v>
      </c>
      <c r="P61" s="374"/>
      <c r="Q61" s="391" t="s">
        <v>2227</v>
      </c>
      <c r="R61" s="386">
        <v>85375</v>
      </c>
      <c r="S61" s="387" t="s">
        <v>795</v>
      </c>
      <c r="T61" s="388">
        <v>8.6999999999999993</v>
      </c>
      <c r="U61" s="389" t="s">
        <v>2228</v>
      </c>
      <c r="AH61" s="390" t="s">
        <v>2037</v>
      </c>
      <c r="AI61" s="390" t="s">
        <v>2037</v>
      </c>
      <c r="AJ61" s="390" t="s">
        <v>2037</v>
      </c>
      <c r="AK61" s="390" t="s">
        <v>2370</v>
      </c>
      <c r="AL61" s="390" t="s">
        <v>2370</v>
      </c>
      <c r="AM61" s="390" t="s">
        <v>2370</v>
      </c>
      <c r="AS61" s="390" t="s">
        <v>2033</v>
      </c>
      <c r="AT61" s="390" t="s">
        <v>2033</v>
      </c>
      <c r="AU61" s="390" t="s">
        <v>2033</v>
      </c>
      <c r="AV61" s="390" t="s">
        <v>2033</v>
      </c>
      <c r="AW61" s="390" t="s">
        <v>2033</v>
      </c>
      <c r="AX61" s="390" t="s">
        <v>2033</v>
      </c>
      <c r="AY61" s="390" t="s">
        <v>2033</v>
      </c>
      <c r="AZ61" s="390" t="s">
        <v>2033</v>
      </c>
      <c r="BA61" s="390" t="s">
        <v>2034</v>
      </c>
      <c r="BB61" s="390" t="s">
        <v>2034</v>
      </c>
      <c r="BC61" s="390" t="s">
        <v>2034</v>
      </c>
      <c r="BD61" s="390" t="s">
        <v>2034</v>
      </c>
      <c r="BE61" s="390" t="s">
        <v>2034</v>
      </c>
      <c r="BF61" s="390" t="s">
        <v>2034</v>
      </c>
      <c r="BG61" s="390" t="s">
        <v>2034</v>
      </c>
      <c r="BH61" s="390" t="s">
        <v>2034</v>
      </c>
      <c r="BI61" s="390" t="s">
        <v>2034</v>
      </c>
      <c r="BJ61" s="390" t="s">
        <v>2034</v>
      </c>
      <c r="BK61" s="390" t="s">
        <v>2034</v>
      </c>
      <c r="BL61" s="390" t="s">
        <v>2034</v>
      </c>
      <c r="BM61" s="390" t="s">
        <v>2034</v>
      </c>
      <c r="BN61" s="390" t="s">
        <v>2034</v>
      </c>
      <c r="BO61" s="390" t="s">
        <v>2034</v>
      </c>
      <c r="BP61" s="390" t="s">
        <v>2034</v>
      </c>
      <c r="BQ61" s="390" t="s">
        <v>2034</v>
      </c>
      <c r="BR61" s="390" t="s">
        <v>2034</v>
      </c>
      <c r="BS61" s="390" t="s">
        <v>2034</v>
      </c>
      <c r="BY61" s="390" t="s">
        <v>2372</v>
      </c>
      <c r="BZ61" s="390" t="s">
        <v>2372</v>
      </c>
      <c r="CA61" s="390" t="s">
        <v>2036</v>
      </c>
      <c r="CB61" s="390" t="s">
        <v>2036</v>
      </c>
      <c r="CC61" s="390" t="s">
        <v>2036</v>
      </c>
      <c r="CD61" s="390" t="s">
        <v>2036</v>
      </c>
      <c r="CE61" s="390" t="s">
        <v>2359</v>
      </c>
      <c r="CF61" s="390" t="s">
        <v>2359</v>
      </c>
      <c r="CG61" s="390" t="s">
        <v>2359</v>
      </c>
      <c r="CH61" s="390" t="s">
        <v>2359</v>
      </c>
      <c r="BNR61" s="390" t="s">
        <v>2361</v>
      </c>
      <c r="BNS61" s="390" t="s">
        <v>2361</v>
      </c>
      <c r="BNT61" s="390" t="s">
        <v>2361</v>
      </c>
      <c r="BNU61" s="390" t="s">
        <v>2361</v>
      </c>
      <c r="BNV61" s="390" t="s">
        <v>2361</v>
      </c>
      <c r="BNW61" s="390" t="s">
        <v>2361</v>
      </c>
      <c r="BNX61" s="390" t="s">
        <v>2372</v>
      </c>
      <c r="BNY61" s="390" t="s">
        <v>2372</v>
      </c>
      <c r="BNZ61" s="390" t="s">
        <v>2372</v>
      </c>
      <c r="BOA61" s="390" t="s">
        <v>2372</v>
      </c>
      <c r="BOB61" s="390" t="s">
        <v>2372</v>
      </c>
      <c r="BOC61" s="390" t="s">
        <v>2372</v>
      </c>
      <c r="BOD61" s="390" t="s">
        <v>2362</v>
      </c>
      <c r="BOE61" s="390" t="s">
        <v>2362</v>
      </c>
      <c r="BOF61" s="390" t="s">
        <v>2362</v>
      </c>
      <c r="BOG61" s="390" t="s">
        <v>2362</v>
      </c>
      <c r="BOH61" s="390" t="s">
        <v>2362</v>
      </c>
      <c r="BOI61" s="390" t="s">
        <v>2362</v>
      </c>
      <c r="BOJ61" s="390" t="s">
        <v>2036</v>
      </c>
      <c r="BOK61" s="390" t="s">
        <v>2036</v>
      </c>
      <c r="BOL61" s="390" t="s">
        <v>2036</v>
      </c>
      <c r="BOM61" s="390" t="s">
        <v>2036</v>
      </c>
      <c r="BON61" s="390" t="s">
        <v>2036</v>
      </c>
      <c r="BOO61" s="390" t="s">
        <v>2036</v>
      </c>
    </row>
    <row r="62" spans="1:86 1590:1757" s="390" customFormat="1" ht="18.75" customHeight="1" x14ac:dyDescent="0.25">
      <c r="A62" s="373">
        <v>4</v>
      </c>
      <c r="B62" s="373">
        <v>7</v>
      </c>
      <c r="C62" s="373">
        <v>8</v>
      </c>
      <c r="D62" s="373" t="s">
        <v>2374</v>
      </c>
      <c r="E62" s="373" t="s">
        <v>2435</v>
      </c>
      <c r="F62" s="373" t="s">
        <v>2435</v>
      </c>
      <c r="G62" s="373" t="s">
        <v>2389</v>
      </c>
      <c r="H62" s="373" t="s">
        <v>2435</v>
      </c>
      <c r="I62" s="373">
        <v>0</v>
      </c>
      <c r="J62" s="373">
        <v>2</v>
      </c>
      <c r="K62" s="373">
        <v>0</v>
      </c>
      <c r="L62" s="373">
        <v>4</v>
      </c>
      <c r="M62" s="366">
        <v>84</v>
      </c>
      <c r="N62" s="366" t="s">
        <v>834</v>
      </c>
      <c r="O62" s="374" t="s">
        <v>1515</v>
      </c>
      <c r="P62" s="374"/>
      <c r="Q62" s="391" t="s">
        <v>2229</v>
      </c>
      <c r="R62" s="386">
        <v>87393</v>
      </c>
      <c r="S62" s="387" t="s">
        <v>795</v>
      </c>
      <c r="T62" s="388">
        <v>8.9</v>
      </c>
      <c r="U62" s="389" t="s">
        <v>2230</v>
      </c>
      <c r="AH62" s="390" t="s">
        <v>2037</v>
      </c>
      <c r="AI62" s="390" t="s">
        <v>2037</v>
      </c>
      <c r="AJ62" s="390" t="s">
        <v>2037</v>
      </c>
      <c r="AK62" s="390" t="s">
        <v>2370</v>
      </c>
      <c r="AL62" s="390" t="s">
        <v>2370</v>
      </c>
      <c r="AM62" s="390" t="s">
        <v>2370</v>
      </c>
      <c r="AS62" s="390" t="s">
        <v>2033</v>
      </c>
      <c r="AT62" s="390" t="s">
        <v>2033</v>
      </c>
      <c r="AU62" s="390" t="s">
        <v>2033</v>
      </c>
      <c r="AV62" s="390" t="s">
        <v>2033</v>
      </c>
      <c r="AW62" s="390" t="s">
        <v>2033</v>
      </c>
      <c r="AX62" s="390" t="s">
        <v>2033</v>
      </c>
      <c r="AY62" s="390" t="s">
        <v>2033</v>
      </c>
      <c r="AZ62" s="390" t="s">
        <v>2033</v>
      </c>
      <c r="BA62" s="390" t="s">
        <v>2034</v>
      </c>
      <c r="BB62" s="390" t="s">
        <v>2034</v>
      </c>
      <c r="BC62" s="390" t="s">
        <v>2034</v>
      </c>
      <c r="BD62" s="390" t="s">
        <v>2034</v>
      </c>
      <c r="BE62" s="390" t="s">
        <v>2034</v>
      </c>
      <c r="BF62" s="390" t="s">
        <v>2034</v>
      </c>
      <c r="BG62" s="390" t="s">
        <v>2034</v>
      </c>
      <c r="BH62" s="390" t="s">
        <v>2034</v>
      </c>
      <c r="BI62" s="390" t="s">
        <v>2034</v>
      </c>
      <c r="BJ62" s="390" t="s">
        <v>2034</v>
      </c>
      <c r="BK62" s="390" t="s">
        <v>2034</v>
      </c>
      <c r="BL62" s="390" t="s">
        <v>2034</v>
      </c>
      <c r="BM62" s="390" t="s">
        <v>2034</v>
      </c>
      <c r="BN62" s="390" t="s">
        <v>2034</v>
      </c>
      <c r="BO62" s="390" t="s">
        <v>2034</v>
      </c>
      <c r="BP62" s="390" t="s">
        <v>2034</v>
      </c>
      <c r="BQ62" s="390" t="s">
        <v>2034</v>
      </c>
      <c r="BR62" s="390" t="s">
        <v>2034</v>
      </c>
      <c r="BS62" s="390" t="s">
        <v>2034</v>
      </c>
      <c r="BY62" s="390" t="s">
        <v>2372</v>
      </c>
      <c r="BZ62" s="390" t="s">
        <v>2372</v>
      </c>
      <c r="CA62" s="390" t="s">
        <v>2036</v>
      </c>
      <c r="CB62" s="390" t="s">
        <v>2036</v>
      </c>
      <c r="CC62" s="390" t="s">
        <v>2036</v>
      </c>
      <c r="CD62" s="390" t="s">
        <v>2036</v>
      </c>
      <c r="CE62" s="390" t="s">
        <v>2359</v>
      </c>
      <c r="CF62" s="390" t="s">
        <v>2359</v>
      </c>
      <c r="CG62" s="390" t="s">
        <v>2359</v>
      </c>
      <c r="CH62" s="390" t="s">
        <v>2359</v>
      </c>
      <c r="BNR62" s="390" t="s">
        <v>2361</v>
      </c>
      <c r="BNS62" s="390" t="s">
        <v>2361</v>
      </c>
      <c r="BNT62" s="390" t="s">
        <v>2361</v>
      </c>
      <c r="BNU62" s="390" t="s">
        <v>2361</v>
      </c>
      <c r="BNV62" s="390" t="s">
        <v>2361</v>
      </c>
      <c r="BNW62" s="390" t="s">
        <v>2361</v>
      </c>
      <c r="BNX62" s="390" t="s">
        <v>2372</v>
      </c>
      <c r="BNY62" s="390" t="s">
        <v>2372</v>
      </c>
      <c r="BNZ62" s="390" t="s">
        <v>2372</v>
      </c>
      <c r="BOA62" s="390" t="s">
        <v>2372</v>
      </c>
      <c r="BOB62" s="390" t="s">
        <v>2372</v>
      </c>
      <c r="BOC62" s="390" t="s">
        <v>2372</v>
      </c>
      <c r="BOD62" s="390" t="s">
        <v>2362</v>
      </c>
      <c r="BOE62" s="390" t="s">
        <v>2362</v>
      </c>
      <c r="BOF62" s="390" t="s">
        <v>2362</v>
      </c>
      <c r="BOG62" s="390" t="s">
        <v>2362</v>
      </c>
      <c r="BOH62" s="390" t="s">
        <v>2362</v>
      </c>
      <c r="BOI62" s="390" t="s">
        <v>2362</v>
      </c>
      <c r="BOJ62" s="390" t="s">
        <v>2036</v>
      </c>
      <c r="BOK62" s="390" t="s">
        <v>2036</v>
      </c>
      <c r="BOL62" s="390" t="s">
        <v>2036</v>
      </c>
      <c r="BOM62" s="390" t="s">
        <v>2036</v>
      </c>
      <c r="BON62" s="390" t="s">
        <v>2036</v>
      </c>
      <c r="BOO62" s="390" t="s">
        <v>2036</v>
      </c>
    </row>
    <row r="63" spans="1:86 1590:1757" s="390" customFormat="1" x14ac:dyDescent="0.25">
      <c r="A63" s="373">
        <v>4</v>
      </c>
      <c r="B63" s="373">
        <v>7</v>
      </c>
      <c r="C63" s="373">
        <v>8</v>
      </c>
      <c r="D63" s="373" t="s">
        <v>2374</v>
      </c>
      <c r="E63" s="373" t="s">
        <v>2435</v>
      </c>
      <c r="F63" s="373" t="s">
        <v>2435</v>
      </c>
      <c r="G63" s="373" t="s">
        <v>2390</v>
      </c>
      <c r="H63" s="373" t="s">
        <v>2435</v>
      </c>
      <c r="I63" s="373">
        <v>0</v>
      </c>
      <c r="J63" s="373">
        <v>2</v>
      </c>
      <c r="K63" s="373">
        <v>0</v>
      </c>
      <c r="L63" s="373">
        <v>4</v>
      </c>
      <c r="M63" s="366">
        <v>105</v>
      </c>
      <c r="N63" s="366" t="s">
        <v>837</v>
      </c>
      <c r="O63" s="374" t="s">
        <v>1515</v>
      </c>
      <c r="P63" s="374"/>
      <c r="Q63" s="391" t="s">
        <v>2231</v>
      </c>
      <c r="R63" s="386">
        <v>92156</v>
      </c>
      <c r="S63" s="387" t="s">
        <v>795</v>
      </c>
      <c r="T63" s="388">
        <v>8.9</v>
      </c>
      <c r="U63" s="389" t="s">
        <v>2232</v>
      </c>
      <c r="AH63" s="390" t="s">
        <v>2037</v>
      </c>
      <c r="AI63" s="390" t="s">
        <v>2037</v>
      </c>
      <c r="AJ63" s="390" t="s">
        <v>2037</v>
      </c>
      <c r="AK63" s="390" t="s">
        <v>2370</v>
      </c>
      <c r="AL63" s="390" t="s">
        <v>2370</v>
      </c>
      <c r="AM63" s="390" t="s">
        <v>2370</v>
      </c>
      <c r="AS63" s="390" t="s">
        <v>2033</v>
      </c>
      <c r="AT63" s="390" t="s">
        <v>2033</v>
      </c>
      <c r="AU63" s="390" t="s">
        <v>2033</v>
      </c>
      <c r="AV63" s="390" t="s">
        <v>2033</v>
      </c>
      <c r="AW63" s="390" t="s">
        <v>2033</v>
      </c>
      <c r="AX63" s="390" t="s">
        <v>2033</v>
      </c>
      <c r="AY63" s="390" t="s">
        <v>2033</v>
      </c>
      <c r="AZ63" s="390" t="s">
        <v>2033</v>
      </c>
      <c r="BA63" s="390" t="s">
        <v>2034</v>
      </c>
      <c r="BB63" s="390" t="s">
        <v>2034</v>
      </c>
      <c r="BC63" s="390" t="s">
        <v>2034</v>
      </c>
      <c r="BD63" s="390" t="s">
        <v>2034</v>
      </c>
      <c r="BE63" s="390" t="s">
        <v>2034</v>
      </c>
      <c r="BF63" s="390" t="s">
        <v>2034</v>
      </c>
      <c r="BG63" s="390" t="s">
        <v>2034</v>
      </c>
      <c r="BH63" s="390" t="s">
        <v>2034</v>
      </c>
      <c r="BI63" s="390" t="s">
        <v>2034</v>
      </c>
      <c r="BJ63" s="390" t="s">
        <v>2034</v>
      </c>
      <c r="BK63" s="390" t="s">
        <v>2034</v>
      </c>
      <c r="BL63" s="390" t="s">
        <v>2034</v>
      </c>
      <c r="BM63" s="390" t="s">
        <v>2034</v>
      </c>
      <c r="BN63" s="390" t="s">
        <v>2034</v>
      </c>
      <c r="BO63" s="390" t="s">
        <v>2034</v>
      </c>
      <c r="BP63" s="390" t="s">
        <v>2034</v>
      </c>
      <c r="BQ63" s="390" t="s">
        <v>2034</v>
      </c>
      <c r="BR63" s="390" t="s">
        <v>2034</v>
      </c>
      <c r="BS63" s="390" t="s">
        <v>2034</v>
      </c>
      <c r="BY63" s="390" t="s">
        <v>2372</v>
      </c>
      <c r="BZ63" s="390" t="s">
        <v>2372</v>
      </c>
      <c r="CA63" s="390" t="s">
        <v>2036</v>
      </c>
      <c r="CB63" s="390" t="s">
        <v>2036</v>
      </c>
      <c r="CC63" s="390" t="s">
        <v>2036</v>
      </c>
      <c r="CD63" s="390" t="s">
        <v>2036</v>
      </c>
      <c r="CE63" s="390" t="s">
        <v>2359</v>
      </c>
      <c r="CF63" s="390" t="s">
        <v>2359</v>
      </c>
      <c r="CG63" s="390" t="s">
        <v>2359</v>
      </c>
      <c r="CH63" s="390" t="s">
        <v>2359</v>
      </c>
      <c r="BID63" s="390" t="s">
        <v>2361</v>
      </c>
      <c r="BIE63" s="390" t="s">
        <v>2361</v>
      </c>
      <c r="BIF63" s="390" t="s">
        <v>2361</v>
      </c>
      <c r="BIG63" s="390" t="s">
        <v>2361</v>
      </c>
      <c r="BIH63" s="390" t="s">
        <v>2361</v>
      </c>
      <c r="BII63" s="390" t="s">
        <v>2361</v>
      </c>
      <c r="BIJ63" s="390" t="s">
        <v>2372</v>
      </c>
      <c r="BIK63" s="390" t="s">
        <v>2372</v>
      </c>
      <c r="BIL63" s="390" t="s">
        <v>2372</v>
      </c>
      <c r="BIM63" s="390" t="s">
        <v>2372</v>
      </c>
      <c r="BIN63" s="390" t="s">
        <v>2372</v>
      </c>
      <c r="BIO63" s="390" t="s">
        <v>2372</v>
      </c>
      <c r="BIP63" s="390" t="s">
        <v>2362</v>
      </c>
      <c r="BIQ63" s="390" t="s">
        <v>2362</v>
      </c>
      <c r="BIR63" s="390" t="s">
        <v>2362</v>
      </c>
      <c r="BIS63" s="390" t="s">
        <v>2362</v>
      </c>
      <c r="BIT63" s="390" t="s">
        <v>2362</v>
      </c>
      <c r="BIU63" s="390" t="s">
        <v>2362</v>
      </c>
      <c r="BIV63" s="390" t="s">
        <v>2036</v>
      </c>
      <c r="BIW63" s="390" t="s">
        <v>2036</v>
      </c>
      <c r="BIX63" s="390" t="s">
        <v>2036</v>
      </c>
      <c r="BIY63" s="390" t="s">
        <v>2036</v>
      </c>
      <c r="BIZ63" s="390" t="s">
        <v>2036</v>
      </c>
      <c r="BJA63" s="390" t="s">
        <v>2036</v>
      </c>
    </row>
    <row r="64" spans="1:86 1590:1757" s="390" customFormat="1" x14ac:dyDescent="0.25">
      <c r="A64" s="373">
        <v>4</v>
      </c>
      <c r="B64" s="373">
        <v>7</v>
      </c>
      <c r="C64" s="373">
        <v>8</v>
      </c>
      <c r="D64" s="373" t="s">
        <v>2774</v>
      </c>
      <c r="E64" s="373" t="s">
        <v>2435</v>
      </c>
      <c r="F64" s="373" t="s">
        <v>2435</v>
      </c>
      <c r="G64" s="373" t="s">
        <v>2391</v>
      </c>
      <c r="H64" s="373" t="s">
        <v>2435</v>
      </c>
      <c r="I64" s="373">
        <v>0</v>
      </c>
      <c r="J64" s="373">
        <v>2</v>
      </c>
      <c r="K64" s="373">
        <v>0</v>
      </c>
      <c r="L64" s="373">
        <v>4</v>
      </c>
      <c r="M64" s="366">
        <v>74</v>
      </c>
      <c r="N64" s="394" t="s">
        <v>840</v>
      </c>
      <c r="O64" s="374" t="s">
        <v>1515</v>
      </c>
      <c r="P64" s="374"/>
      <c r="Q64" s="375" t="s">
        <v>841</v>
      </c>
      <c r="R64" s="376">
        <v>91140</v>
      </c>
      <c r="S64" s="377" t="s">
        <v>795</v>
      </c>
      <c r="T64" s="378">
        <v>8.6999999999999993</v>
      </c>
      <c r="U64" s="379" t="s">
        <v>842</v>
      </c>
      <c r="AH64" s="390" t="s">
        <v>2037</v>
      </c>
      <c r="AI64" s="390" t="s">
        <v>2037</v>
      </c>
      <c r="AJ64" s="390" t="s">
        <v>2037</v>
      </c>
      <c r="AK64" s="390" t="s">
        <v>2370</v>
      </c>
      <c r="AL64" s="390" t="s">
        <v>2370</v>
      </c>
      <c r="AM64" s="390" t="s">
        <v>2370</v>
      </c>
      <c r="AS64" s="390" t="s">
        <v>2033</v>
      </c>
      <c r="AT64" s="390" t="s">
        <v>2033</v>
      </c>
      <c r="AU64" s="390" t="s">
        <v>2033</v>
      </c>
      <c r="AV64" s="390" t="s">
        <v>2033</v>
      </c>
      <c r="AW64" s="390" t="s">
        <v>2033</v>
      </c>
      <c r="AX64" s="390" t="s">
        <v>2033</v>
      </c>
      <c r="AY64" s="390" t="s">
        <v>2033</v>
      </c>
      <c r="AZ64" s="390" t="s">
        <v>2033</v>
      </c>
      <c r="BA64" s="390" t="s">
        <v>2034</v>
      </c>
      <c r="BB64" s="390" t="s">
        <v>2034</v>
      </c>
      <c r="BC64" s="390" t="s">
        <v>2034</v>
      </c>
      <c r="BD64" s="390" t="s">
        <v>2034</v>
      </c>
      <c r="BE64" s="390" t="s">
        <v>2034</v>
      </c>
      <c r="BF64" s="390" t="s">
        <v>2034</v>
      </c>
      <c r="BG64" s="390" t="s">
        <v>2034</v>
      </c>
      <c r="BH64" s="390" t="s">
        <v>2034</v>
      </c>
      <c r="BI64" s="390" t="s">
        <v>2034</v>
      </c>
      <c r="BJ64" s="390" t="s">
        <v>2034</v>
      </c>
      <c r="BK64" s="390" t="s">
        <v>2034</v>
      </c>
      <c r="BL64" s="390" t="s">
        <v>2034</v>
      </c>
      <c r="BM64" s="390" t="s">
        <v>2034</v>
      </c>
      <c r="BN64" s="390" t="s">
        <v>2034</v>
      </c>
      <c r="BO64" s="390" t="s">
        <v>2034</v>
      </c>
      <c r="BP64" s="390" t="s">
        <v>2034</v>
      </c>
      <c r="BQ64" s="390" t="s">
        <v>2034</v>
      </c>
      <c r="BR64" s="390" t="s">
        <v>2034</v>
      </c>
      <c r="BS64" s="390" t="s">
        <v>2034</v>
      </c>
      <c r="BY64" s="390" t="s">
        <v>2372</v>
      </c>
      <c r="BZ64" s="390" t="s">
        <v>2372</v>
      </c>
      <c r="CA64" s="390" t="s">
        <v>2036</v>
      </c>
      <c r="CB64" s="390" t="s">
        <v>2036</v>
      </c>
      <c r="CC64" s="390" t="s">
        <v>2036</v>
      </c>
      <c r="CD64" s="390" t="s">
        <v>2036</v>
      </c>
      <c r="CE64" s="390" t="s">
        <v>2359</v>
      </c>
      <c r="CF64" s="390" t="s">
        <v>2359</v>
      </c>
      <c r="CG64" s="390" t="s">
        <v>2359</v>
      </c>
      <c r="CH64" s="390" t="s">
        <v>2359</v>
      </c>
      <c r="BJB64" s="390" t="s">
        <v>2361</v>
      </c>
      <c r="BJC64" s="390" t="s">
        <v>2361</v>
      </c>
      <c r="BJD64" s="390" t="s">
        <v>2361</v>
      </c>
      <c r="BJE64" s="390" t="s">
        <v>2361</v>
      </c>
      <c r="BJF64" s="390" t="s">
        <v>2361</v>
      </c>
      <c r="BJG64" s="390" t="s">
        <v>2361</v>
      </c>
      <c r="BJH64" s="390" t="s">
        <v>2372</v>
      </c>
      <c r="BJI64" s="390" t="s">
        <v>2372</v>
      </c>
      <c r="BJJ64" s="390" t="s">
        <v>2372</v>
      </c>
      <c r="BJK64" s="390" t="s">
        <v>2372</v>
      </c>
      <c r="BJL64" s="390" t="s">
        <v>2372</v>
      </c>
      <c r="BJM64" s="390" t="s">
        <v>2372</v>
      </c>
      <c r="BJN64" s="390" t="s">
        <v>2362</v>
      </c>
      <c r="BJO64" s="390" t="s">
        <v>2362</v>
      </c>
      <c r="BJP64" s="390" t="s">
        <v>2362</v>
      </c>
      <c r="BJQ64" s="390" t="s">
        <v>2362</v>
      </c>
      <c r="BJR64" s="390" t="s">
        <v>2362</v>
      </c>
      <c r="BJS64" s="390" t="s">
        <v>2362</v>
      </c>
      <c r="BJT64" s="390" t="s">
        <v>2036</v>
      </c>
      <c r="BJU64" s="390" t="s">
        <v>2036</v>
      </c>
      <c r="BJV64" s="390" t="s">
        <v>2036</v>
      </c>
      <c r="BJW64" s="390" t="s">
        <v>2036</v>
      </c>
      <c r="BJX64" s="390" t="s">
        <v>2036</v>
      </c>
      <c r="BJY64" s="390" t="s">
        <v>2036</v>
      </c>
    </row>
    <row r="65" spans="1:89 1638:1757" s="390" customFormat="1" x14ac:dyDescent="0.25">
      <c r="A65" s="373">
        <v>4</v>
      </c>
      <c r="B65" s="373">
        <v>7</v>
      </c>
      <c r="C65" s="373">
        <v>8</v>
      </c>
      <c r="D65" s="373" t="s">
        <v>2774</v>
      </c>
      <c r="E65" s="373" t="s">
        <v>2435</v>
      </c>
      <c r="F65" s="373" t="s">
        <v>2435</v>
      </c>
      <c r="G65" s="373" t="s">
        <v>2392</v>
      </c>
      <c r="H65" s="373" t="s">
        <v>2435</v>
      </c>
      <c r="I65" s="373">
        <v>0</v>
      </c>
      <c r="J65" s="373">
        <v>2</v>
      </c>
      <c r="K65" s="373">
        <v>0</v>
      </c>
      <c r="L65" s="373">
        <v>4</v>
      </c>
      <c r="M65" s="366">
        <v>86</v>
      </c>
      <c r="N65" s="394" t="s">
        <v>843</v>
      </c>
      <c r="O65" s="374" t="s">
        <v>1515</v>
      </c>
      <c r="P65" s="374"/>
      <c r="Q65" s="375" t="s">
        <v>844</v>
      </c>
      <c r="R65" s="376">
        <v>92650</v>
      </c>
      <c r="S65" s="377" t="s">
        <v>795</v>
      </c>
      <c r="T65" s="378">
        <v>8.6999999999999993</v>
      </c>
      <c r="U65" s="379" t="s">
        <v>845</v>
      </c>
      <c r="AH65" s="390" t="s">
        <v>2037</v>
      </c>
      <c r="AI65" s="390" t="s">
        <v>2037</v>
      </c>
      <c r="AJ65" s="390" t="s">
        <v>2037</v>
      </c>
      <c r="AK65" s="390" t="s">
        <v>2370</v>
      </c>
      <c r="AL65" s="390" t="s">
        <v>2370</v>
      </c>
      <c r="AM65" s="390" t="s">
        <v>2370</v>
      </c>
      <c r="AS65" s="390" t="s">
        <v>2033</v>
      </c>
      <c r="AT65" s="390" t="s">
        <v>2033</v>
      </c>
      <c r="AU65" s="390" t="s">
        <v>2033</v>
      </c>
      <c r="AV65" s="390" t="s">
        <v>2033</v>
      </c>
      <c r="AW65" s="390" t="s">
        <v>2033</v>
      </c>
      <c r="AX65" s="390" t="s">
        <v>2033</v>
      </c>
      <c r="AY65" s="390" t="s">
        <v>2033</v>
      </c>
      <c r="AZ65" s="390" t="s">
        <v>2033</v>
      </c>
      <c r="BA65" s="390" t="s">
        <v>2034</v>
      </c>
      <c r="BB65" s="390" t="s">
        <v>2034</v>
      </c>
      <c r="BC65" s="390" t="s">
        <v>2034</v>
      </c>
      <c r="BD65" s="390" t="s">
        <v>2034</v>
      </c>
      <c r="BE65" s="390" t="s">
        <v>2034</v>
      </c>
      <c r="BF65" s="390" t="s">
        <v>2034</v>
      </c>
      <c r="BG65" s="390" t="s">
        <v>2034</v>
      </c>
      <c r="BH65" s="390" t="s">
        <v>2034</v>
      </c>
      <c r="BI65" s="390" t="s">
        <v>2034</v>
      </c>
      <c r="BJ65" s="390" t="s">
        <v>2034</v>
      </c>
      <c r="BK65" s="390" t="s">
        <v>2034</v>
      </c>
      <c r="BL65" s="390" t="s">
        <v>2034</v>
      </c>
      <c r="BM65" s="390" t="s">
        <v>2034</v>
      </c>
      <c r="BN65" s="390" t="s">
        <v>2034</v>
      </c>
      <c r="BO65" s="390" t="s">
        <v>2034</v>
      </c>
      <c r="BP65" s="390" t="s">
        <v>2034</v>
      </c>
      <c r="BQ65" s="390" t="s">
        <v>2034</v>
      </c>
      <c r="BR65" s="390" t="s">
        <v>2034</v>
      </c>
      <c r="BS65" s="390" t="s">
        <v>2034</v>
      </c>
      <c r="BY65" s="390" t="s">
        <v>2372</v>
      </c>
      <c r="BZ65" s="390" t="s">
        <v>2372</v>
      </c>
      <c r="CA65" s="390" t="s">
        <v>2036</v>
      </c>
      <c r="CB65" s="390" t="s">
        <v>2036</v>
      </c>
      <c r="CC65" s="390" t="s">
        <v>2036</v>
      </c>
      <c r="CD65" s="390" t="s">
        <v>2036</v>
      </c>
      <c r="CE65" s="390" t="s">
        <v>2359</v>
      </c>
      <c r="CF65" s="390" t="s">
        <v>2359</v>
      </c>
      <c r="CG65" s="390" t="s">
        <v>2359</v>
      </c>
      <c r="CH65" s="390" t="s">
        <v>2359</v>
      </c>
      <c r="BJZ65" s="390" t="s">
        <v>2361</v>
      </c>
      <c r="BKA65" s="390" t="s">
        <v>2361</v>
      </c>
      <c r="BKB65" s="390" t="s">
        <v>2361</v>
      </c>
      <c r="BKC65" s="390" t="s">
        <v>2361</v>
      </c>
      <c r="BKD65" s="390" t="s">
        <v>2361</v>
      </c>
      <c r="BKE65" s="390" t="s">
        <v>2361</v>
      </c>
      <c r="BKF65" s="390" t="s">
        <v>2372</v>
      </c>
      <c r="BKG65" s="390" t="s">
        <v>2372</v>
      </c>
      <c r="BKH65" s="390" t="s">
        <v>2372</v>
      </c>
      <c r="BKI65" s="390" t="s">
        <v>2372</v>
      </c>
      <c r="BKJ65" s="390" t="s">
        <v>2372</v>
      </c>
      <c r="BKK65" s="390" t="s">
        <v>2372</v>
      </c>
      <c r="BKL65" s="390" t="s">
        <v>2362</v>
      </c>
      <c r="BKM65" s="390" t="s">
        <v>2362</v>
      </c>
      <c r="BKN65" s="390" t="s">
        <v>2362</v>
      </c>
      <c r="BKO65" s="390" t="s">
        <v>2362</v>
      </c>
      <c r="BKP65" s="390" t="s">
        <v>2362</v>
      </c>
      <c r="BKQ65" s="390" t="s">
        <v>2362</v>
      </c>
      <c r="BKR65" s="390" t="s">
        <v>2036</v>
      </c>
      <c r="BKS65" s="390" t="s">
        <v>2036</v>
      </c>
      <c r="BKT65" s="390" t="s">
        <v>2036</v>
      </c>
      <c r="BKU65" s="390" t="s">
        <v>2036</v>
      </c>
      <c r="BKV65" s="390" t="s">
        <v>2036</v>
      </c>
      <c r="BKW65" s="390" t="s">
        <v>2036</v>
      </c>
    </row>
    <row r="66" spans="1:89 1638:1757" s="390" customFormat="1" x14ac:dyDescent="0.25">
      <c r="A66" s="373">
        <v>4</v>
      </c>
      <c r="B66" s="373">
        <v>7</v>
      </c>
      <c r="C66" s="373">
        <v>8</v>
      </c>
      <c r="D66" s="373" t="s">
        <v>2774</v>
      </c>
      <c r="E66" s="373" t="s">
        <v>2435</v>
      </c>
      <c r="F66" s="373" t="s">
        <v>2435</v>
      </c>
      <c r="G66" s="373" t="s">
        <v>2389</v>
      </c>
      <c r="H66" s="373" t="s">
        <v>2435</v>
      </c>
      <c r="I66" s="373">
        <v>0</v>
      </c>
      <c r="J66" s="373">
        <v>2</v>
      </c>
      <c r="K66" s="373">
        <v>0</v>
      </c>
      <c r="L66" s="373">
        <v>4</v>
      </c>
      <c r="M66" s="366">
        <v>101</v>
      </c>
      <c r="N66" s="394" t="s">
        <v>846</v>
      </c>
      <c r="O66" s="374" t="s">
        <v>1515</v>
      </c>
      <c r="P66" s="374"/>
      <c r="Q66" s="375" t="s">
        <v>847</v>
      </c>
      <c r="R66" s="376">
        <v>94041</v>
      </c>
      <c r="S66" s="377" t="s">
        <v>795</v>
      </c>
      <c r="T66" s="378">
        <v>8.9</v>
      </c>
      <c r="U66" s="379" t="s">
        <v>848</v>
      </c>
      <c r="AH66" s="390" t="s">
        <v>2037</v>
      </c>
      <c r="AI66" s="390" t="s">
        <v>2037</v>
      </c>
      <c r="AJ66" s="390" t="s">
        <v>2037</v>
      </c>
      <c r="AK66" s="390" t="s">
        <v>2370</v>
      </c>
      <c r="AL66" s="390" t="s">
        <v>2370</v>
      </c>
      <c r="AM66" s="390" t="s">
        <v>2370</v>
      </c>
      <c r="AS66" s="390" t="s">
        <v>2033</v>
      </c>
      <c r="AT66" s="390" t="s">
        <v>2033</v>
      </c>
      <c r="AU66" s="390" t="s">
        <v>2033</v>
      </c>
      <c r="AV66" s="390" t="s">
        <v>2033</v>
      </c>
      <c r="AW66" s="390" t="s">
        <v>2033</v>
      </c>
      <c r="AX66" s="390" t="s">
        <v>2033</v>
      </c>
      <c r="AY66" s="390" t="s">
        <v>2033</v>
      </c>
      <c r="AZ66" s="390" t="s">
        <v>2033</v>
      </c>
      <c r="BA66" s="390" t="s">
        <v>2034</v>
      </c>
      <c r="BB66" s="390" t="s">
        <v>2034</v>
      </c>
      <c r="BC66" s="390" t="s">
        <v>2034</v>
      </c>
      <c r="BD66" s="390" t="s">
        <v>2034</v>
      </c>
      <c r="BE66" s="390" t="s">
        <v>2034</v>
      </c>
      <c r="BF66" s="390" t="s">
        <v>2034</v>
      </c>
      <c r="BG66" s="390" t="s">
        <v>2034</v>
      </c>
      <c r="BH66" s="390" t="s">
        <v>2034</v>
      </c>
      <c r="BI66" s="390" t="s">
        <v>2034</v>
      </c>
      <c r="BJ66" s="390" t="s">
        <v>2034</v>
      </c>
      <c r="BK66" s="390" t="s">
        <v>2034</v>
      </c>
      <c r="BL66" s="390" t="s">
        <v>2034</v>
      </c>
      <c r="BM66" s="390" t="s">
        <v>2034</v>
      </c>
      <c r="BN66" s="390" t="s">
        <v>2034</v>
      </c>
      <c r="BO66" s="390" t="s">
        <v>2034</v>
      </c>
      <c r="BP66" s="390" t="s">
        <v>2034</v>
      </c>
      <c r="BQ66" s="390" t="s">
        <v>2034</v>
      </c>
      <c r="BR66" s="390" t="s">
        <v>2034</v>
      </c>
      <c r="BS66" s="390" t="s">
        <v>2034</v>
      </c>
      <c r="BY66" s="390" t="s">
        <v>2372</v>
      </c>
      <c r="BZ66" s="390" t="s">
        <v>2372</v>
      </c>
      <c r="CA66" s="390" t="s">
        <v>2036</v>
      </c>
      <c r="CB66" s="390" t="s">
        <v>2036</v>
      </c>
      <c r="CC66" s="390" t="s">
        <v>2036</v>
      </c>
      <c r="CD66" s="390" t="s">
        <v>2036</v>
      </c>
      <c r="CE66" s="390" t="s">
        <v>2359</v>
      </c>
      <c r="CF66" s="390" t="s">
        <v>2359</v>
      </c>
      <c r="CG66" s="390" t="s">
        <v>2359</v>
      </c>
      <c r="CH66" s="390" t="s">
        <v>2359</v>
      </c>
      <c r="BKX66" s="390" t="s">
        <v>2361</v>
      </c>
      <c r="BKY66" s="390" t="s">
        <v>2361</v>
      </c>
      <c r="BKZ66" s="390" t="s">
        <v>2361</v>
      </c>
      <c r="BLA66" s="390" t="s">
        <v>2361</v>
      </c>
      <c r="BLB66" s="390" t="s">
        <v>2361</v>
      </c>
      <c r="BLC66" s="390" t="s">
        <v>2361</v>
      </c>
      <c r="BLD66" s="390" t="s">
        <v>2372</v>
      </c>
      <c r="BLE66" s="390" t="s">
        <v>2372</v>
      </c>
      <c r="BLF66" s="390" t="s">
        <v>2372</v>
      </c>
      <c r="BLG66" s="390" t="s">
        <v>2372</v>
      </c>
      <c r="BLH66" s="390" t="s">
        <v>2372</v>
      </c>
      <c r="BLI66" s="390" t="s">
        <v>2372</v>
      </c>
      <c r="BLJ66" s="390" t="s">
        <v>2362</v>
      </c>
      <c r="BLK66" s="390" t="s">
        <v>2362</v>
      </c>
      <c r="BLL66" s="390" t="s">
        <v>2362</v>
      </c>
      <c r="BLM66" s="390" t="s">
        <v>2362</v>
      </c>
      <c r="BLN66" s="390" t="s">
        <v>2362</v>
      </c>
      <c r="BLO66" s="390" t="s">
        <v>2362</v>
      </c>
      <c r="BLP66" s="390" t="s">
        <v>2036</v>
      </c>
      <c r="BLQ66" s="390" t="s">
        <v>2036</v>
      </c>
      <c r="BLR66" s="390" t="s">
        <v>2036</v>
      </c>
      <c r="BLS66" s="390" t="s">
        <v>2036</v>
      </c>
      <c r="BLT66" s="390" t="s">
        <v>2036</v>
      </c>
      <c r="BLU66" s="390" t="s">
        <v>2036</v>
      </c>
    </row>
    <row r="67" spans="1:89 1638:1757" s="390" customFormat="1" x14ac:dyDescent="0.25">
      <c r="A67" s="373">
        <v>4</v>
      </c>
      <c r="B67" s="373">
        <v>7</v>
      </c>
      <c r="C67" s="373">
        <v>8</v>
      </c>
      <c r="D67" s="373" t="s">
        <v>2774</v>
      </c>
      <c r="E67" s="373" t="s">
        <v>2435</v>
      </c>
      <c r="F67" s="373" t="s">
        <v>2435</v>
      </c>
      <c r="G67" s="373" t="s">
        <v>2390</v>
      </c>
      <c r="H67" s="373" t="s">
        <v>2435</v>
      </c>
      <c r="I67" s="373">
        <v>0</v>
      </c>
      <c r="J67" s="373">
        <v>2</v>
      </c>
      <c r="K67" s="373">
        <v>0</v>
      </c>
      <c r="L67" s="373">
        <v>4</v>
      </c>
      <c r="M67" s="366">
        <v>122</v>
      </c>
      <c r="N67" s="394" t="s">
        <v>849</v>
      </c>
      <c r="O67" s="374" t="s">
        <v>1515</v>
      </c>
      <c r="P67" s="374"/>
      <c r="Q67" s="375" t="s">
        <v>850</v>
      </c>
      <c r="R67" s="376">
        <v>99313</v>
      </c>
      <c r="S67" s="377" t="s">
        <v>795</v>
      </c>
      <c r="T67" s="378">
        <v>8.9</v>
      </c>
      <c r="U67" s="379" t="s">
        <v>851</v>
      </c>
      <c r="AH67" s="390" t="s">
        <v>2037</v>
      </c>
      <c r="AI67" s="390" t="s">
        <v>2037</v>
      </c>
      <c r="AJ67" s="390" t="s">
        <v>2037</v>
      </c>
      <c r="AK67" s="390" t="s">
        <v>2370</v>
      </c>
      <c r="AL67" s="390" t="s">
        <v>2370</v>
      </c>
      <c r="AM67" s="390" t="s">
        <v>2370</v>
      </c>
      <c r="AS67" s="390" t="s">
        <v>2033</v>
      </c>
      <c r="AT67" s="390" t="s">
        <v>2033</v>
      </c>
      <c r="AU67" s="390" t="s">
        <v>2033</v>
      </c>
      <c r="AV67" s="390" t="s">
        <v>2033</v>
      </c>
      <c r="AW67" s="390" t="s">
        <v>2033</v>
      </c>
      <c r="AX67" s="390" t="s">
        <v>2033</v>
      </c>
      <c r="AY67" s="390" t="s">
        <v>2033</v>
      </c>
      <c r="AZ67" s="390" t="s">
        <v>2033</v>
      </c>
      <c r="BA67" s="390" t="s">
        <v>2034</v>
      </c>
      <c r="BB67" s="390" t="s">
        <v>2034</v>
      </c>
      <c r="BC67" s="390" t="s">
        <v>2034</v>
      </c>
      <c r="BD67" s="390" t="s">
        <v>2034</v>
      </c>
      <c r="BE67" s="390" t="s">
        <v>2034</v>
      </c>
      <c r="BF67" s="390" t="s">
        <v>2034</v>
      </c>
      <c r="BG67" s="390" t="s">
        <v>2034</v>
      </c>
      <c r="BH67" s="390" t="s">
        <v>2034</v>
      </c>
      <c r="BI67" s="390" t="s">
        <v>2034</v>
      </c>
      <c r="BJ67" s="390" t="s">
        <v>2034</v>
      </c>
      <c r="BK67" s="390" t="s">
        <v>2034</v>
      </c>
      <c r="BL67" s="390" t="s">
        <v>2034</v>
      </c>
      <c r="BM67" s="390" t="s">
        <v>2034</v>
      </c>
      <c r="BN67" s="390" t="s">
        <v>2034</v>
      </c>
      <c r="BO67" s="390" t="s">
        <v>2034</v>
      </c>
      <c r="BP67" s="390" t="s">
        <v>2034</v>
      </c>
      <c r="BQ67" s="390" t="s">
        <v>2034</v>
      </c>
      <c r="BR67" s="390" t="s">
        <v>2034</v>
      </c>
      <c r="BS67" s="390" t="s">
        <v>2034</v>
      </c>
      <c r="BY67" s="390" t="s">
        <v>2372</v>
      </c>
      <c r="BZ67" s="390" t="s">
        <v>2372</v>
      </c>
      <c r="CA67" s="390" t="s">
        <v>2036</v>
      </c>
      <c r="CB67" s="390" t="s">
        <v>2036</v>
      </c>
      <c r="CC67" s="390" t="s">
        <v>2036</v>
      </c>
      <c r="CD67" s="390" t="s">
        <v>2036</v>
      </c>
      <c r="CE67" s="390" t="s">
        <v>2359</v>
      </c>
      <c r="CF67" s="390" t="s">
        <v>2359</v>
      </c>
      <c r="CG67" s="390" t="s">
        <v>2359</v>
      </c>
      <c r="CH67" s="390" t="s">
        <v>2359</v>
      </c>
      <c r="BLV67" s="390" t="s">
        <v>2361</v>
      </c>
      <c r="BLW67" s="390" t="s">
        <v>2361</v>
      </c>
      <c r="BLX67" s="390" t="s">
        <v>2361</v>
      </c>
      <c r="BLY67" s="390" t="s">
        <v>2361</v>
      </c>
      <c r="BLZ67" s="390" t="s">
        <v>2361</v>
      </c>
      <c r="BMA67" s="390" t="s">
        <v>2361</v>
      </c>
      <c r="BMB67" s="390" t="s">
        <v>2372</v>
      </c>
      <c r="BMC67" s="390" t="s">
        <v>2372</v>
      </c>
      <c r="BMD67" s="390" t="s">
        <v>2372</v>
      </c>
      <c r="BME67" s="390" t="s">
        <v>2372</v>
      </c>
      <c r="BMF67" s="390" t="s">
        <v>2372</v>
      </c>
      <c r="BMG67" s="390" t="s">
        <v>2372</v>
      </c>
      <c r="BMH67" s="390" t="s">
        <v>2362</v>
      </c>
      <c r="BMI67" s="390" t="s">
        <v>2362</v>
      </c>
      <c r="BMJ67" s="390" t="s">
        <v>2362</v>
      </c>
      <c r="BMK67" s="390" t="s">
        <v>2362</v>
      </c>
      <c r="BML67" s="390" t="s">
        <v>2362</v>
      </c>
      <c r="BMM67" s="390" t="s">
        <v>2362</v>
      </c>
      <c r="BMN67" s="390" t="s">
        <v>2036</v>
      </c>
      <c r="BMO67" s="390" t="s">
        <v>2036</v>
      </c>
      <c r="BMP67" s="390" t="s">
        <v>2036</v>
      </c>
      <c r="BMQ67" s="390" t="s">
        <v>2036</v>
      </c>
      <c r="BMR67" s="390" t="s">
        <v>2036</v>
      </c>
      <c r="BMS67" s="390" t="s">
        <v>2036</v>
      </c>
    </row>
    <row r="68" spans="1:89 1638:1757" s="390" customFormat="1" x14ac:dyDescent="0.25">
      <c r="A68" s="373">
        <v>4</v>
      </c>
      <c r="B68" s="373">
        <v>7</v>
      </c>
      <c r="C68" s="373">
        <v>8</v>
      </c>
      <c r="D68" s="373" t="s">
        <v>2775</v>
      </c>
      <c r="E68" s="373" t="s">
        <v>2435</v>
      </c>
      <c r="F68" s="373" t="s">
        <v>2435</v>
      </c>
      <c r="G68" s="373" t="s">
        <v>2391</v>
      </c>
      <c r="H68" s="373" t="s">
        <v>2435</v>
      </c>
      <c r="I68" s="373">
        <v>0</v>
      </c>
      <c r="J68" s="373">
        <v>2</v>
      </c>
      <c r="K68" s="373">
        <v>0</v>
      </c>
      <c r="L68" s="373">
        <v>3</v>
      </c>
      <c r="M68" s="366">
        <v>84</v>
      </c>
      <c r="N68" s="394" t="s">
        <v>852</v>
      </c>
      <c r="O68" s="374" t="s">
        <v>1515</v>
      </c>
      <c r="P68" s="374"/>
      <c r="Q68" s="375" t="s">
        <v>853</v>
      </c>
      <c r="R68" s="376">
        <v>94251</v>
      </c>
      <c r="S68" s="377" t="s">
        <v>795</v>
      </c>
      <c r="T68" s="378">
        <v>8.6999999999999993</v>
      </c>
      <c r="U68" s="379" t="s">
        <v>854</v>
      </c>
      <c r="AH68" s="390" t="s">
        <v>2037</v>
      </c>
      <c r="AI68" s="390" t="s">
        <v>2037</v>
      </c>
      <c r="AJ68" s="390" t="s">
        <v>2037</v>
      </c>
      <c r="AK68" s="390" t="s">
        <v>2370</v>
      </c>
      <c r="AL68" s="390" t="s">
        <v>2370</v>
      </c>
      <c r="AM68" s="390" t="s">
        <v>2370</v>
      </c>
      <c r="AS68" s="390" t="s">
        <v>2033</v>
      </c>
      <c r="AT68" s="390" t="s">
        <v>2033</v>
      </c>
      <c r="AU68" s="390" t="s">
        <v>2033</v>
      </c>
      <c r="AV68" s="390" t="s">
        <v>2033</v>
      </c>
      <c r="AW68" s="390" t="s">
        <v>2033</v>
      </c>
      <c r="AX68" s="390" t="s">
        <v>2033</v>
      </c>
      <c r="AY68" s="390" t="s">
        <v>2033</v>
      </c>
      <c r="AZ68" s="390" t="s">
        <v>2033</v>
      </c>
      <c r="BA68" s="390" t="s">
        <v>2034</v>
      </c>
      <c r="BB68" s="390" t="s">
        <v>2034</v>
      </c>
      <c r="BC68" s="390" t="s">
        <v>2034</v>
      </c>
      <c r="BD68" s="390" t="s">
        <v>2034</v>
      </c>
      <c r="BE68" s="390" t="s">
        <v>2034</v>
      </c>
      <c r="BF68" s="390" t="s">
        <v>2034</v>
      </c>
      <c r="BG68" s="390" t="s">
        <v>2034</v>
      </c>
      <c r="BH68" s="390" t="s">
        <v>2034</v>
      </c>
      <c r="BI68" s="390" t="s">
        <v>2034</v>
      </c>
      <c r="BJ68" s="390" t="s">
        <v>2034</v>
      </c>
      <c r="BK68" s="390" t="s">
        <v>2034</v>
      </c>
      <c r="BL68" s="390" t="s">
        <v>2034</v>
      </c>
      <c r="BM68" s="390" t="s">
        <v>2034</v>
      </c>
      <c r="BN68" s="390" t="s">
        <v>2034</v>
      </c>
      <c r="BO68" s="390" t="s">
        <v>2034</v>
      </c>
      <c r="BP68" s="390" t="s">
        <v>2034</v>
      </c>
      <c r="BQ68" s="390" t="s">
        <v>2034</v>
      </c>
      <c r="BR68" s="390" t="s">
        <v>2034</v>
      </c>
      <c r="BS68" s="390" t="s">
        <v>2034</v>
      </c>
      <c r="BY68" s="390" t="s">
        <v>2372</v>
      </c>
      <c r="BZ68" s="390" t="s">
        <v>2372</v>
      </c>
      <c r="CA68" s="390" t="s">
        <v>2036</v>
      </c>
      <c r="CB68" s="390" t="s">
        <v>2036</v>
      </c>
      <c r="CC68" s="390" t="s">
        <v>2036</v>
      </c>
      <c r="CD68" s="390" t="s">
        <v>2359</v>
      </c>
      <c r="CE68" s="390" t="s">
        <v>2359</v>
      </c>
      <c r="CF68" s="390" t="s">
        <v>2359</v>
      </c>
      <c r="CG68" s="390" t="s">
        <v>2359</v>
      </c>
      <c r="CH68" s="390" t="s">
        <v>2359</v>
      </c>
      <c r="BMT68" s="390" t="s">
        <v>2361</v>
      </c>
      <c r="BMU68" s="390" t="s">
        <v>2361</v>
      </c>
      <c r="BMV68" s="390" t="s">
        <v>2361</v>
      </c>
      <c r="BMW68" s="390" t="s">
        <v>2361</v>
      </c>
      <c r="BMX68" s="390" t="s">
        <v>2361</v>
      </c>
      <c r="BMY68" s="390" t="s">
        <v>2361</v>
      </c>
      <c r="BMZ68" s="390" t="s">
        <v>2372</v>
      </c>
      <c r="BNA68" s="390" t="s">
        <v>2372</v>
      </c>
      <c r="BNB68" s="390" t="s">
        <v>2372</v>
      </c>
      <c r="BNC68" s="390" t="s">
        <v>2372</v>
      </c>
      <c r="BND68" s="390" t="s">
        <v>2372</v>
      </c>
      <c r="BNE68" s="390" t="s">
        <v>2372</v>
      </c>
      <c r="BNF68" s="390" t="s">
        <v>2362</v>
      </c>
      <c r="BNG68" s="390" t="s">
        <v>2362</v>
      </c>
      <c r="BNH68" s="390" t="s">
        <v>2362</v>
      </c>
      <c r="BNI68" s="390" t="s">
        <v>2362</v>
      </c>
      <c r="BNJ68" s="390" t="s">
        <v>2362</v>
      </c>
      <c r="BNK68" s="390" t="s">
        <v>2362</v>
      </c>
      <c r="BNL68" s="390" t="s">
        <v>2036</v>
      </c>
      <c r="BNM68" s="390" t="s">
        <v>2036</v>
      </c>
      <c r="BNN68" s="390" t="s">
        <v>2036</v>
      </c>
      <c r="BNO68" s="390" t="s">
        <v>2036</v>
      </c>
      <c r="BNP68" s="390" t="s">
        <v>2036</v>
      </c>
      <c r="BNQ68" s="390" t="s">
        <v>2036</v>
      </c>
    </row>
    <row r="69" spans="1:89 1638:1757" s="390" customFormat="1" x14ac:dyDescent="0.25">
      <c r="A69" s="373">
        <v>4</v>
      </c>
      <c r="B69" s="373">
        <v>7</v>
      </c>
      <c r="C69" s="373">
        <v>8</v>
      </c>
      <c r="D69" s="373" t="s">
        <v>2775</v>
      </c>
      <c r="E69" s="373" t="s">
        <v>2435</v>
      </c>
      <c r="F69" s="373" t="s">
        <v>2435</v>
      </c>
      <c r="G69" s="373" t="s">
        <v>2392</v>
      </c>
      <c r="H69" s="373" t="s">
        <v>2435</v>
      </c>
      <c r="I69" s="373">
        <v>0</v>
      </c>
      <c r="J69" s="373">
        <v>2</v>
      </c>
      <c r="K69" s="373">
        <v>0</v>
      </c>
      <c r="L69" s="373">
        <v>3</v>
      </c>
      <c r="M69" s="366">
        <v>96</v>
      </c>
      <c r="N69" s="394" t="s">
        <v>855</v>
      </c>
      <c r="O69" s="374" t="s">
        <v>1515</v>
      </c>
      <c r="P69" s="374"/>
      <c r="Q69" s="375" t="s">
        <v>856</v>
      </c>
      <c r="R69" s="376">
        <v>95786</v>
      </c>
      <c r="S69" s="377" t="s">
        <v>795</v>
      </c>
      <c r="T69" s="378">
        <v>8.6999999999999993</v>
      </c>
      <c r="U69" s="379" t="s">
        <v>857</v>
      </c>
      <c r="AH69" s="390" t="s">
        <v>2037</v>
      </c>
      <c r="AI69" s="390" t="s">
        <v>2037</v>
      </c>
      <c r="AJ69" s="390" t="s">
        <v>2037</v>
      </c>
      <c r="AK69" s="390" t="s">
        <v>2370</v>
      </c>
      <c r="AL69" s="390" t="s">
        <v>2370</v>
      </c>
      <c r="AM69" s="390" t="s">
        <v>2370</v>
      </c>
      <c r="AS69" s="390" t="s">
        <v>2033</v>
      </c>
      <c r="AT69" s="390" t="s">
        <v>2033</v>
      </c>
      <c r="AU69" s="390" t="s">
        <v>2033</v>
      </c>
      <c r="AV69" s="390" t="s">
        <v>2033</v>
      </c>
      <c r="AW69" s="390" t="s">
        <v>2033</v>
      </c>
      <c r="AX69" s="390" t="s">
        <v>2033</v>
      </c>
      <c r="AY69" s="390" t="s">
        <v>2033</v>
      </c>
      <c r="AZ69" s="390" t="s">
        <v>2033</v>
      </c>
      <c r="BA69" s="390" t="s">
        <v>2034</v>
      </c>
      <c r="BB69" s="390" t="s">
        <v>2034</v>
      </c>
      <c r="BC69" s="390" t="s">
        <v>2034</v>
      </c>
      <c r="BD69" s="390" t="s">
        <v>2034</v>
      </c>
      <c r="BE69" s="390" t="s">
        <v>2034</v>
      </c>
      <c r="BF69" s="390" t="s">
        <v>2034</v>
      </c>
      <c r="BG69" s="390" t="s">
        <v>2034</v>
      </c>
      <c r="BH69" s="390" t="s">
        <v>2034</v>
      </c>
      <c r="BI69" s="390" t="s">
        <v>2034</v>
      </c>
      <c r="BJ69" s="390" t="s">
        <v>2034</v>
      </c>
      <c r="BK69" s="390" t="s">
        <v>2034</v>
      </c>
      <c r="BL69" s="390" t="s">
        <v>2034</v>
      </c>
      <c r="BM69" s="390" t="s">
        <v>2034</v>
      </c>
      <c r="BN69" s="390" t="s">
        <v>2034</v>
      </c>
      <c r="BO69" s="390" t="s">
        <v>2034</v>
      </c>
      <c r="BP69" s="390" t="s">
        <v>2034</v>
      </c>
      <c r="BQ69" s="390" t="s">
        <v>2034</v>
      </c>
      <c r="BR69" s="390" t="s">
        <v>2034</v>
      </c>
      <c r="BS69" s="390" t="s">
        <v>2034</v>
      </c>
      <c r="BY69" s="390" t="s">
        <v>2372</v>
      </c>
      <c r="BZ69" s="390" t="s">
        <v>2372</v>
      </c>
      <c r="CA69" s="390" t="s">
        <v>2036</v>
      </c>
      <c r="CB69" s="390" t="s">
        <v>2036</v>
      </c>
      <c r="CC69" s="390" t="s">
        <v>2036</v>
      </c>
      <c r="CD69" s="390" t="s">
        <v>2359</v>
      </c>
      <c r="CE69" s="390" t="s">
        <v>2359</v>
      </c>
      <c r="CF69" s="390" t="s">
        <v>2359</v>
      </c>
      <c r="CG69" s="390" t="s">
        <v>2359</v>
      </c>
      <c r="CH69" s="390" t="s">
        <v>2359</v>
      </c>
      <c r="BNR69" s="390" t="s">
        <v>2361</v>
      </c>
      <c r="BNS69" s="390" t="s">
        <v>2361</v>
      </c>
      <c r="BNT69" s="390" t="s">
        <v>2361</v>
      </c>
      <c r="BNU69" s="390" t="s">
        <v>2361</v>
      </c>
      <c r="BNV69" s="390" t="s">
        <v>2361</v>
      </c>
      <c r="BNW69" s="390" t="s">
        <v>2361</v>
      </c>
      <c r="BNX69" s="390" t="s">
        <v>2372</v>
      </c>
      <c r="BNY69" s="390" t="s">
        <v>2372</v>
      </c>
      <c r="BNZ69" s="390" t="s">
        <v>2372</v>
      </c>
      <c r="BOA69" s="390" t="s">
        <v>2372</v>
      </c>
      <c r="BOB69" s="390" t="s">
        <v>2372</v>
      </c>
      <c r="BOC69" s="390" t="s">
        <v>2372</v>
      </c>
      <c r="BOD69" s="390" t="s">
        <v>2362</v>
      </c>
      <c r="BOE69" s="390" t="s">
        <v>2362</v>
      </c>
      <c r="BOF69" s="390" t="s">
        <v>2362</v>
      </c>
      <c r="BOG69" s="390" t="s">
        <v>2362</v>
      </c>
      <c r="BOH69" s="390" t="s">
        <v>2362</v>
      </c>
      <c r="BOI69" s="390" t="s">
        <v>2362</v>
      </c>
      <c r="BOJ69" s="390" t="s">
        <v>2036</v>
      </c>
      <c r="BOK69" s="390" t="s">
        <v>2036</v>
      </c>
      <c r="BOL69" s="390" t="s">
        <v>2036</v>
      </c>
      <c r="BOM69" s="390" t="s">
        <v>2036</v>
      </c>
      <c r="BON69" s="390" t="s">
        <v>2036</v>
      </c>
      <c r="BOO69" s="390" t="s">
        <v>2036</v>
      </c>
    </row>
    <row r="70" spans="1:89 1638:1757" s="390" customFormat="1" x14ac:dyDescent="0.25">
      <c r="A70" s="373">
        <v>4</v>
      </c>
      <c r="B70" s="373">
        <v>7</v>
      </c>
      <c r="C70" s="373">
        <v>8</v>
      </c>
      <c r="D70" s="373" t="s">
        <v>2775</v>
      </c>
      <c r="E70" s="373" t="s">
        <v>2435</v>
      </c>
      <c r="F70" s="373" t="s">
        <v>2435</v>
      </c>
      <c r="G70" s="373" t="s">
        <v>2389</v>
      </c>
      <c r="H70" s="373" t="s">
        <v>2435</v>
      </c>
      <c r="I70" s="373">
        <v>0</v>
      </c>
      <c r="J70" s="373">
        <v>2</v>
      </c>
      <c r="K70" s="373">
        <v>0</v>
      </c>
      <c r="L70" s="373">
        <v>3</v>
      </c>
      <c r="M70" s="366">
        <v>111</v>
      </c>
      <c r="N70" s="394" t="s">
        <v>858</v>
      </c>
      <c r="O70" s="374" t="s">
        <v>1515</v>
      </c>
      <c r="P70" s="374"/>
      <c r="Q70" s="375" t="s">
        <v>859</v>
      </c>
      <c r="R70" s="376">
        <v>97201</v>
      </c>
      <c r="S70" s="377" t="s">
        <v>795</v>
      </c>
      <c r="T70" s="378">
        <v>8.9</v>
      </c>
      <c r="U70" s="379" t="s">
        <v>860</v>
      </c>
      <c r="AH70" s="390" t="s">
        <v>2037</v>
      </c>
      <c r="AI70" s="390" t="s">
        <v>2037</v>
      </c>
      <c r="AJ70" s="390" t="s">
        <v>2037</v>
      </c>
      <c r="AK70" s="390" t="s">
        <v>2370</v>
      </c>
      <c r="AL70" s="390" t="s">
        <v>2370</v>
      </c>
      <c r="AM70" s="390" t="s">
        <v>2370</v>
      </c>
      <c r="AS70" s="390" t="s">
        <v>2033</v>
      </c>
      <c r="AT70" s="390" t="s">
        <v>2033</v>
      </c>
      <c r="AU70" s="390" t="s">
        <v>2033</v>
      </c>
      <c r="AV70" s="390" t="s">
        <v>2033</v>
      </c>
      <c r="AW70" s="390" t="s">
        <v>2033</v>
      </c>
      <c r="AX70" s="390" t="s">
        <v>2033</v>
      </c>
      <c r="AY70" s="390" t="s">
        <v>2033</v>
      </c>
      <c r="AZ70" s="390" t="s">
        <v>2033</v>
      </c>
      <c r="BA70" s="390" t="s">
        <v>2034</v>
      </c>
      <c r="BB70" s="390" t="s">
        <v>2034</v>
      </c>
      <c r="BC70" s="390" t="s">
        <v>2034</v>
      </c>
      <c r="BD70" s="390" t="s">
        <v>2034</v>
      </c>
      <c r="BE70" s="390" t="s">
        <v>2034</v>
      </c>
      <c r="BF70" s="390" t="s">
        <v>2034</v>
      </c>
      <c r="BG70" s="390" t="s">
        <v>2034</v>
      </c>
      <c r="BH70" s="390" t="s">
        <v>2034</v>
      </c>
      <c r="BI70" s="390" t="s">
        <v>2034</v>
      </c>
      <c r="BJ70" s="390" t="s">
        <v>2034</v>
      </c>
      <c r="BK70" s="390" t="s">
        <v>2034</v>
      </c>
      <c r="BL70" s="390" t="s">
        <v>2034</v>
      </c>
      <c r="BM70" s="390" t="s">
        <v>2034</v>
      </c>
      <c r="BN70" s="390" t="s">
        <v>2034</v>
      </c>
      <c r="BO70" s="390" t="s">
        <v>2034</v>
      </c>
      <c r="BP70" s="390" t="s">
        <v>2034</v>
      </c>
      <c r="BQ70" s="390" t="s">
        <v>2034</v>
      </c>
      <c r="BR70" s="390" t="s">
        <v>2034</v>
      </c>
      <c r="BS70" s="390" t="s">
        <v>2034</v>
      </c>
      <c r="BY70" s="390" t="s">
        <v>2372</v>
      </c>
      <c r="BZ70" s="390" t="s">
        <v>2372</v>
      </c>
      <c r="CA70" s="390" t="s">
        <v>2036</v>
      </c>
      <c r="CB70" s="390" t="s">
        <v>2036</v>
      </c>
      <c r="CC70" s="390" t="s">
        <v>2036</v>
      </c>
      <c r="CD70" s="390" t="s">
        <v>2359</v>
      </c>
      <c r="CE70" s="390" t="s">
        <v>2359</v>
      </c>
      <c r="CF70" s="390" t="s">
        <v>2359</v>
      </c>
      <c r="CG70" s="390" t="s">
        <v>2359</v>
      </c>
      <c r="CH70" s="390" t="s">
        <v>2359</v>
      </c>
      <c r="BNR70" s="390" t="s">
        <v>2361</v>
      </c>
      <c r="BNS70" s="390" t="s">
        <v>2361</v>
      </c>
      <c r="BNT70" s="390" t="s">
        <v>2361</v>
      </c>
      <c r="BNU70" s="390" t="s">
        <v>2361</v>
      </c>
      <c r="BNV70" s="390" t="s">
        <v>2361</v>
      </c>
      <c r="BNW70" s="390" t="s">
        <v>2361</v>
      </c>
      <c r="BNX70" s="390" t="s">
        <v>2372</v>
      </c>
      <c r="BNY70" s="390" t="s">
        <v>2372</v>
      </c>
      <c r="BNZ70" s="390" t="s">
        <v>2372</v>
      </c>
      <c r="BOA70" s="390" t="s">
        <v>2372</v>
      </c>
      <c r="BOB70" s="390" t="s">
        <v>2372</v>
      </c>
      <c r="BOC70" s="390" t="s">
        <v>2372</v>
      </c>
      <c r="BOD70" s="390" t="s">
        <v>2362</v>
      </c>
      <c r="BOE70" s="390" t="s">
        <v>2362</v>
      </c>
      <c r="BOF70" s="390" t="s">
        <v>2362</v>
      </c>
      <c r="BOG70" s="390" t="s">
        <v>2362</v>
      </c>
      <c r="BOH70" s="390" t="s">
        <v>2362</v>
      </c>
      <c r="BOI70" s="390" t="s">
        <v>2362</v>
      </c>
      <c r="BOJ70" s="390" t="s">
        <v>2036</v>
      </c>
      <c r="BOK70" s="390" t="s">
        <v>2036</v>
      </c>
      <c r="BOL70" s="390" t="s">
        <v>2036</v>
      </c>
      <c r="BOM70" s="390" t="s">
        <v>2036</v>
      </c>
      <c r="BON70" s="390" t="s">
        <v>2036</v>
      </c>
      <c r="BOO70" s="390" t="s">
        <v>2036</v>
      </c>
    </row>
    <row r="71" spans="1:89 1638:1757" s="390" customFormat="1" x14ac:dyDescent="0.25">
      <c r="A71" s="373">
        <v>4</v>
      </c>
      <c r="B71" s="373">
        <v>7</v>
      </c>
      <c r="C71" s="373">
        <v>8</v>
      </c>
      <c r="D71" s="373" t="s">
        <v>2775</v>
      </c>
      <c r="E71" s="373" t="s">
        <v>2435</v>
      </c>
      <c r="F71" s="373" t="s">
        <v>2435</v>
      </c>
      <c r="G71" s="373" t="s">
        <v>2390</v>
      </c>
      <c r="H71" s="373" t="s">
        <v>2435</v>
      </c>
      <c r="I71" s="373">
        <v>0</v>
      </c>
      <c r="J71" s="373">
        <v>2</v>
      </c>
      <c r="K71" s="373">
        <v>0</v>
      </c>
      <c r="L71" s="373">
        <v>3</v>
      </c>
      <c r="M71" s="366">
        <v>132</v>
      </c>
      <c r="N71" s="394" t="s">
        <v>861</v>
      </c>
      <c r="O71" s="374" t="s">
        <v>1515</v>
      </c>
      <c r="P71" s="374"/>
      <c r="Q71" s="375" t="s">
        <v>862</v>
      </c>
      <c r="R71" s="376">
        <v>102498</v>
      </c>
      <c r="S71" s="377" t="s">
        <v>795</v>
      </c>
      <c r="T71" s="378">
        <v>8.9</v>
      </c>
      <c r="U71" s="379" t="s">
        <v>863</v>
      </c>
      <c r="AH71" s="390" t="s">
        <v>2037</v>
      </c>
      <c r="AI71" s="390" t="s">
        <v>2037</v>
      </c>
      <c r="AJ71" s="390" t="s">
        <v>2037</v>
      </c>
      <c r="AK71" s="390" t="s">
        <v>2370</v>
      </c>
      <c r="AL71" s="390" t="s">
        <v>2370</v>
      </c>
      <c r="AM71" s="390" t="s">
        <v>2370</v>
      </c>
      <c r="AS71" s="390" t="s">
        <v>2033</v>
      </c>
      <c r="AT71" s="390" t="s">
        <v>2033</v>
      </c>
      <c r="AU71" s="390" t="s">
        <v>2033</v>
      </c>
      <c r="AV71" s="390" t="s">
        <v>2033</v>
      </c>
      <c r="AW71" s="390" t="s">
        <v>2033</v>
      </c>
      <c r="AX71" s="390" t="s">
        <v>2033</v>
      </c>
      <c r="AY71" s="390" t="s">
        <v>2033</v>
      </c>
      <c r="AZ71" s="390" t="s">
        <v>2033</v>
      </c>
      <c r="BA71" s="390" t="s">
        <v>2034</v>
      </c>
      <c r="BB71" s="390" t="s">
        <v>2034</v>
      </c>
      <c r="BC71" s="390" t="s">
        <v>2034</v>
      </c>
      <c r="BD71" s="390" t="s">
        <v>2034</v>
      </c>
      <c r="BE71" s="390" t="s">
        <v>2034</v>
      </c>
      <c r="BF71" s="390" t="s">
        <v>2034</v>
      </c>
      <c r="BG71" s="390" t="s">
        <v>2034</v>
      </c>
      <c r="BH71" s="390" t="s">
        <v>2034</v>
      </c>
      <c r="BI71" s="390" t="s">
        <v>2034</v>
      </c>
      <c r="BJ71" s="390" t="s">
        <v>2034</v>
      </c>
      <c r="BK71" s="390" t="s">
        <v>2034</v>
      </c>
      <c r="BL71" s="390" t="s">
        <v>2034</v>
      </c>
      <c r="BM71" s="390" t="s">
        <v>2034</v>
      </c>
      <c r="BN71" s="390" t="s">
        <v>2034</v>
      </c>
      <c r="BO71" s="390" t="s">
        <v>2034</v>
      </c>
      <c r="BP71" s="390" t="s">
        <v>2034</v>
      </c>
      <c r="BQ71" s="390" t="s">
        <v>2034</v>
      </c>
      <c r="BR71" s="390" t="s">
        <v>2034</v>
      </c>
      <c r="BS71" s="390" t="s">
        <v>2034</v>
      </c>
      <c r="BY71" s="390" t="s">
        <v>2372</v>
      </c>
      <c r="BZ71" s="390" t="s">
        <v>2372</v>
      </c>
      <c r="CA71" s="390" t="s">
        <v>2036</v>
      </c>
      <c r="CB71" s="390" t="s">
        <v>2036</v>
      </c>
      <c r="CC71" s="390" t="s">
        <v>2036</v>
      </c>
      <c r="CD71" s="390" t="s">
        <v>2359</v>
      </c>
      <c r="CE71" s="390" t="s">
        <v>2359</v>
      </c>
      <c r="CF71" s="390" t="s">
        <v>2359</v>
      </c>
      <c r="CG71" s="390" t="s">
        <v>2359</v>
      </c>
      <c r="CH71" s="390" t="s">
        <v>2359</v>
      </c>
      <c r="BNR71" s="390" t="s">
        <v>2361</v>
      </c>
      <c r="BNS71" s="390" t="s">
        <v>2361</v>
      </c>
      <c r="BNT71" s="390" t="s">
        <v>2361</v>
      </c>
      <c r="BNU71" s="390" t="s">
        <v>2361</v>
      </c>
      <c r="BNV71" s="390" t="s">
        <v>2361</v>
      </c>
      <c r="BNW71" s="390" t="s">
        <v>2361</v>
      </c>
      <c r="BNX71" s="390" t="s">
        <v>2372</v>
      </c>
      <c r="BNY71" s="390" t="s">
        <v>2372</v>
      </c>
      <c r="BNZ71" s="390" t="s">
        <v>2372</v>
      </c>
      <c r="BOA71" s="390" t="s">
        <v>2372</v>
      </c>
      <c r="BOB71" s="390" t="s">
        <v>2372</v>
      </c>
      <c r="BOC71" s="390" t="s">
        <v>2372</v>
      </c>
      <c r="BOD71" s="390" t="s">
        <v>2362</v>
      </c>
      <c r="BOE71" s="390" t="s">
        <v>2362</v>
      </c>
      <c r="BOF71" s="390" t="s">
        <v>2362</v>
      </c>
      <c r="BOG71" s="390" t="s">
        <v>2362</v>
      </c>
      <c r="BOH71" s="390" t="s">
        <v>2362</v>
      </c>
      <c r="BOI71" s="390" t="s">
        <v>2362</v>
      </c>
      <c r="BOJ71" s="390" t="s">
        <v>2036</v>
      </c>
      <c r="BOK71" s="390" t="s">
        <v>2036</v>
      </c>
      <c r="BOL71" s="390" t="s">
        <v>2036</v>
      </c>
      <c r="BOM71" s="390" t="s">
        <v>2036</v>
      </c>
      <c r="BON71" s="390" t="s">
        <v>2036</v>
      </c>
      <c r="BOO71" s="390" t="s">
        <v>2036</v>
      </c>
    </row>
    <row r="72" spans="1:89 1638:1757" s="390" customFormat="1" x14ac:dyDescent="0.25">
      <c r="A72" s="373">
        <v>5</v>
      </c>
      <c r="B72" s="373">
        <v>11</v>
      </c>
      <c r="C72" s="373">
        <v>12</v>
      </c>
      <c r="D72" s="373" t="s">
        <v>2374</v>
      </c>
      <c r="E72" s="373" t="s">
        <v>2435</v>
      </c>
      <c r="F72" s="373" t="s">
        <v>2435</v>
      </c>
      <c r="G72" s="373" t="s">
        <v>2393</v>
      </c>
      <c r="H72" s="373" t="s">
        <v>2435</v>
      </c>
      <c r="I72" s="373">
        <v>0</v>
      </c>
      <c r="J72" s="373">
        <v>3</v>
      </c>
      <c r="K72" s="373">
        <v>0</v>
      </c>
      <c r="L72" s="373">
        <v>5</v>
      </c>
      <c r="M72" s="366">
        <v>73</v>
      </c>
      <c r="N72" s="366" t="s">
        <v>864</v>
      </c>
      <c r="O72" s="374" t="s">
        <v>1519</v>
      </c>
      <c r="P72" s="374"/>
      <c r="Q72" s="391" t="s">
        <v>2233</v>
      </c>
      <c r="R72" s="386">
        <v>104694</v>
      </c>
      <c r="S72" s="387" t="s">
        <v>795</v>
      </c>
      <c r="T72" s="388">
        <v>8.9</v>
      </c>
      <c r="U72" s="389" t="s">
        <v>2234</v>
      </c>
      <c r="AH72" s="390" t="s">
        <v>2037</v>
      </c>
      <c r="AI72" s="390" t="s">
        <v>2037</v>
      </c>
      <c r="AJ72" s="390" t="s">
        <v>2037</v>
      </c>
      <c r="AK72" s="390" t="s">
        <v>2037</v>
      </c>
      <c r="AL72" s="390" t="s">
        <v>2370</v>
      </c>
      <c r="AM72" s="390" t="s">
        <v>2370</v>
      </c>
      <c r="AS72" s="390" t="s">
        <v>2033</v>
      </c>
      <c r="AT72" s="390" t="s">
        <v>2033</v>
      </c>
      <c r="AU72" s="390" t="s">
        <v>2033</v>
      </c>
      <c r="AV72" s="390" t="s">
        <v>2033</v>
      </c>
      <c r="AW72" s="390" t="s">
        <v>2033</v>
      </c>
      <c r="AX72" s="390" t="s">
        <v>2033</v>
      </c>
      <c r="AY72" s="390" t="s">
        <v>2033</v>
      </c>
      <c r="AZ72" s="390" t="s">
        <v>2033</v>
      </c>
      <c r="BA72" s="390" t="s">
        <v>2033</v>
      </c>
      <c r="BB72" s="390" t="s">
        <v>2033</v>
      </c>
      <c r="BC72" s="390" t="s">
        <v>2033</v>
      </c>
      <c r="BD72" s="390" t="s">
        <v>2033</v>
      </c>
      <c r="BE72" s="390" t="s">
        <v>2034</v>
      </c>
      <c r="BF72" s="390" t="s">
        <v>2034</v>
      </c>
      <c r="BG72" s="390" t="s">
        <v>2034</v>
      </c>
      <c r="BH72" s="390" t="s">
        <v>2034</v>
      </c>
      <c r="BI72" s="390" t="s">
        <v>2034</v>
      </c>
      <c r="BJ72" s="390" t="s">
        <v>2034</v>
      </c>
      <c r="BK72" s="390" t="s">
        <v>2034</v>
      </c>
      <c r="BL72" s="390" t="s">
        <v>2034</v>
      </c>
      <c r="BM72" s="390" t="s">
        <v>2034</v>
      </c>
      <c r="BN72" s="390" t="s">
        <v>2034</v>
      </c>
      <c r="BO72" s="390" t="s">
        <v>2034</v>
      </c>
      <c r="BP72" s="390" t="s">
        <v>2034</v>
      </c>
      <c r="BQ72" s="390" t="s">
        <v>2034</v>
      </c>
      <c r="BR72" s="390" t="s">
        <v>2034</v>
      </c>
      <c r="BS72" s="390" t="s">
        <v>2034</v>
      </c>
      <c r="BY72" s="390" t="s">
        <v>2372</v>
      </c>
      <c r="BZ72" s="390" t="s">
        <v>2372</v>
      </c>
      <c r="CA72" s="390" t="s">
        <v>2372</v>
      </c>
      <c r="CB72" s="390" t="s">
        <v>2036</v>
      </c>
      <c r="CC72" s="390" t="s">
        <v>2036</v>
      </c>
      <c r="CD72" s="390" t="s">
        <v>2036</v>
      </c>
      <c r="CE72" s="390" t="s">
        <v>2036</v>
      </c>
      <c r="CF72" s="390" t="s">
        <v>2036</v>
      </c>
      <c r="CG72" s="390" t="s">
        <v>2359</v>
      </c>
      <c r="CH72" s="390" t="s">
        <v>2359</v>
      </c>
      <c r="CI72" s="390" t="s">
        <v>2359</v>
      </c>
      <c r="CJ72" s="390" t="s">
        <v>2359</v>
      </c>
      <c r="CK72" s="390" t="s">
        <v>2359</v>
      </c>
      <c r="BNR72" s="390" t="s">
        <v>2361</v>
      </c>
      <c r="BNS72" s="390" t="s">
        <v>2361</v>
      </c>
      <c r="BNT72" s="390" t="s">
        <v>2361</v>
      </c>
      <c r="BNU72" s="390" t="s">
        <v>2361</v>
      </c>
      <c r="BNV72" s="390" t="s">
        <v>2361</v>
      </c>
      <c r="BNW72" s="390" t="s">
        <v>2361</v>
      </c>
      <c r="BNX72" s="390" t="s">
        <v>2372</v>
      </c>
      <c r="BNY72" s="390" t="s">
        <v>2372</v>
      </c>
      <c r="BNZ72" s="390" t="s">
        <v>2372</v>
      </c>
      <c r="BOA72" s="390" t="s">
        <v>2372</v>
      </c>
      <c r="BOB72" s="390" t="s">
        <v>2372</v>
      </c>
      <c r="BOC72" s="390" t="s">
        <v>2372</v>
      </c>
      <c r="BOD72" s="390" t="s">
        <v>2362</v>
      </c>
      <c r="BOE72" s="390" t="s">
        <v>2362</v>
      </c>
      <c r="BOF72" s="390" t="s">
        <v>2362</v>
      </c>
      <c r="BOG72" s="390" t="s">
        <v>2362</v>
      </c>
      <c r="BOH72" s="390" t="s">
        <v>2362</v>
      </c>
      <c r="BOI72" s="390" t="s">
        <v>2362</v>
      </c>
      <c r="BOJ72" s="390" t="s">
        <v>2036</v>
      </c>
      <c r="BOK72" s="390" t="s">
        <v>2036</v>
      </c>
      <c r="BOL72" s="390" t="s">
        <v>2036</v>
      </c>
      <c r="BOM72" s="390" t="s">
        <v>2036</v>
      </c>
      <c r="BON72" s="390" t="s">
        <v>2036</v>
      </c>
      <c r="BOO72" s="390" t="s">
        <v>2036</v>
      </c>
    </row>
    <row r="73" spans="1:89 1638:1757" s="390" customFormat="1" x14ac:dyDescent="0.25">
      <c r="A73" s="373">
        <v>5</v>
      </c>
      <c r="B73" s="373">
        <v>11</v>
      </c>
      <c r="C73" s="373">
        <v>12</v>
      </c>
      <c r="D73" s="373" t="s">
        <v>2374</v>
      </c>
      <c r="E73" s="373" t="s">
        <v>2435</v>
      </c>
      <c r="F73" s="373" t="s">
        <v>2435</v>
      </c>
      <c r="G73" s="373" t="s">
        <v>2394</v>
      </c>
      <c r="H73" s="373" t="s">
        <v>2435</v>
      </c>
      <c r="I73" s="373">
        <v>0</v>
      </c>
      <c r="J73" s="373">
        <v>3</v>
      </c>
      <c r="K73" s="373">
        <v>0</v>
      </c>
      <c r="L73" s="373">
        <v>5</v>
      </c>
      <c r="M73" s="366">
        <v>89</v>
      </c>
      <c r="N73" s="366" t="s">
        <v>867</v>
      </c>
      <c r="O73" s="374" t="s">
        <v>1519</v>
      </c>
      <c r="P73" s="374"/>
      <c r="Q73" s="391" t="s">
        <v>2235</v>
      </c>
      <c r="R73" s="386">
        <v>108232</v>
      </c>
      <c r="S73" s="387" t="s">
        <v>795</v>
      </c>
      <c r="T73" s="388">
        <v>8.9</v>
      </c>
      <c r="U73" s="389" t="s">
        <v>2236</v>
      </c>
      <c r="AH73" s="390" t="s">
        <v>2037</v>
      </c>
      <c r="AI73" s="390" t="s">
        <v>2037</v>
      </c>
      <c r="AJ73" s="390" t="s">
        <v>2037</v>
      </c>
      <c r="AK73" s="390" t="s">
        <v>2037</v>
      </c>
      <c r="AL73" s="390" t="s">
        <v>2370</v>
      </c>
      <c r="AM73" s="390" t="s">
        <v>2370</v>
      </c>
      <c r="AS73" s="390" t="s">
        <v>2033</v>
      </c>
      <c r="AT73" s="390" t="s">
        <v>2033</v>
      </c>
      <c r="AU73" s="390" t="s">
        <v>2033</v>
      </c>
      <c r="AV73" s="390" t="s">
        <v>2033</v>
      </c>
      <c r="AW73" s="390" t="s">
        <v>2033</v>
      </c>
      <c r="AX73" s="390" t="s">
        <v>2033</v>
      </c>
      <c r="AY73" s="390" t="s">
        <v>2033</v>
      </c>
      <c r="AZ73" s="390" t="s">
        <v>2033</v>
      </c>
      <c r="BA73" s="390" t="s">
        <v>2033</v>
      </c>
      <c r="BB73" s="390" t="s">
        <v>2033</v>
      </c>
      <c r="BC73" s="390" t="s">
        <v>2033</v>
      </c>
      <c r="BD73" s="390" t="s">
        <v>2033</v>
      </c>
      <c r="BE73" s="390" t="s">
        <v>2034</v>
      </c>
      <c r="BF73" s="390" t="s">
        <v>2034</v>
      </c>
      <c r="BG73" s="390" t="s">
        <v>2034</v>
      </c>
      <c r="BH73" s="390" t="s">
        <v>2034</v>
      </c>
      <c r="BI73" s="390" t="s">
        <v>2034</v>
      </c>
      <c r="BJ73" s="390" t="s">
        <v>2034</v>
      </c>
      <c r="BK73" s="390" t="s">
        <v>2034</v>
      </c>
      <c r="BL73" s="390" t="s">
        <v>2034</v>
      </c>
      <c r="BM73" s="390" t="s">
        <v>2034</v>
      </c>
      <c r="BN73" s="390" t="s">
        <v>2034</v>
      </c>
      <c r="BO73" s="390" t="s">
        <v>2034</v>
      </c>
      <c r="BP73" s="390" t="s">
        <v>2034</v>
      </c>
      <c r="BQ73" s="390" t="s">
        <v>2034</v>
      </c>
      <c r="BR73" s="390" t="s">
        <v>2034</v>
      </c>
      <c r="BS73" s="390" t="s">
        <v>2034</v>
      </c>
      <c r="BY73" s="390" t="s">
        <v>2372</v>
      </c>
      <c r="BZ73" s="390" t="s">
        <v>2372</v>
      </c>
      <c r="CA73" s="390" t="s">
        <v>2372</v>
      </c>
      <c r="CB73" s="390" t="s">
        <v>2036</v>
      </c>
      <c r="CC73" s="390" t="s">
        <v>2036</v>
      </c>
      <c r="CD73" s="390" t="s">
        <v>2036</v>
      </c>
      <c r="CE73" s="390" t="s">
        <v>2036</v>
      </c>
      <c r="CF73" s="390" t="s">
        <v>2036</v>
      </c>
      <c r="CG73" s="390" t="s">
        <v>2359</v>
      </c>
      <c r="CH73" s="390" t="s">
        <v>2359</v>
      </c>
      <c r="CI73" s="390" t="s">
        <v>2359</v>
      </c>
      <c r="CJ73" s="390" t="s">
        <v>2359</v>
      </c>
      <c r="CK73" s="390" t="s">
        <v>2359</v>
      </c>
      <c r="BNR73" s="390" t="s">
        <v>2361</v>
      </c>
      <c r="BNS73" s="390" t="s">
        <v>2361</v>
      </c>
      <c r="BNT73" s="390" t="s">
        <v>2361</v>
      </c>
      <c r="BNU73" s="390" t="s">
        <v>2361</v>
      </c>
      <c r="BNV73" s="390" t="s">
        <v>2361</v>
      </c>
      <c r="BNW73" s="390" t="s">
        <v>2361</v>
      </c>
      <c r="BNX73" s="390" t="s">
        <v>2372</v>
      </c>
      <c r="BNY73" s="390" t="s">
        <v>2372</v>
      </c>
      <c r="BNZ73" s="390" t="s">
        <v>2372</v>
      </c>
      <c r="BOA73" s="390" t="s">
        <v>2372</v>
      </c>
      <c r="BOB73" s="390" t="s">
        <v>2372</v>
      </c>
      <c r="BOC73" s="390" t="s">
        <v>2372</v>
      </c>
      <c r="BOD73" s="390" t="s">
        <v>2362</v>
      </c>
      <c r="BOE73" s="390" t="s">
        <v>2362</v>
      </c>
      <c r="BOF73" s="390" t="s">
        <v>2362</v>
      </c>
      <c r="BOG73" s="390" t="s">
        <v>2362</v>
      </c>
      <c r="BOH73" s="390" t="s">
        <v>2362</v>
      </c>
      <c r="BOI73" s="390" t="s">
        <v>2362</v>
      </c>
      <c r="BOJ73" s="390" t="s">
        <v>2036</v>
      </c>
      <c r="BOK73" s="390" t="s">
        <v>2036</v>
      </c>
      <c r="BOL73" s="390" t="s">
        <v>2036</v>
      </c>
      <c r="BOM73" s="390" t="s">
        <v>2036</v>
      </c>
      <c r="BON73" s="390" t="s">
        <v>2036</v>
      </c>
      <c r="BOO73" s="390" t="s">
        <v>2036</v>
      </c>
    </row>
    <row r="74" spans="1:89 1638:1757" x14ac:dyDescent="0.25">
      <c r="A74" s="372">
        <v>5</v>
      </c>
      <c r="B74" s="372">
        <v>11</v>
      </c>
      <c r="C74" s="372">
        <v>12</v>
      </c>
      <c r="D74" s="372" t="s">
        <v>2374</v>
      </c>
      <c r="E74" s="372" t="s">
        <v>2435</v>
      </c>
      <c r="F74" s="372" t="s">
        <v>2435</v>
      </c>
      <c r="G74" s="372" t="s">
        <v>2395</v>
      </c>
      <c r="H74" s="372" t="s">
        <v>2435</v>
      </c>
      <c r="I74" s="372">
        <v>0</v>
      </c>
      <c r="J74" s="372">
        <v>3</v>
      </c>
      <c r="K74" s="372">
        <v>0</v>
      </c>
      <c r="L74" s="372">
        <v>5</v>
      </c>
      <c r="M74" s="359">
        <v>109</v>
      </c>
      <c r="N74" s="359" t="s">
        <v>870</v>
      </c>
      <c r="O74" s="237" t="s">
        <v>1519</v>
      </c>
      <c r="P74" s="237"/>
      <c r="Q74" s="360" t="s">
        <v>2237</v>
      </c>
      <c r="R74" s="361">
        <v>110144</v>
      </c>
      <c r="S74" s="368" t="s">
        <v>795</v>
      </c>
      <c r="T74" s="363">
        <v>9.1</v>
      </c>
      <c r="U74" s="364" t="s">
        <v>2238</v>
      </c>
      <c r="AH74" s="154" t="s">
        <v>2037</v>
      </c>
      <c r="AI74" s="154" t="s">
        <v>2037</v>
      </c>
      <c r="AJ74" s="154" t="s">
        <v>2037</v>
      </c>
      <c r="AK74" s="154" t="s">
        <v>2037</v>
      </c>
      <c r="AL74" s="154" t="s">
        <v>2370</v>
      </c>
      <c r="AS74" s="154" t="s">
        <v>2033</v>
      </c>
      <c r="AT74" s="154" t="s">
        <v>2033</v>
      </c>
      <c r="AU74" s="154" t="s">
        <v>2033</v>
      </c>
      <c r="AV74" s="154" t="s">
        <v>2033</v>
      </c>
      <c r="AW74" s="154" t="s">
        <v>2033</v>
      </c>
      <c r="AX74" s="154" t="s">
        <v>2033</v>
      </c>
      <c r="AY74" s="154" t="s">
        <v>2033</v>
      </c>
      <c r="AZ74" s="154" t="s">
        <v>2033</v>
      </c>
      <c r="BA74" s="154" t="s">
        <v>2033</v>
      </c>
      <c r="BB74" s="154" t="s">
        <v>2033</v>
      </c>
      <c r="BC74" s="154" t="s">
        <v>2033</v>
      </c>
      <c r="BD74" s="154" t="s">
        <v>2033</v>
      </c>
      <c r="BE74" s="154" t="s">
        <v>2034</v>
      </c>
      <c r="BF74" s="154" t="s">
        <v>2034</v>
      </c>
      <c r="BG74" s="154" t="s">
        <v>2034</v>
      </c>
      <c r="BH74" s="154" t="s">
        <v>2034</v>
      </c>
      <c r="BI74" s="154" t="s">
        <v>2034</v>
      </c>
      <c r="BJ74" s="154" t="s">
        <v>2034</v>
      </c>
      <c r="BK74" s="154" t="s">
        <v>2034</v>
      </c>
      <c r="BL74" s="154" t="s">
        <v>2034</v>
      </c>
      <c r="BM74" s="154" t="s">
        <v>2034</v>
      </c>
      <c r="BN74" s="154" t="s">
        <v>2034</v>
      </c>
      <c r="BO74" s="154" t="s">
        <v>2034</v>
      </c>
      <c r="BY74" s="154" t="s">
        <v>2372</v>
      </c>
      <c r="BZ74" s="154" t="s">
        <v>2372</v>
      </c>
      <c r="CA74" s="154" t="s">
        <v>2372</v>
      </c>
      <c r="CB74" s="154" t="s">
        <v>2036</v>
      </c>
      <c r="CC74" s="154" t="s">
        <v>2036</v>
      </c>
      <c r="CD74" s="154" t="s">
        <v>2036</v>
      </c>
      <c r="CE74" s="154" t="s">
        <v>2036</v>
      </c>
      <c r="CF74" s="154" t="s">
        <v>2036</v>
      </c>
      <c r="CG74" s="154" t="s">
        <v>2359</v>
      </c>
      <c r="CH74" s="154" t="s">
        <v>2359</v>
      </c>
      <c r="CI74" s="154" t="s">
        <v>2359</v>
      </c>
      <c r="CJ74" s="154" t="s">
        <v>2359</v>
      </c>
      <c r="CK74" s="154" t="s">
        <v>2359</v>
      </c>
    </row>
    <row r="75" spans="1:89 1638:1757" x14ac:dyDescent="0.25">
      <c r="A75" s="372">
        <v>5</v>
      </c>
      <c r="B75" s="372">
        <v>11</v>
      </c>
      <c r="C75" s="372">
        <v>12</v>
      </c>
      <c r="D75" s="372" t="s">
        <v>2374</v>
      </c>
      <c r="E75" s="372" t="s">
        <v>2435</v>
      </c>
      <c r="F75" s="372" t="s">
        <v>2435</v>
      </c>
      <c r="G75" s="372" t="s">
        <v>2396</v>
      </c>
      <c r="H75" s="372" t="s">
        <v>2435</v>
      </c>
      <c r="I75" s="372">
        <v>0</v>
      </c>
      <c r="J75" s="372">
        <v>3</v>
      </c>
      <c r="K75" s="372">
        <v>0</v>
      </c>
      <c r="L75" s="372">
        <v>5</v>
      </c>
      <c r="M75" s="359">
        <v>137</v>
      </c>
      <c r="N75" s="359" t="s">
        <v>873</v>
      </c>
      <c r="O75" s="237" t="s">
        <v>1519</v>
      </c>
      <c r="P75" s="237"/>
      <c r="Q75" s="360" t="s">
        <v>2239</v>
      </c>
      <c r="R75" s="361">
        <v>115266</v>
      </c>
      <c r="S75" s="368" t="s">
        <v>795</v>
      </c>
      <c r="T75" s="363">
        <v>9.1</v>
      </c>
      <c r="U75" s="364" t="s">
        <v>2240</v>
      </c>
      <c r="AH75" s="154" t="s">
        <v>2037</v>
      </c>
      <c r="AI75" s="154" t="s">
        <v>2037</v>
      </c>
      <c r="AJ75" s="154" t="s">
        <v>2037</v>
      </c>
      <c r="AK75" s="154" t="s">
        <v>2037</v>
      </c>
      <c r="AL75" s="154" t="s">
        <v>2370</v>
      </c>
      <c r="AS75" s="154" t="s">
        <v>2033</v>
      </c>
      <c r="AT75" s="154" t="s">
        <v>2033</v>
      </c>
      <c r="AU75" s="154" t="s">
        <v>2033</v>
      </c>
      <c r="AV75" s="154" t="s">
        <v>2033</v>
      </c>
      <c r="AW75" s="154" t="s">
        <v>2033</v>
      </c>
      <c r="AX75" s="154" t="s">
        <v>2033</v>
      </c>
      <c r="AY75" s="154" t="s">
        <v>2033</v>
      </c>
      <c r="AZ75" s="154" t="s">
        <v>2033</v>
      </c>
      <c r="BA75" s="154" t="s">
        <v>2033</v>
      </c>
      <c r="BB75" s="154" t="s">
        <v>2033</v>
      </c>
      <c r="BC75" s="154" t="s">
        <v>2033</v>
      </c>
      <c r="BD75" s="154" t="s">
        <v>2033</v>
      </c>
      <c r="BE75" s="154" t="s">
        <v>2034</v>
      </c>
      <c r="BF75" s="154" t="s">
        <v>2034</v>
      </c>
      <c r="BG75" s="154" t="s">
        <v>2034</v>
      </c>
      <c r="BH75" s="154" t="s">
        <v>2034</v>
      </c>
      <c r="BI75" s="154" t="s">
        <v>2034</v>
      </c>
      <c r="BJ75" s="154" t="s">
        <v>2034</v>
      </c>
      <c r="BK75" s="154" t="s">
        <v>2034</v>
      </c>
      <c r="BL75" s="154" t="s">
        <v>2034</v>
      </c>
      <c r="BM75" s="154" t="s">
        <v>2034</v>
      </c>
      <c r="BN75" s="154" t="s">
        <v>2034</v>
      </c>
      <c r="BO75" s="154" t="s">
        <v>2034</v>
      </c>
      <c r="BY75" s="154" t="s">
        <v>2372</v>
      </c>
      <c r="BZ75" s="154" t="s">
        <v>2372</v>
      </c>
      <c r="CA75" s="154" t="s">
        <v>2372</v>
      </c>
      <c r="CB75" s="154" t="s">
        <v>2036</v>
      </c>
      <c r="CC75" s="154" t="s">
        <v>2036</v>
      </c>
      <c r="CD75" s="154" t="s">
        <v>2036</v>
      </c>
      <c r="CE75" s="154" t="s">
        <v>2036</v>
      </c>
      <c r="CF75" s="154" t="s">
        <v>2036</v>
      </c>
      <c r="CG75" s="154" t="s">
        <v>2359</v>
      </c>
      <c r="CH75" s="154" t="s">
        <v>2359</v>
      </c>
      <c r="CI75" s="154" t="s">
        <v>2359</v>
      </c>
      <c r="CJ75" s="154" t="s">
        <v>2359</v>
      </c>
      <c r="CK75" s="154" t="s">
        <v>2359</v>
      </c>
    </row>
    <row r="76" spans="1:89 1638:1757" x14ac:dyDescent="0.25">
      <c r="A76" s="373">
        <v>5</v>
      </c>
      <c r="B76" s="373">
        <v>11</v>
      </c>
      <c r="C76" s="373">
        <v>12</v>
      </c>
      <c r="D76" s="373" t="s">
        <v>2774</v>
      </c>
      <c r="E76" s="373" t="s">
        <v>2435</v>
      </c>
      <c r="F76" s="373" t="s">
        <v>2435</v>
      </c>
      <c r="G76" s="373" t="s">
        <v>2393</v>
      </c>
      <c r="H76" s="373" t="s">
        <v>2435</v>
      </c>
      <c r="I76" s="373">
        <v>0</v>
      </c>
      <c r="J76" s="373">
        <v>3</v>
      </c>
      <c r="K76" s="373">
        <v>0</v>
      </c>
      <c r="L76" s="373">
        <v>5</v>
      </c>
      <c r="M76" s="366">
        <v>90</v>
      </c>
      <c r="N76" s="367" t="s">
        <v>876</v>
      </c>
      <c r="O76" s="237" t="s">
        <v>1519</v>
      </c>
      <c r="P76" s="374"/>
      <c r="Q76" s="375" t="s">
        <v>877</v>
      </c>
      <c r="R76" s="376">
        <v>112785</v>
      </c>
      <c r="S76" s="377" t="s">
        <v>795</v>
      </c>
      <c r="T76" s="378">
        <v>8.6999999999999993</v>
      </c>
      <c r="U76" s="379" t="s">
        <v>878</v>
      </c>
      <c r="AH76" s="154" t="s">
        <v>2037</v>
      </c>
      <c r="AI76" s="154" t="s">
        <v>2037</v>
      </c>
      <c r="AJ76" s="154" t="s">
        <v>2037</v>
      </c>
      <c r="AK76" s="154" t="s">
        <v>2037</v>
      </c>
      <c r="AL76" s="154" t="s">
        <v>2370</v>
      </c>
      <c r="AM76" s="154" t="s">
        <v>2370</v>
      </c>
      <c r="AS76" s="154" t="s">
        <v>2033</v>
      </c>
      <c r="AT76" s="154" t="s">
        <v>2033</v>
      </c>
      <c r="AU76" s="154" t="s">
        <v>2033</v>
      </c>
      <c r="AV76" s="154" t="s">
        <v>2033</v>
      </c>
      <c r="AW76" s="154" t="s">
        <v>2033</v>
      </c>
      <c r="AX76" s="154" t="s">
        <v>2033</v>
      </c>
      <c r="AY76" s="154" t="s">
        <v>2033</v>
      </c>
      <c r="AZ76" s="154" t="s">
        <v>2033</v>
      </c>
      <c r="BA76" s="154" t="s">
        <v>2033</v>
      </c>
      <c r="BB76" s="154" t="s">
        <v>2033</v>
      </c>
      <c r="BC76" s="154" t="s">
        <v>2033</v>
      </c>
      <c r="BD76" s="154" t="s">
        <v>2033</v>
      </c>
      <c r="BE76" s="154" t="s">
        <v>2034</v>
      </c>
      <c r="BF76" s="154" t="s">
        <v>2034</v>
      </c>
      <c r="BG76" s="154" t="s">
        <v>2034</v>
      </c>
      <c r="BH76" s="154" t="s">
        <v>2034</v>
      </c>
      <c r="BI76" s="154" t="s">
        <v>2034</v>
      </c>
      <c r="BJ76" s="154" t="s">
        <v>2034</v>
      </c>
      <c r="BK76" s="154" t="s">
        <v>2034</v>
      </c>
      <c r="BL76" s="154" t="s">
        <v>2034</v>
      </c>
      <c r="BM76" s="154" t="s">
        <v>2034</v>
      </c>
      <c r="BN76" s="154" t="s">
        <v>2034</v>
      </c>
      <c r="BO76" s="154" t="s">
        <v>2034</v>
      </c>
      <c r="BY76" s="154" t="s">
        <v>2372</v>
      </c>
      <c r="BZ76" s="154" t="s">
        <v>2372</v>
      </c>
      <c r="CA76" s="154" t="s">
        <v>2372</v>
      </c>
      <c r="CB76" s="154" t="s">
        <v>2036</v>
      </c>
      <c r="CC76" s="154" t="s">
        <v>2036</v>
      </c>
      <c r="CD76" s="154" t="s">
        <v>2036</v>
      </c>
      <c r="CE76" s="154" t="s">
        <v>2036</v>
      </c>
      <c r="CF76" s="154" t="s">
        <v>2036</v>
      </c>
      <c r="CG76" s="154" t="s">
        <v>2359</v>
      </c>
      <c r="CH76" s="154" t="s">
        <v>2359</v>
      </c>
      <c r="CI76" s="154" t="s">
        <v>2359</v>
      </c>
      <c r="CJ76" s="154" t="s">
        <v>2359</v>
      </c>
      <c r="CK76" s="154" t="s">
        <v>2359</v>
      </c>
    </row>
    <row r="77" spans="1:89 1638:1757" x14ac:dyDescent="0.25">
      <c r="A77" s="373">
        <v>5</v>
      </c>
      <c r="B77" s="373">
        <v>11</v>
      </c>
      <c r="C77" s="373">
        <v>12</v>
      </c>
      <c r="D77" s="373" t="s">
        <v>2774</v>
      </c>
      <c r="E77" s="373" t="s">
        <v>2435</v>
      </c>
      <c r="F77" s="373" t="s">
        <v>2435</v>
      </c>
      <c r="G77" s="373" t="s">
        <v>2394</v>
      </c>
      <c r="H77" s="373" t="s">
        <v>2435</v>
      </c>
      <c r="I77" s="373">
        <v>0</v>
      </c>
      <c r="J77" s="373">
        <v>3</v>
      </c>
      <c r="K77" s="373">
        <v>0</v>
      </c>
      <c r="L77" s="373">
        <v>5</v>
      </c>
      <c r="M77" s="366">
        <v>106</v>
      </c>
      <c r="N77" s="367" t="s">
        <v>879</v>
      </c>
      <c r="O77" s="237" t="s">
        <v>1519</v>
      </c>
      <c r="P77" s="374"/>
      <c r="Q77" s="375" t="s">
        <v>880</v>
      </c>
      <c r="R77" s="376">
        <v>115799</v>
      </c>
      <c r="S77" s="377" t="s">
        <v>795</v>
      </c>
      <c r="T77" s="378">
        <v>8.6999999999999993</v>
      </c>
      <c r="U77" s="379" t="s">
        <v>881</v>
      </c>
      <c r="AH77" s="154" t="s">
        <v>2037</v>
      </c>
      <c r="AI77" s="154" t="s">
        <v>2037</v>
      </c>
      <c r="AJ77" s="154" t="s">
        <v>2037</v>
      </c>
      <c r="AK77" s="154" t="s">
        <v>2037</v>
      </c>
      <c r="AL77" s="154" t="s">
        <v>2370</v>
      </c>
      <c r="AM77" s="154" t="s">
        <v>2370</v>
      </c>
      <c r="AS77" s="154" t="s">
        <v>2033</v>
      </c>
      <c r="AT77" s="154" t="s">
        <v>2033</v>
      </c>
      <c r="AU77" s="154" t="s">
        <v>2033</v>
      </c>
      <c r="AV77" s="154" t="s">
        <v>2033</v>
      </c>
      <c r="AW77" s="154" t="s">
        <v>2033</v>
      </c>
      <c r="AX77" s="154" t="s">
        <v>2033</v>
      </c>
      <c r="AY77" s="154" t="s">
        <v>2033</v>
      </c>
      <c r="AZ77" s="154" t="s">
        <v>2033</v>
      </c>
      <c r="BA77" s="154" t="s">
        <v>2033</v>
      </c>
      <c r="BB77" s="154" t="s">
        <v>2033</v>
      </c>
      <c r="BC77" s="154" t="s">
        <v>2033</v>
      </c>
      <c r="BD77" s="154" t="s">
        <v>2033</v>
      </c>
      <c r="BE77" s="154" t="s">
        <v>2034</v>
      </c>
      <c r="BF77" s="154" t="s">
        <v>2034</v>
      </c>
      <c r="BG77" s="154" t="s">
        <v>2034</v>
      </c>
      <c r="BH77" s="154" t="s">
        <v>2034</v>
      </c>
      <c r="BI77" s="154" t="s">
        <v>2034</v>
      </c>
      <c r="BJ77" s="154" t="s">
        <v>2034</v>
      </c>
      <c r="BK77" s="154" t="s">
        <v>2034</v>
      </c>
      <c r="BL77" s="154" t="s">
        <v>2034</v>
      </c>
      <c r="BM77" s="154" t="s">
        <v>2034</v>
      </c>
      <c r="BN77" s="154" t="s">
        <v>2034</v>
      </c>
      <c r="BO77" s="154" t="s">
        <v>2034</v>
      </c>
      <c r="BY77" s="154" t="s">
        <v>2372</v>
      </c>
      <c r="BZ77" s="154" t="s">
        <v>2372</v>
      </c>
      <c r="CA77" s="154" t="s">
        <v>2372</v>
      </c>
      <c r="CB77" s="154" t="s">
        <v>2036</v>
      </c>
      <c r="CC77" s="154" t="s">
        <v>2036</v>
      </c>
      <c r="CD77" s="154" t="s">
        <v>2036</v>
      </c>
      <c r="CE77" s="154" t="s">
        <v>2036</v>
      </c>
      <c r="CF77" s="154" t="s">
        <v>2036</v>
      </c>
      <c r="CG77" s="154" t="s">
        <v>2359</v>
      </c>
      <c r="CH77" s="154" t="s">
        <v>2359</v>
      </c>
      <c r="CI77" s="154" t="s">
        <v>2359</v>
      </c>
      <c r="CJ77" s="154" t="s">
        <v>2359</v>
      </c>
      <c r="CK77" s="154" t="s">
        <v>2359</v>
      </c>
    </row>
    <row r="78" spans="1:89 1638:1757" x14ac:dyDescent="0.25">
      <c r="A78" s="373">
        <v>5</v>
      </c>
      <c r="B78" s="373">
        <v>11</v>
      </c>
      <c r="C78" s="373">
        <v>12</v>
      </c>
      <c r="D78" s="373" t="s">
        <v>2774</v>
      </c>
      <c r="E78" s="373" t="s">
        <v>2435</v>
      </c>
      <c r="F78" s="373" t="s">
        <v>2435</v>
      </c>
      <c r="G78" s="373" t="s">
        <v>2395</v>
      </c>
      <c r="H78" s="373" t="s">
        <v>2435</v>
      </c>
      <c r="I78" s="373">
        <v>0</v>
      </c>
      <c r="J78" s="373">
        <v>3</v>
      </c>
      <c r="K78" s="373">
        <v>0</v>
      </c>
      <c r="L78" s="373">
        <v>5</v>
      </c>
      <c r="M78" s="366">
        <v>126</v>
      </c>
      <c r="N78" s="367" t="s">
        <v>882</v>
      </c>
      <c r="O78" s="237" t="s">
        <v>1519</v>
      </c>
      <c r="P78" s="374"/>
      <c r="Q78" s="375" t="s">
        <v>883</v>
      </c>
      <c r="R78" s="376">
        <v>116884</v>
      </c>
      <c r="S78" s="377" t="s">
        <v>795</v>
      </c>
      <c r="T78" s="378">
        <v>8.9</v>
      </c>
      <c r="U78" s="379" t="s">
        <v>884</v>
      </c>
      <c r="AH78" s="154" t="s">
        <v>2037</v>
      </c>
      <c r="AI78" s="154" t="s">
        <v>2037</v>
      </c>
      <c r="AJ78" s="154" t="s">
        <v>2037</v>
      </c>
      <c r="AK78" s="154" t="s">
        <v>2037</v>
      </c>
      <c r="AL78" s="154" t="s">
        <v>2370</v>
      </c>
      <c r="AM78" s="154" t="s">
        <v>2370</v>
      </c>
      <c r="AS78" s="154" t="s">
        <v>2033</v>
      </c>
      <c r="AT78" s="154" t="s">
        <v>2033</v>
      </c>
      <c r="AU78" s="154" t="s">
        <v>2033</v>
      </c>
      <c r="AV78" s="154" t="s">
        <v>2033</v>
      </c>
      <c r="AW78" s="154" t="s">
        <v>2033</v>
      </c>
      <c r="AX78" s="154" t="s">
        <v>2033</v>
      </c>
      <c r="AY78" s="154" t="s">
        <v>2033</v>
      </c>
      <c r="AZ78" s="154" t="s">
        <v>2033</v>
      </c>
      <c r="BA78" s="154" t="s">
        <v>2033</v>
      </c>
      <c r="BB78" s="154" t="s">
        <v>2033</v>
      </c>
      <c r="BC78" s="154" t="s">
        <v>2033</v>
      </c>
      <c r="BD78" s="154" t="s">
        <v>2033</v>
      </c>
      <c r="BE78" s="154" t="s">
        <v>2034</v>
      </c>
      <c r="BF78" s="154" t="s">
        <v>2034</v>
      </c>
      <c r="BG78" s="154" t="s">
        <v>2034</v>
      </c>
      <c r="BH78" s="154" t="s">
        <v>2034</v>
      </c>
      <c r="BI78" s="154" t="s">
        <v>2034</v>
      </c>
      <c r="BJ78" s="154" t="s">
        <v>2034</v>
      </c>
      <c r="BK78" s="154" t="s">
        <v>2034</v>
      </c>
      <c r="BL78" s="154" t="s">
        <v>2034</v>
      </c>
      <c r="BM78" s="154" t="s">
        <v>2034</v>
      </c>
      <c r="BN78" s="154" t="s">
        <v>2034</v>
      </c>
      <c r="BO78" s="154" t="s">
        <v>2034</v>
      </c>
      <c r="BY78" s="154" t="s">
        <v>2372</v>
      </c>
      <c r="BZ78" s="154" t="s">
        <v>2372</v>
      </c>
      <c r="CA78" s="154" t="s">
        <v>2372</v>
      </c>
      <c r="CB78" s="154" t="s">
        <v>2036</v>
      </c>
      <c r="CC78" s="154" t="s">
        <v>2036</v>
      </c>
      <c r="CD78" s="154" t="s">
        <v>2036</v>
      </c>
      <c r="CE78" s="154" t="s">
        <v>2036</v>
      </c>
      <c r="CF78" s="154" t="s">
        <v>2036</v>
      </c>
      <c r="CG78" s="154" t="s">
        <v>2359</v>
      </c>
      <c r="CH78" s="154" t="s">
        <v>2359</v>
      </c>
      <c r="CI78" s="154" t="s">
        <v>2359</v>
      </c>
      <c r="CJ78" s="154" t="s">
        <v>2359</v>
      </c>
      <c r="CK78" s="154" t="s">
        <v>2359</v>
      </c>
    </row>
    <row r="79" spans="1:89 1638:1757" x14ac:dyDescent="0.25">
      <c r="A79" s="373">
        <v>5</v>
      </c>
      <c r="B79" s="373">
        <v>11</v>
      </c>
      <c r="C79" s="373">
        <v>12</v>
      </c>
      <c r="D79" s="373" t="s">
        <v>2774</v>
      </c>
      <c r="E79" s="373" t="s">
        <v>2435</v>
      </c>
      <c r="F79" s="373" t="s">
        <v>2435</v>
      </c>
      <c r="G79" s="373" t="s">
        <v>2396</v>
      </c>
      <c r="H79" s="373" t="s">
        <v>2435</v>
      </c>
      <c r="I79" s="373">
        <v>0</v>
      </c>
      <c r="J79" s="373">
        <v>3</v>
      </c>
      <c r="K79" s="373">
        <v>0</v>
      </c>
      <c r="L79" s="373">
        <v>5</v>
      </c>
      <c r="M79" s="366">
        <v>154</v>
      </c>
      <c r="N79" s="367" t="s">
        <v>885</v>
      </c>
      <c r="O79" s="237" t="s">
        <v>1519</v>
      </c>
      <c r="P79" s="374"/>
      <c r="Q79" s="375" t="s">
        <v>886</v>
      </c>
      <c r="R79" s="376">
        <v>122322</v>
      </c>
      <c r="S79" s="377" t="s">
        <v>795</v>
      </c>
      <c r="T79" s="378">
        <v>8.9</v>
      </c>
      <c r="U79" s="379" t="s">
        <v>887</v>
      </c>
      <c r="AH79" s="154" t="s">
        <v>2037</v>
      </c>
      <c r="AI79" s="154" t="s">
        <v>2037</v>
      </c>
      <c r="AJ79" s="154" t="s">
        <v>2037</v>
      </c>
      <c r="AK79" s="154" t="s">
        <v>2037</v>
      </c>
      <c r="AL79" s="154" t="s">
        <v>2370</v>
      </c>
      <c r="AM79" s="154" t="s">
        <v>2370</v>
      </c>
      <c r="AS79" s="154" t="s">
        <v>2033</v>
      </c>
      <c r="AT79" s="154" t="s">
        <v>2033</v>
      </c>
      <c r="AU79" s="154" t="s">
        <v>2033</v>
      </c>
      <c r="AV79" s="154" t="s">
        <v>2033</v>
      </c>
      <c r="AW79" s="154" t="s">
        <v>2033</v>
      </c>
      <c r="AX79" s="154" t="s">
        <v>2033</v>
      </c>
      <c r="AY79" s="154" t="s">
        <v>2033</v>
      </c>
      <c r="AZ79" s="154" t="s">
        <v>2033</v>
      </c>
      <c r="BA79" s="154" t="s">
        <v>2033</v>
      </c>
      <c r="BB79" s="154" t="s">
        <v>2033</v>
      </c>
      <c r="BC79" s="154" t="s">
        <v>2033</v>
      </c>
      <c r="BD79" s="154" t="s">
        <v>2033</v>
      </c>
      <c r="BE79" s="154" t="s">
        <v>2034</v>
      </c>
      <c r="BF79" s="154" t="s">
        <v>2034</v>
      </c>
      <c r="BG79" s="154" t="s">
        <v>2034</v>
      </c>
      <c r="BH79" s="154" t="s">
        <v>2034</v>
      </c>
      <c r="BI79" s="154" t="s">
        <v>2034</v>
      </c>
      <c r="BJ79" s="154" t="s">
        <v>2034</v>
      </c>
      <c r="BK79" s="154" t="s">
        <v>2034</v>
      </c>
      <c r="BL79" s="154" t="s">
        <v>2034</v>
      </c>
      <c r="BM79" s="154" t="s">
        <v>2034</v>
      </c>
      <c r="BN79" s="154" t="s">
        <v>2034</v>
      </c>
      <c r="BO79" s="154" t="s">
        <v>2034</v>
      </c>
      <c r="BY79" s="154" t="s">
        <v>2372</v>
      </c>
      <c r="BZ79" s="154" t="s">
        <v>2372</v>
      </c>
      <c r="CA79" s="154" t="s">
        <v>2372</v>
      </c>
      <c r="CB79" s="154" t="s">
        <v>2036</v>
      </c>
      <c r="CC79" s="154" t="s">
        <v>2036</v>
      </c>
      <c r="CD79" s="154" t="s">
        <v>2036</v>
      </c>
      <c r="CE79" s="154" t="s">
        <v>2036</v>
      </c>
      <c r="CF79" s="154" t="s">
        <v>2036</v>
      </c>
      <c r="CG79" s="154" t="s">
        <v>2359</v>
      </c>
      <c r="CH79" s="154" t="s">
        <v>2359</v>
      </c>
      <c r="CI79" s="154" t="s">
        <v>2359</v>
      </c>
      <c r="CJ79" s="154" t="s">
        <v>2359</v>
      </c>
      <c r="CK79" s="154" t="s">
        <v>2359</v>
      </c>
    </row>
    <row r="80" spans="1:89 1638:1757" x14ac:dyDescent="0.25">
      <c r="A80" s="373">
        <v>5</v>
      </c>
      <c r="B80" s="373">
        <v>11</v>
      </c>
      <c r="C80" s="373">
        <v>12</v>
      </c>
      <c r="D80" s="373" t="s">
        <v>2775</v>
      </c>
      <c r="E80" s="373" t="s">
        <v>2435</v>
      </c>
      <c r="F80" s="373" t="s">
        <v>2435</v>
      </c>
      <c r="G80" s="373" t="s">
        <v>2393</v>
      </c>
      <c r="H80" s="373" t="s">
        <v>2435</v>
      </c>
      <c r="I80" s="373">
        <v>0</v>
      </c>
      <c r="J80" s="373">
        <v>3</v>
      </c>
      <c r="K80" s="373">
        <v>0</v>
      </c>
      <c r="L80" s="373">
        <v>5</v>
      </c>
      <c r="M80" s="366">
        <v>100</v>
      </c>
      <c r="N80" s="367" t="s">
        <v>888</v>
      </c>
      <c r="O80" s="237" t="s">
        <v>1519</v>
      </c>
      <c r="P80" s="374"/>
      <c r="Q80" s="375" t="s">
        <v>889</v>
      </c>
      <c r="R80" s="376">
        <v>115897</v>
      </c>
      <c r="S80" s="377" t="s">
        <v>795</v>
      </c>
      <c r="T80" s="378">
        <v>8.6999999999999993</v>
      </c>
      <c r="U80" s="379" t="s">
        <v>890</v>
      </c>
      <c r="AH80" s="154" t="s">
        <v>2037</v>
      </c>
      <c r="AI80" s="154" t="s">
        <v>2037</v>
      </c>
      <c r="AJ80" s="154" t="s">
        <v>2037</v>
      </c>
      <c r="AK80" s="154" t="s">
        <v>2037</v>
      </c>
      <c r="AL80" s="154" t="s">
        <v>2370</v>
      </c>
      <c r="AM80" s="154" t="s">
        <v>2370</v>
      </c>
      <c r="AN80" s="154" t="s">
        <v>2370</v>
      </c>
      <c r="AS80" s="154" t="s">
        <v>2033</v>
      </c>
      <c r="AT80" s="154" t="s">
        <v>2033</v>
      </c>
      <c r="AU80" s="154" t="s">
        <v>2033</v>
      </c>
      <c r="AV80" s="154" t="s">
        <v>2033</v>
      </c>
      <c r="AW80" s="154" t="s">
        <v>2033</v>
      </c>
      <c r="AX80" s="154" t="s">
        <v>2033</v>
      </c>
      <c r="AY80" s="154" t="s">
        <v>2033</v>
      </c>
      <c r="AZ80" s="154" t="s">
        <v>2033</v>
      </c>
      <c r="BA80" s="154" t="s">
        <v>2033</v>
      </c>
      <c r="BB80" s="154" t="s">
        <v>2033</v>
      </c>
      <c r="BC80" s="154" t="s">
        <v>2033</v>
      </c>
      <c r="BD80" s="154" t="s">
        <v>2033</v>
      </c>
      <c r="BE80" s="154" t="s">
        <v>2034</v>
      </c>
      <c r="BF80" s="154" t="s">
        <v>2034</v>
      </c>
      <c r="BG80" s="154" t="s">
        <v>2034</v>
      </c>
      <c r="BH80" s="154" t="s">
        <v>2034</v>
      </c>
      <c r="BI80" s="154" t="s">
        <v>2034</v>
      </c>
      <c r="BJ80" s="154" t="s">
        <v>2034</v>
      </c>
      <c r="BK80" s="154" t="s">
        <v>2034</v>
      </c>
      <c r="BL80" s="154" t="s">
        <v>2034</v>
      </c>
      <c r="BM80" s="154" t="s">
        <v>2034</v>
      </c>
      <c r="BN80" s="154" t="s">
        <v>2034</v>
      </c>
      <c r="BO80" s="154" t="s">
        <v>2034</v>
      </c>
      <c r="BY80" s="154" t="s">
        <v>2372</v>
      </c>
      <c r="BZ80" s="154" t="s">
        <v>2372</v>
      </c>
      <c r="CA80" s="154" t="s">
        <v>2372</v>
      </c>
      <c r="CB80" s="154" t="s">
        <v>2036</v>
      </c>
      <c r="CC80" s="154" t="s">
        <v>2036</v>
      </c>
      <c r="CD80" s="154" t="s">
        <v>2036</v>
      </c>
      <c r="CE80" s="154" t="s">
        <v>2036</v>
      </c>
      <c r="CF80" s="154" t="s">
        <v>2036</v>
      </c>
      <c r="CG80" s="154" t="s">
        <v>2359</v>
      </c>
      <c r="CH80" s="154" t="s">
        <v>2359</v>
      </c>
      <c r="CI80" s="154" t="s">
        <v>2359</v>
      </c>
      <c r="CJ80" s="154" t="s">
        <v>2359</v>
      </c>
      <c r="CK80" s="154" t="s">
        <v>2359</v>
      </c>
    </row>
    <row r="81" spans="1:92" x14ac:dyDescent="0.25">
      <c r="A81" s="373">
        <v>5</v>
      </c>
      <c r="B81" s="373">
        <v>11</v>
      </c>
      <c r="C81" s="373">
        <v>12</v>
      </c>
      <c r="D81" s="373" t="s">
        <v>2775</v>
      </c>
      <c r="E81" s="373" t="s">
        <v>2435</v>
      </c>
      <c r="F81" s="373" t="s">
        <v>2435</v>
      </c>
      <c r="G81" s="373" t="s">
        <v>2394</v>
      </c>
      <c r="H81" s="373" t="s">
        <v>2435</v>
      </c>
      <c r="I81" s="373">
        <v>0</v>
      </c>
      <c r="J81" s="373">
        <v>3</v>
      </c>
      <c r="K81" s="373">
        <v>0</v>
      </c>
      <c r="L81" s="373">
        <v>5</v>
      </c>
      <c r="M81" s="366">
        <v>116</v>
      </c>
      <c r="N81" s="367" t="s">
        <v>891</v>
      </c>
      <c r="O81" s="237" t="s">
        <v>1519</v>
      </c>
      <c r="P81" s="374"/>
      <c r="Q81" s="375" t="s">
        <v>892</v>
      </c>
      <c r="R81" s="376">
        <v>118935</v>
      </c>
      <c r="S81" s="377" t="s">
        <v>795</v>
      </c>
      <c r="T81" s="378">
        <v>8.6999999999999993</v>
      </c>
      <c r="U81" s="379" t="s">
        <v>893</v>
      </c>
      <c r="AH81" s="154" t="s">
        <v>2037</v>
      </c>
      <c r="AI81" s="154" t="s">
        <v>2037</v>
      </c>
      <c r="AJ81" s="154" t="s">
        <v>2037</v>
      </c>
      <c r="AK81" s="154" t="s">
        <v>2037</v>
      </c>
      <c r="AL81" s="154" t="s">
        <v>2370</v>
      </c>
      <c r="AM81" s="154" t="s">
        <v>2370</v>
      </c>
      <c r="AN81" s="154" t="s">
        <v>2370</v>
      </c>
      <c r="AS81" s="154" t="s">
        <v>2033</v>
      </c>
      <c r="AT81" s="154" t="s">
        <v>2033</v>
      </c>
      <c r="AU81" s="154" t="s">
        <v>2033</v>
      </c>
      <c r="AV81" s="154" t="s">
        <v>2033</v>
      </c>
      <c r="AW81" s="154" t="s">
        <v>2033</v>
      </c>
      <c r="AX81" s="154" t="s">
        <v>2033</v>
      </c>
      <c r="AY81" s="154" t="s">
        <v>2033</v>
      </c>
      <c r="AZ81" s="154" t="s">
        <v>2033</v>
      </c>
      <c r="BA81" s="154" t="s">
        <v>2033</v>
      </c>
      <c r="BB81" s="154" t="s">
        <v>2033</v>
      </c>
      <c r="BC81" s="154" t="s">
        <v>2033</v>
      </c>
      <c r="BD81" s="154" t="s">
        <v>2033</v>
      </c>
      <c r="BE81" s="154" t="s">
        <v>2034</v>
      </c>
      <c r="BF81" s="154" t="s">
        <v>2034</v>
      </c>
      <c r="BG81" s="154" t="s">
        <v>2034</v>
      </c>
      <c r="BH81" s="154" t="s">
        <v>2034</v>
      </c>
      <c r="BI81" s="154" t="s">
        <v>2034</v>
      </c>
      <c r="BJ81" s="154" t="s">
        <v>2034</v>
      </c>
      <c r="BK81" s="154" t="s">
        <v>2034</v>
      </c>
      <c r="BL81" s="154" t="s">
        <v>2034</v>
      </c>
      <c r="BM81" s="154" t="s">
        <v>2034</v>
      </c>
      <c r="BN81" s="154" t="s">
        <v>2034</v>
      </c>
      <c r="BO81" s="154" t="s">
        <v>2034</v>
      </c>
      <c r="BY81" s="154" t="s">
        <v>2372</v>
      </c>
      <c r="BZ81" s="154" t="s">
        <v>2372</v>
      </c>
      <c r="CA81" s="154" t="s">
        <v>2372</v>
      </c>
      <c r="CB81" s="154" t="s">
        <v>2036</v>
      </c>
      <c r="CC81" s="154" t="s">
        <v>2036</v>
      </c>
      <c r="CD81" s="154" t="s">
        <v>2036</v>
      </c>
      <c r="CE81" s="154" t="s">
        <v>2036</v>
      </c>
      <c r="CF81" s="154" t="s">
        <v>2036</v>
      </c>
      <c r="CG81" s="154" t="s">
        <v>2359</v>
      </c>
      <c r="CH81" s="154" t="s">
        <v>2359</v>
      </c>
      <c r="CI81" s="154" t="s">
        <v>2359</v>
      </c>
      <c r="CJ81" s="154" t="s">
        <v>2359</v>
      </c>
      <c r="CK81" s="154" t="s">
        <v>2359</v>
      </c>
    </row>
    <row r="82" spans="1:92" x14ac:dyDescent="0.25">
      <c r="A82" s="373">
        <v>5</v>
      </c>
      <c r="B82" s="373">
        <v>11</v>
      </c>
      <c r="C82" s="373">
        <v>12</v>
      </c>
      <c r="D82" s="373" t="s">
        <v>2775</v>
      </c>
      <c r="E82" s="373" t="s">
        <v>2435</v>
      </c>
      <c r="F82" s="373" t="s">
        <v>2435</v>
      </c>
      <c r="G82" s="373" t="s">
        <v>2395</v>
      </c>
      <c r="H82" s="373" t="s">
        <v>2435</v>
      </c>
      <c r="I82" s="373">
        <v>0</v>
      </c>
      <c r="J82" s="373">
        <v>3</v>
      </c>
      <c r="K82" s="373">
        <v>0</v>
      </c>
      <c r="L82" s="373">
        <v>5</v>
      </c>
      <c r="M82" s="366">
        <v>136</v>
      </c>
      <c r="N82" s="367" t="s">
        <v>894</v>
      </c>
      <c r="O82" s="237" t="s">
        <v>1519</v>
      </c>
      <c r="P82" s="374"/>
      <c r="Q82" s="375" t="s">
        <v>895</v>
      </c>
      <c r="R82" s="376">
        <v>120044</v>
      </c>
      <c r="S82" s="377" t="s">
        <v>795</v>
      </c>
      <c r="T82" s="378">
        <v>8.9</v>
      </c>
      <c r="U82" s="379" t="s">
        <v>896</v>
      </c>
      <c r="AH82" s="154" t="s">
        <v>2037</v>
      </c>
      <c r="AI82" s="154" t="s">
        <v>2037</v>
      </c>
      <c r="AJ82" s="154" t="s">
        <v>2037</v>
      </c>
      <c r="AK82" s="154" t="s">
        <v>2037</v>
      </c>
      <c r="AL82" s="154" t="s">
        <v>2370</v>
      </c>
      <c r="AM82" s="154" t="s">
        <v>2370</v>
      </c>
      <c r="AN82" s="154" t="s">
        <v>2370</v>
      </c>
      <c r="AS82" s="154" t="s">
        <v>2033</v>
      </c>
      <c r="AT82" s="154" t="s">
        <v>2033</v>
      </c>
      <c r="AU82" s="154" t="s">
        <v>2033</v>
      </c>
      <c r="AV82" s="154" t="s">
        <v>2033</v>
      </c>
      <c r="AW82" s="154" t="s">
        <v>2033</v>
      </c>
      <c r="AX82" s="154" t="s">
        <v>2033</v>
      </c>
      <c r="AY82" s="154" t="s">
        <v>2033</v>
      </c>
      <c r="AZ82" s="154" t="s">
        <v>2033</v>
      </c>
      <c r="BA82" s="154" t="s">
        <v>2033</v>
      </c>
      <c r="BB82" s="154" t="s">
        <v>2033</v>
      </c>
      <c r="BC82" s="154" t="s">
        <v>2033</v>
      </c>
      <c r="BD82" s="154" t="s">
        <v>2033</v>
      </c>
      <c r="BE82" s="154" t="s">
        <v>2034</v>
      </c>
      <c r="BF82" s="154" t="s">
        <v>2034</v>
      </c>
      <c r="BG82" s="154" t="s">
        <v>2034</v>
      </c>
      <c r="BH82" s="154" t="s">
        <v>2034</v>
      </c>
      <c r="BI82" s="154" t="s">
        <v>2034</v>
      </c>
      <c r="BJ82" s="154" t="s">
        <v>2034</v>
      </c>
      <c r="BK82" s="154" t="s">
        <v>2034</v>
      </c>
      <c r="BL82" s="154" t="s">
        <v>2034</v>
      </c>
      <c r="BM82" s="154" t="s">
        <v>2034</v>
      </c>
      <c r="BN82" s="154" t="s">
        <v>2034</v>
      </c>
      <c r="BO82" s="154" t="s">
        <v>2034</v>
      </c>
      <c r="BY82" s="154" t="s">
        <v>2372</v>
      </c>
      <c r="BZ82" s="154" t="s">
        <v>2372</v>
      </c>
      <c r="CA82" s="154" t="s">
        <v>2372</v>
      </c>
      <c r="CB82" s="154" t="s">
        <v>2036</v>
      </c>
      <c r="CC82" s="154" t="s">
        <v>2036</v>
      </c>
      <c r="CD82" s="154" t="s">
        <v>2036</v>
      </c>
      <c r="CE82" s="154" t="s">
        <v>2036</v>
      </c>
      <c r="CF82" s="154" t="s">
        <v>2036</v>
      </c>
      <c r="CG82" s="154" t="s">
        <v>2359</v>
      </c>
      <c r="CH82" s="154" t="s">
        <v>2359</v>
      </c>
      <c r="CI82" s="154" t="s">
        <v>2359</v>
      </c>
      <c r="CJ82" s="154" t="s">
        <v>2359</v>
      </c>
      <c r="CK82" s="154" t="s">
        <v>2359</v>
      </c>
    </row>
    <row r="83" spans="1:92" x14ac:dyDescent="0.25">
      <c r="A83" s="373">
        <v>5</v>
      </c>
      <c r="B83" s="373">
        <v>11</v>
      </c>
      <c r="C83" s="373">
        <v>12</v>
      </c>
      <c r="D83" s="373" t="s">
        <v>2775</v>
      </c>
      <c r="E83" s="373" t="s">
        <v>2435</v>
      </c>
      <c r="F83" s="373" t="s">
        <v>2435</v>
      </c>
      <c r="G83" s="373" t="s">
        <v>2396</v>
      </c>
      <c r="H83" s="373" t="s">
        <v>2435</v>
      </c>
      <c r="I83" s="373">
        <v>0</v>
      </c>
      <c r="J83" s="373">
        <v>3</v>
      </c>
      <c r="K83" s="373">
        <v>0</v>
      </c>
      <c r="L83" s="373">
        <v>5</v>
      </c>
      <c r="M83" s="366">
        <v>164</v>
      </c>
      <c r="N83" s="367" t="s">
        <v>897</v>
      </c>
      <c r="O83" s="237" t="s">
        <v>1519</v>
      </c>
      <c r="P83" s="374"/>
      <c r="Q83" s="375" t="s">
        <v>898</v>
      </c>
      <c r="R83" s="376">
        <v>125507</v>
      </c>
      <c r="S83" s="377" t="s">
        <v>795</v>
      </c>
      <c r="T83" s="378">
        <v>8.9</v>
      </c>
      <c r="U83" s="379" t="s">
        <v>899</v>
      </c>
      <c r="AH83" s="154" t="s">
        <v>2037</v>
      </c>
      <c r="AI83" s="154" t="s">
        <v>2037</v>
      </c>
      <c r="AJ83" s="154" t="s">
        <v>2037</v>
      </c>
      <c r="AK83" s="154" t="s">
        <v>2037</v>
      </c>
      <c r="AL83" s="154" t="s">
        <v>2370</v>
      </c>
      <c r="AM83" s="154" t="s">
        <v>2370</v>
      </c>
      <c r="AN83" s="154" t="s">
        <v>2370</v>
      </c>
      <c r="AS83" s="154" t="s">
        <v>2033</v>
      </c>
      <c r="AT83" s="154" t="s">
        <v>2033</v>
      </c>
      <c r="AU83" s="154" t="s">
        <v>2033</v>
      </c>
      <c r="AV83" s="154" t="s">
        <v>2033</v>
      </c>
      <c r="AW83" s="154" t="s">
        <v>2033</v>
      </c>
      <c r="AX83" s="154" t="s">
        <v>2033</v>
      </c>
      <c r="AY83" s="154" t="s">
        <v>2033</v>
      </c>
      <c r="AZ83" s="154" t="s">
        <v>2033</v>
      </c>
      <c r="BA83" s="154" t="s">
        <v>2033</v>
      </c>
      <c r="BB83" s="154" t="s">
        <v>2033</v>
      </c>
      <c r="BC83" s="154" t="s">
        <v>2033</v>
      </c>
      <c r="BD83" s="154" t="s">
        <v>2033</v>
      </c>
      <c r="BE83" s="154" t="s">
        <v>2034</v>
      </c>
      <c r="BF83" s="154" t="s">
        <v>2034</v>
      </c>
      <c r="BG83" s="154" t="s">
        <v>2034</v>
      </c>
      <c r="BH83" s="154" t="s">
        <v>2034</v>
      </c>
      <c r="BI83" s="154" t="s">
        <v>2034</v>
      </c>
      <c r="BJ83" s="154" t="s">
        <v>2034</v>
      </c>
      <c r="BK83" s="154" t="s">
        <v>2034</v>
      </c>
      <c r="BL83" s="154" t="s">
        <v>2034</v>
      </c>
      <c r="BM83" s="154" t="s">
        <v>2034</v>
      </c>
      <c r="BN83" s="154" t="s">
        <v>2034</v>
      </c>
      <c r="BO83" s="154" t="s">
        <v>2034</v>
      </c>
      <c r="BY83" s="154" t="s">
        <v>2372</v>
      </c>
      <c r="BZ83" s="154" t="s">
        <v>2372</v>
      </c>
      <c r="CA83" s="154" t="s">
        <v>2372</v>
      </c>
      <c r="CB83" s="154" t="s">
        <v>2036</v>
      </c>
      <c r="CC83" s="154" t="s">
        <v>2036</v>
      </c>
      <c r="CD83" s="154" t="s">
        <v>2036</v>
      </c>
      <c r="CE83" s="154" t="s">
        <v>2036</v>
      </c>
      <c r="CF83" s="154" t="s">
        <v>2036</v>
      </c>
      <c r="CG83" s="154" t="s">
        <v>2359</v>
      </c>
      <c r="CH83" s="154" t="s">
        <v>2359</v>
      </c>
      <c r="CI83" s="154" t="s">
        <v>2359</v>
      </c>
      <c r="CJ83" s="154" t="s">
        <v>2359</v>
      </c>
      <c r="CK83" s="154" t="s">
        <v>2359</v>
      </c>
    </row>
    <row r="84" spans="1:92" x14ac:dyDescent="0.25">
      <c r="A84" s="372">
        <v>6</v>
      </c>
      <c r="B84" s="372">
        <v>11</v>
      </c>
      <c r="C84" s="372">
        <v>16</v>
      </c>
      <c r="D84" s="372" t="s">
        <v>2374</v>
      </c>
      <c r="E84" s="372" t="s">
        <v>2435</v>
      </c>
      <c r="F84" s="372" t="s">
        <v>2435</v>
      </c>
      <c r="G84" s="372" t="s">
        <v>2397</v>
      </c>
      <c r="H84" s="372" t="s">
        <v>2435</v>
      </c>
      <c r="I84" s="372">
        <v>0</v>
      </c>
      <c r="J84" s="372">
        <v>3</v>
      </c>
      <c r="K84" s="372">
        <v>0</v>
      </c>
      <c r="L84" s="372">
        <v>7</v>
      </c>
      <c r="M84" s="359">
        <v>89</v>
      </c>
      <c r="N84" s="359" t="s">
        <v>900</v>
      </c>
      <c r="O84" s="237" t="s">
        <v>1519</v>
      </c>
      <c r="P84" s="237" t="s">
        <v>1497</v>
      </c>
      <c r="Q84" s="360" t="s">
        <v>2241</v>
      </c>
      <c r="R84" s="361">
        <v>128160</v>
      </c>
      <c r="S84" s="368" t="s">
        <v>902</v>
      </c>
      <c r="T84" s="370">
        <v>10.199999999999999</v>
      </c>
      <c r="U84" s="364" t="s">
        <v>2242</v>
      </c>
      <c r="AH84" s="154" t="s">
        <v>2037</v>
      </c>
      <c r="AI84" s="154" t="s">
        <v>2037</v>
      </c>
      <c r="AJ84" s="154" t="s">
        <v>2037</v>
      </c>
      <c r="AK84" s="154" t="s">
        <v>2037</v>
      </c>
      <c r="AL84" s="154" t="s">
        <v>2037</v>
      </c>
      <c r="AM84" s="154" t="s">
        <v>2370</v>
      </c>
      <c r="AS84" s="154" t="s">
        <v>2033</v>
      </c>
      <c r="AT84" s="154" t="s">
        <v>2033</v>
      </c>
      <c r="AU84" s="154" t="s">
        <v>2033</v>
      </c>
      <c r="AV84" s="154" t="s">
        <v>2033</v>
      </c>
      <c r="AW84" s="154" t="s">
        <v>2033</v>
      </c>
      <c r="AX84" s="154" t="s">
        <v>2033</v>
      </c>
      <c r="AY84" s="154" t="s">
        <v>2033</v>
      </c>
      <c r="AZ84" s="154" t="s">
        <v>2033</v>
      </c>
      <c r="BA84" s="154" t="s">
        <v>2033</v>
      </c>
      <c r="BB84" s="154" t="s">
        <v>2033</v>
      </c>
      <c r="BC84" s="154" t="s">
        <v>2033</v>
      </c>
      <c r="BD84" s="154" t="s">
        <v>2033</v>
      </c>
      <c r="BE84" s="154" t="s">
        <v>2033</v>
      </c>
      <c r="BF84" s="154" t="s">
        <v>2033</v>
      </c>
      <c r="BG84" s="154" t="s">
        <v>2033</v>
      </c>
      <c r="BH84" s="154" t="s">
        <v>2033</v>
      </c>
      <c r="BI84" s="154" t="s">
        <v>2034</v>
      </c>
      <c r="BJ84" s="154" t="s">
        <v>2034</v>
      </c>
      <c r="BK84" s="154" t="s">
        <v>2034</v>
      </c>
      <c r="BL84" s="154" t="s">
        <v>2034</v>
      </c>
      <c r="BM84" s="154" t="s">
        <v>2034</v>
      </c>
      <c r="BN84" s="154" t="s">
        <v>2034</v>
      </c>
      <c r="BO84" s="154" t="s">
        <v>2034</v>
      </c>
      <c r="BP84" s="154" t="s">
        <v>2034</v>
      </c>
      <c r="BQ84" s="154" t="s">
        <v>2034</v>
      </c>
      <c r="BR84" s="154" t="s">
        <v>2034</v>
      </c>
      <c r="BS84" s="154" t="s">
        <v>2034</v>
      </c>
      <c r="BY84" s="154" t="s">
        <v>2372</v>
      </c>
      <c r="BZ84" s="154" t="s">
        <v>2372</v>
      </c>
      <c r="CA84" s="154" t="s">
        <v>2372</v>
      </c>
      <c r="CB84" s="154" t="s">
        <v>2036</v>
      </c>
      <c r="CC84" s="154" t="s">
        <v>2036</v>
      </c>
      <c r="CD84" s="154" t="s">
        <v>2036</v>
      </c>
      <c r="CE84" s="154" t="s">
        <v>2036</v>
      </c>
      <c r="CF84" s="154" t="s">
        <v>2036</v>
      </c>
      <c r="CG84" s="154" t="s">
        <v>2036</v>
      </c>
      <c r="CH84" s="154" t="s">
        <v>2036</v>
      </c>
      <c r="CI84" s="154" t="s">
        <v>2359</v>
      </c>
      <c r="CJ84" s="154" t="s">
        <v>2359</v>
      </c>
      <c r="CK84" s="154" t="s">
        <v>2359</v>
      </c>
      <c r="CL84" s="154" t="s">
        <v>2359</v>
      </c>
      <c r="CM84" s="154" t="s">
        <v>2359</v>
      </c>
      <c r="CN84" s="154" t="s">
        <v>2359</v>
      </c>
    </row>
    <row r="85" spans="1:92" x14ac:dyDescent="0.25">
      <c r="A85" s="372">
        <v>6</v>
      </c>
      <c r="B85" s="372">
        <v>11</v>
      </c>
      <c r="C85" s="372">
        <v>16</v>
      </c>
      <c r="D85" s="372" t="s">
        <v>2374</v>
      </c>
      <c r="E85" s="372" t="s">
        <v>2435</v>
      </c>
      <c r="F85" s="372" t="s">
        <v>2435</v>
      </c>
      <c r="G85" s="372" t="s">
        <v>2398</v>
      </c>
      <c r="H85" s="372" t="s">
        <v>2435</v>
      </c>
      <c r="I85" s="372">
        <v>0</v>
      </c>
      <c r="J85" s="372">
        <v>3</v>
      </c>
      <c r="K85" s="372">
        <v>0</v>
      </c>
      <c r="L85" s="372">
        <v>7</v>
      </c>
      <c r="M85" s="359">
        <v>109</v>
      </c>
      <c r="N85" s="359" t="s">
        <v>904</v>
      </c>
      <c r="O85" s="237" t="s">
        <v>1519</v>
      </c>
      <c r="P85" s="237" t="s">
        <v>1497</v>
      </c>
      <c r="Q85" s="360" t="s">
        <v>2243</v>
      </c>
      <c r="R85" s="361">
        <v>131469</v>
      </c>
      <c r="S85" s="368" t="s">
        <v>902</v>
      </c>
      <c r="T85" s="370">
        <v>10.199999999999999</v>
      </c>
      <c r="U85" s="364" t="s">
        <v>2244</v>
      </c>
      <c r="AH85" s="154" t="s">
        <v>2037</v>
      </c>
      <c r="AI85" s="154" t="s">
        <v>2037</v>
      </c>
      <c r="AJ85" s="154" t="s">
        <v>2037</v>
      </c>
      <c r="AK85" s="154" t="s">
        <v>2037</v>
      </c>
      <c r="AL85" s="154" t="s">
        <v>2037</v>
      </c>
      <c r="AM85" s="154" t="s">
        <v>2370</v>
      </c>
      <c r="AS85" s="154" t="s">
        <v>2033</v>
      </c>
      <c r="AT85" s="154" t="s">
        <v>2033</v>
      </c>
      <c r="AU85" s="154" t="s">
        <v>2033</v>
      </c>
      <c r="AV85" s="154" t="s">
        <v>2033</v>
      </c>
      <c r="AW85" s="154" t="s">
        <v>2033</v>
      </c>
      <c r="AX85" s="154" t="s">
        <v>2033</v>
      </c>
      <c r="AY85" s="154" t="s">
        <v>2033</v>
      </c>
      <c r="AZ85" s="154" t="s">
        <v>2033</v>
      </c>
      <c r="BA85" s="154" t="s">
        <v>2033</v>
      </c>
      <c r="BB85" s="154" t="s">
        <v>2033</v>
      </c>
      <c r="BC85" s="154" t="s">
        <v>2033</v>
      </c>
      <c r="BD85" s="154" t="s">
        <v>2033</v>
      </c>
      <c r="BE85" s="154" t="s">
        <v>2033</v>
      </c>
      <c r="BF85" s="154" t="s">
        <v>2033</v>
      </c>
      <c r="BG85" s="154" t="s">
        <v>2033</v>
      </c>
      <c r="BH85" s="154" t="s">
        <v>2033</v>
      </c>
      <c r="BI85" s="154" t="s">
        <v>2034</v>
      </c>
      <c r="BJ85" s="154" t="s">
        <v>2034</v>
      </c>
      <c r="BK85" s="154" t="s">
        <v>2034</v>
      </c>
      <c r="BL85" s="154" t="s">
        <v>2034</v>
      </c>
      <c r="BM85" s="154" t="s">
        <v>2034</v>
      </c>
      <c r="BN85" s="154" t="s">
        <v>2034</v>
      </c>
      <c r="BO85" s="154" t="s">
        <v>2034</v>
      </c>
      <c r="BP85" s="154" t="s">
        <v>2034</v>
      </c>
      <c r="BQ85" s="154" t="s">
        <v>2034</v>
      </c>
      <c r="BR85" s="154" t="s">
        <v>2034</v>
      </c>
      <c r="BS85" s="154" t="s">
        <v>2034</v>
      </c>
      <c r="BY85" s="154" t="s">
        <v>2372</v>
      </c>
      <c r="BZ85" s="154" t="s">
        <v>2372</v>
      </c>
      <c r="CA85" s="154" t="s">
        <v>2372</v>
      </c>
      <c r="CB85" s="154" t="s">
        <v>2036</v>
      </c>
      <c r="CC85" s="154" t="s">
        <v>2036</v>
      </c>
      <c r="CD85" s="154" t="s">
        <v>2036</v>
      </c>
      <c r="CE85" s="154" t="s">
        <v>2036</v>
      </c>
      <c r="CF85" s="154" t="s">
        <v>2036</v>
      </c>
      <c r="CG85" s="154" t="s">
        <v>2036</v>
      </c>
      <c r="CH85" s="154" t="s">
        <v>2036</v>
      </c>
      <c r="CI85" s="154" t="s">
        <v>2359</v>
      </c>
      <c r="CJ85" s="154" t="s">
        <v>2359</v>
      </c>
      <c r="CK85" s="154" t="s">
        <v>2359</v>
      </c>
      <c r="CL85" s="154" t="s">
        <v>2359</v>
      </c>
      <c r="CM85" s="154" t="s">
        <v>2359</v>
      </c>
      <c r="CN85" s="154" t="s">
        <v>2359</v>
      </c>
    </row>
    <row r="86" spans="1:92" x14ac:dyDescent="0.25">
      <c r="A86" s="372">
        <v>4</v>
      </c>
      <c r="B86" s="372">
        <v>7</v>
      </c>
      <c r="C86" s="372">
        <v>8</v>
      </c>
      <c r="D86" s="372" t="s">
        <v>2399</v>
      </c>
      <c r="E86" s="372" t="s">
        <v>2435</v>
      </c>
      <c r="F86" s="372" t="s">
        <v>2435</v>
      </c>
      <c r="G86" s="372" t="s">
        <v>2435</v>
      </c>
      <c r="H86" s="372" t="s">
        <v>2435</v>
      </c>
      <c r="I86" s="372">
        <v>4</v>
      </c>
      <c r="J86" s="372">
        <v>0</v>
      </c>
      <c r="K86" s="372">
        <v>0</v>
      </c>
      <c r="L86" s="372">
        <v>0</v>
      </c>
      <c r="M86" s="359">
        <v>68</v>
      </c>
      <c r="N86" s="359" t="s">
        <v>907</v>
      </c>
      <c r="O86" s="237" t="s">
        <v>1515</v>
      </c>
      <c r="P86" s="237"/>
      <c r="Q86" s="360" t="s">
        <v>2245</v>
      </c>
      <c r="R86" s="361">
        <v>106675</v>
      </c>
      <c r="S86" s="368" t="s">
        <v>902</v>
      </c>
      <c r="T86" s="370">
        <v>10.4</v>
      </c>
      <c r="U86" s="364" t="s">
        <v>2246</v>
      </c>
      <c r="AH86" s="154" t="s">
        <v>2370</v>
      </c>
      <c r="AI86" s="154" t="s">
        <v>2370</v>
      </c>
      <c r="AJ86" s="154" t="s">
        <v>2370</v>
      </c>
      <c r="AK86" s="154" t="s">
        <v>2370</v>
      </c>
      <c r="AS86" s="154" t="s">
        <v>2033</v>
      </c>
      <c r="AT86" s="154" t="s">
        <v>2033</v>
      </c>
      <c r="AU86" s="154" t="s">
        <v>2033</v>
      </c>
      <c r="AV86" s="154" t="s">
        <v>2033</v>
      </c>
      <c r="AW86" s="154" t="s">
        <v>2033</v>
      </c>
      <c r="AX86" s="154" t="s">
        <v>2033</v>
      </c>
      <c r="AY86" s="154" t="s">
        <v>2033</v>
      </c>
      <c r="AZ86" s="154" t="s">
        <v>2033</v>
      </c>
      <c r="BA86" s="154" t="s">
        <v>2034</v>
      </c>
      <c r="BB86" s="154" t="s">
        <v>2034</v>
      </c>
      <c r="BC86" s="154" t="s">
        <v>2034</v>
      </c>
      <c r="BD86" s="154" t="s">
        <v>2034</v>
      </c>
      <c r="BE86" s="154" t="s">
        <v>2034</v>
      </c>
      <c r="BF86" s="154" t="s">
        <v>2034</v>
      </c>
      <c r="BG86" s="154" t="s">
        <v>2034</v>
      </c>
      <c r="BY86" s="154" t="s">
        <v>2361</v>
      </c>
      <c r="BZ86" s="154" t="s">
        <v>2361</v>
      </c>
      <c r="CA86" s="154" t="s">
        <v>2361</v>
      </c>
      <c r="CB86" s="154" t="s">
        <v>2361</v>
      </c>
      <c r="CC86" s="154" t="s">
        <v>2359</v>
      </c>
      <c r="CD86" s="154" t="s">
        <v>2359</v>
      </c>
      <c r="CE86" s="154" t="s">
        <v>2359</v>
      </c>
      <c r="CF86" s="154" t="s">
        <v>2359</v>
      </c>
    </row>
    <row r="87" spans="1:92" x14ac:dyDescent="0.25">
      <c r="A87" s="372">
        <v>4</v>
      </c>
      <c r="B87" s="372">
        <v>7</v>
      </c>
      <c r="C87" s="372">
        <v>8</v>
      </c>
      <c r="D87" s="372" t="s">
        <v>2400</v>
      </c>
      <c r="E87" s="372" t="s">
        <v>2435</v>
      </c>
      <c r="F87" s="372" t="s">
        <v>2435</v>
      </c>
      <c r="G87" s="372" t="s">
        <v>2435</v>
      </c>
      <c r="H87" s="372" t="s">
        <v>2435</v>
      </c>
      <c r="I87" s="372">
        <v>4</v>
      </c>
      <c r="J87" s="372">
        <v>0</v>
      </c>
      <c r="K87" s="372">
        <v>0</v>
      </c>
      <c r="L87" s="372">
        <v>0</v>
      </c>
      <c r="M87" s="359">
        <v>92</v>
      </c>
      <c r="N87" s="359" t="s">
        <v>910</v>
      </c>
      <c r="O87" s="237" t="s">
        <v>1515</v>
      </c>
      <c r="P87" s="237"/>
      <c r="Q87" s="360" t="s">
        <v>2247</v>
      </c>
      <c r="R87" s="361">
        <v>109721</v>
      </c>
      <c r="S87" s="368" t="s">
        <v>902</v>
      </c>
      <c r="T87" s="370">
        <v>10.4</v>
      </c>
      <c r="U87" s="364" t="s">
        <v>2248</v>
      </c>
      <c r="AH87" s="154" t="s">
        <v>2370</v>
      </c>
      <c r="AI87" s="154" t="s">
        <v>2370</v>
      </c>
      <c r="AJ87" s="154" t="s">
        <v>2370</v>
      </c>
      <c r="AK87" s="154" t="s">
        <v>2370</v>
      </c>
      <c r="AS87" s="154" t="s">
        <v>2033</v>
      </c>
      <c r="AT87" s="154" t="s">
        <v>2033</v>
      </c>
      <c r="AU87" s="154" t="s">
        <v>2033</v>
      </c>
      <c r="AV87" s="154" t="s">
        <v>2033</v>
      </c>
      <c r="AW87" s="154" t="s">
        <v>2033</v>
      </c>
      <c r="AX87" s="154" t="s">
        <v>2033</v>
      </c>
      <c r="AY87" s="154" t="s">
        <v>2033</v>
      </c>
      <c r="AZ87" s="154" t="s">
        <v>2033</v>
      </c>
      <c r="BA87" s="154" t="s">
        <v>2034</v>
      </c>
      <c r="BB87" s="154" t="s">
        <v>2034</v>
      </c>
      <c r="BC87" s="154" t="s">
        <v>2034</v>
      </c>
      <c r="BD87" s="154" t="s">
        <v>2034</v>
      </c>
      <c r="BE87" s="154" t="s">
        <v>2034</v>
      </c>
      <c r="BF87" s="154" t="s">
        <v>2034</v>
      </c>
      <c r="BG87" s="154" t="s">
        <v>2034</v>
      </c>
      <c r="BY87" s="154" t="s">
        <v>2361</v>
      </c>
      <c r="BZ87" s="154" t="s">
        <v>2361</v>
      </c>
      <c r="CA87" s="154" t="s">
        <v>2361</v>
      </c>
      <c r="CB87" s="154" t="s">
        <v>2361</v>
      </c>
      <c r="CC87" s="154" t="s">
        <v>2359</v>
      </c>
      <c r="CD87" s="154" t="s">
        <v>2359</v>
      </c>
      <c r="CE87" s="154" t="s">
        <v>2359</v>
      </c>
      <c r="CF87" s="154" t="s">
        <v>2359</v>
      </c>
    </row>
    <row r="88" spans="1:92" x14ac:dyDescent="0.25">
      <c r="A88" s="372">
        <v>4</v>
      </c>
      <c r="B88" s="372">
        <v>7</v>
      </c>
      <c r="C88" s="372">
        <v>8</v>
      </c>
      <c r="D88" s="372" t="s">
        <v>2395</v>
      </c>
      <c r="E88" s="372" t="s">
        <v>2435</v>
      </c>
      <c r="F88" s="372" t="s">
        <v>2435</v>
      </c>
      <c r="G88" s="372" t="s">
        <v>2435</v>
      </c>
      <c r="H88" s="372" t="s">
        <v>2435</v>
      </c>
      <c r="I88" s="372">
        <v>4</v>
      </c>
      <c r="J88" s="372">
        <v>0</v>
      </c>
      <c r="K88" s="372">
        <v>0</v>
      </c>
      <c r="L88" s="372">
        <v>0</v>
      </c>
      <c r="M88" s="359">
        <v>120</v>
      </c>
      <c r="N88" s="359" t="s">
        <v>913</v>
      </c>
      <c r="O88" s="237" t="s">
        <v>1515</v>
      </c>
      <c r="P88" s="237"/>
      <c r="Q88" s="360" t="s">
        <v>2249</v>
      </c>
      <c r="R88" s="361">
        <v>116202</v>
      </c>
      <c r="S88" s="368" t="s">
        <v>902</v>
      </c>
      <c r="T88" s="370">
        <v>10.7</v>
      </c>
      <c r="U88" s="364" t="s">
        <v>2250</v>
      </c>
      <c r="AH88" s="154" t="s">
        <v>2370</v>
      </c>
      <c r="AI88" s="154" t="s">
        <v>2370</v>
      </c>
      <c r="AJ88" s="154" t="s">
        <v>2370</v>
      </c>
      <c r="AK88" s="154" t="s">
        <v>2370</v>
      </c>
      <c r="AS88" s="154" t="s">
        <v>2033</v>
      </c>
      <c r="AT88" s="154" t="s">
        <v>2033</v>
      </c>
      <c r="AU88" s="154" t="s">
        <v>2033</v>
      </c>
      <c r="AV88" s="154" t="s">
        <v>2033</v>
      </c>
      <c r="AW88" s="154" t="s">
        <v>2033</v>
      </c>
      <c r="AX88" s="154" t="s">
        <v>2033</v>
      </c>
      <c r="AY88" s="154" t="s">
        <v>2033</v>
      </c>
      <c r="AZ88" s="154" t="s">
        <v>2033</v>
      </c>
      <c r="BA88" s="154" t="s">
        <v>2034</v>
      </c>
      <c r="BB88" s="154" t="s">
        <v>2034</v>
      </c>
      <c r="BC88" s="154" t="s">
        <v>2034</v>
      </c>
      <c r="BD88" s="154" t="s">
        <v>2034</v>
      </c>
      <c r="BE88" s="154" t="s">
        <v>2034</v>
      </c>
      <c r="BF88" s="154" t="s">
        <v>2034</v>
      </c>
      <c r="BG88" s="154" t="s">
        <v>2034</v>
      </c>
      <c r="BY88" s="154" t="s">
        <v>2361</v>
      </c>
      <c r="BZ88" s="154" t="s">
        <v>2361</v>
      </c>
      <c r="CA88" s="154" t="s">
        <v>2361</v>
      </c>
      <c r="CB88" s="154" t="s">
        <v>2361</v>
      </c>
      <c r="CC88" s="154" t="s">
        <v>2359</v>
      </c>
      <c r="CD88" s="154" t="s">
        <v>2359</v>
      </c>
      <c r="CE88" s="154" t="s">
        <v>2359</v>
      </c>
      <c r="CF88" s="154" t="s">
        <v>2359</v>
      </c>
    </row>
    <row r="89" spans="1:92" x14ac:dyDescent="0.25">
      <c r="A89" s="372">
        <v>4</v>
      </c>
      <c r="B89" s="372">
        <v>7</v>
      </c>
      <c r="C89" s="372">
        <v>8</v>
      </c>
      <c r="D89" s="372" t="s">
        <v>2396</v>
      </c>
      <c r="E89" s="372" t="s">
        <v>2435</v>
      </c>
      <c r="F89" s="372" t="s">
        <v>2435</v>
      </c>
      <c r="G89" s="372" t="s">
        <v>2435</v>
      </c>
      <c r="H89" s="372" t="s">
        <v>2435</v>
      </c>
      <c r="I89" s="372">
        <v>4</v>
      </c>
      <c r="J89" s="372">
        <v>0</v>
      </c>
      <c r="K89" s="372">
        <v>0</v>
      </c>
      <c r="L89" s="372">
        <v>0</v>
      </c>
      <c r="M89" s="359">
        <v>148</v>
      </c>
      <c r="N89" s="359" t="s">
        <v>916</v>
      </c>
      <c r="O89" s="237" t="s">
        <v>1515</v>
      </c>
      <c r="P89" s="237"/>
      <c r="Q89" s="360" t="s">
        <v>2251</v>
      </c>
      <c r="R89" s="361">
        <v>123496</v>
      </c>
      <c r="S89" s="368" t="s">
        <v>902</v>
      </c>
      <c r="T89" s="370">
        <v>10.7</v>
      </c>
      <c r="U89" s="364" t="s">
        <v>2252</v>
      </c>
      <c r="AH89" s="154" t="s">
        <v>2370</v>
      </c>
      <c r="AI89" s="154" t="s">
        <v>2370</v>
      </c>
      <c r="AJ89" s="154" t="s">
        <v>2370</v>
      </c>
      <c r="AK89" s="154" t="s">
        <v>2370</v>
      </c>
      <c r="AS89" s="154" t="s">
        <v>2033</v>
      </c>
      <c r="AT89" s="154" t="s">
        <v>2033</v>
      </c>
      <c r="AU89" s="154" t="s">
        <v>2033</v>
      </c>
      <c r="AV89" s="154" t="s">
        <v>2033</v>
      </c>
      <c r="AW89" s="154" t="s">
        <v>2033</v>
      </c>
      <c r="AX89" s="154" t="s">
        <v>2033</v>
      </c>
      <c r="AY89" s="154" t="s">
        <v>2033</v>
      </c>
      <c r="AZ89" s="154" t="s">
        <v>2033</v>
      </c>
      <c r="BA89" s="154" t="s">
        <v>2034</v>
      </c>
      <c r="BB89" s="154" t="s">
        <v>2034</v>
      </c>
      <c r="BC89" s="154" t="s">
        <v>2034</v>
      </c>
      <c r="BD89" s="154" t="s">
        <v>2034</v>
      </c>
      <c r="BE89" s="154" t="s">
        <v>2034</v>
      </c>
      <c r="BF89" s="154" t="s">
        <v>2034</v>
      </c>
      <c r="BG89" s="154" t="s">
        <v>2034</v>
      </c>
      <c r="BY89" s="154" t="s">
        <v>2361</v>
      </c>
      <c r="BZ89" s="154" t="s">
        <v>2361</v>
      </c>
      <c r="CA89" s="154" t="s">
        <v>2361</v>
      </c>
      <c r="CB89" s="154" t="s">
        <v>2361</v>
      </c>
      <c r="CC89" s="154" t="s">
        <v>2359</v>
      </c>
      <c r="CD89" s="154" t="s">
        <v>2359</v>
      </c>
      <c r="CE89" s="154" t="s">
        <v>2359</v>
      </c>
      <c r="CF89" s="154" t="s">
        <v>2359</v>
      </c>
    </row>
    <row r="90" spans="1:92" x14ac:dyDescent="0.25">
      <c r="A90" s="372">
        <v>5</v>
      </c>
      <c r="B90" s="372">
        <v>7</v>
      </c>
      <c r="C90" s="372">
        <v>12</v>
      </c>
      <c r="D90" s="372" t="s">
        <v>2401</v>
      </c>
      <c r="E90" s="372" t="s">
        <v>2435</v>
      </c>
      <c r="F90" s="372" t="s">
        <v>2435</v>
      </c>
      <c r="G90" s="372" t="s">
        <v>2435</v>
      </c>
      <c r="H90" s="372" t="s">
        <v>2435</v>
      </c>
      <c r="I90" s="372">
        <v>5</v>
      </c>
      <c r="J90" s="372">
        <v>0</v>
      </c>
      <c r="K90" s="372">
        <v>0</v>
      </c>
      <c r="L90" s="372">
        <v>0</v>
      </c>
      <c r="M90" s="359">
        <v>85</v>
      </c>
      <c r="N90" s="359" t="s">
        <v>919</v>
      </c>
      <c r="O90" s="237" t="s">
        <v>1519</v>
      </c>
      <c r="P90" s="237"/>
      <c r="Q90" s="360" t="s">
        <v>2253</v>
      </c>
      <c r="R90" s="361">
        <v>133758</v>
      </c>
      <c r="S90" s="368" t="s">
        <v>902</v>
      </c>
      <c r="T90" s="370">
        <v>11.4</v>
      </c>
      <c r="U90" s="364" t="s">
        <v>2254</v>
      </c>
      <c r="AH90" s="154" t="s">
        <v>2370</v>
      </c>
      <c r="AI90" s="154" t="s">
        <v>2370</v>
      </c>
      <c r="AJ90" s="154" t="s">
        <v>2370</v>
      </c>
      <c r="AK90" s="154" t="s">
        <v>2370</v>
      </c>
      <c r="AL90" s="154" t="s">
        <v>2370</v>
      </c>
      <c r="AS90" s="154" t="s">
        <v>2033</v>
      </c>
      <c r="AT90" s="154" t="s">
        <v>2033</v>
      </c>
      <c r="AU90" s="154" t="s">
        <v>2033</v>
      </c>
      <c r="AV90" s="154" t="s">
        <v>2033</v>
      </c>
      <c r="AW90" s="154" t="s">
        <v>2033</v>
      </c>
      <c r="AX90" s="154" t="s">
        <v>2033</v>
      </c>
      <c r="AY90" s="154" t="s">
        <v>2033</v>
      </c>
      <c r="AZ90" s="154" t="s">
        <v>2033</v>
      </c>
      <c r="BA90" s="154" t="s">
        <v>2033</v>
      </c>
      <c r="BB90" s="154" t="s">
        <v>2033</v>
      </c>
      <c r="BC90" s="154" t="s">
        <v>2033</v>
      </c>
      <c r="BD90" s="154" t="s">
        <v>2033</v>
      </c>
      <c r="BE90" s="154" t="s">
        <v>2034</v>
      </c>
      <c r="BF90" s="154" t="s">
        <v>2034</v>
      </c>
      <c r="BG90" s="154" t="s">
        <v>2034</v>
      </c>
      <c r="BH90" s="154" t="s">
        <v>2034</v>
      </c>
      <c r="BI90" s="154" t="s">
        <v>2034</v>
      </c>
      <c r="BJ90" s="154" t="s">
        <v>2034</v>
      </c>
      <c r="BK90" s="154" t="s">
        <v>2034</v>
      </c>
      <c r="BY90" s="154" t="s">
        <v>2361</v>
      </c>
      <c r="BZ90" s="154" t="s">
        <v>2361</v>
      </c>
      <c r="CA90" s="154" t="s">
        <v>2361</v>
      </c>
      <c r="CB90" s="154" t="s">
        <v>2361</v>
      </c>
      <c r="CC90" s="154" t="s">
        <v>2361</v>
      </c>
      <c r="CD90" s="154" t="s">
        <v>2359</v>
      </c>
      <c r="CE90" s="154" t="s">
        <v>2359</v>
      </c>
      <c r="CF90" s="154" t="s">
        <v>2359</v>
      </c>
      <c r="CG90" s="154" t="s">
        <v>2359</v>
      </c>
      <c r="CH90" s="154" t="s">
        <v>2359</v>
      </c>
    </row>
    <row r="91" spans="1:92" x14ac:dyDescent="0.25">
      <c r="A91" s="372">
        <v>5</v>
      </c>
      <c r="B91" s="372">
        <v>7</v>
      </c>
      <c r="C91" s="372">
        <v>12</v>
      </c>
      <c r="D91" s="372" t="s">
        <v>2402</v>
      </c>
      <c r="E91" s="372" t="s">
        <v>2435</v>
      </c>
      <c r="F91" s="372" t="s">
        <v>2435</v>
      </c>
      <c r="G91" s="372" t="s">
        <v>2435</v>
      </c>
      <c r="H91" s="372" t="s">
        <v>2435</v>
      </c>
      <c r="I91" s="372">
        <v>5</v>
      </c>
      <c r="J91" s="372">
        <v>0</v>
      </c>
      <c r="K91" s="372">
        <v>0</v>
      </c>
      <c r="L91" s="372">
        <v>0</v>
      </c>
      <c r="M91" s="359">
        <v>115</v>
      </c>
      <c r="N91" s="359" t="s">
        <v>922</v>
      </c>
      <c r="O91" s="237" t="s">
        <v>1519</v>
      </c>
      <c r="P91" s="237"/>
      <c r="Q91" s="360" t="s">
        <v>2255</v>
      </c>
      <c r="R91" s="361">
        <v>138766</v>
      </c>
      <c r="S91" s="368" t="s">
        <v>902</v>
      </c>
      <c r="T91" s="370">
        <v>11.4</v>
      </c>
      <c r="U91" s="364" t="s">
        <v>2256</v>
      </c>
      <c r="AH91" s="154" t="s">
        <v>2370</v>
      </c>
      <c r="AI91" s="154" t="s">
        <v>2370</v>
      </c>
      <c r="AJ91" s="154" t="s">
        <v>2370</v>
      </c>
      <c r="AK91" s="154" t="s">
        <v>2370</v>
      </c>
      <c r="AL91" s="154" t="s">
        <v>2370</v>
      </c>
      <c r="AS91" s="154" t="s">
        <v>2033</v>
      </c>
      <c r="AT91" s="154" t="s">
        <v>2033</v>
      </c>
      <c r="AU91" s="154" t="s">
        <v>2033</v>
      </c>
      <c r="AV91" s="154" t="s">
        <v>2033</v>
      </c>
      <c r="AW91" s="154" t="s">
        <v>2033</v>
      </c>
      <c r="AX91" s="154" t="s">
        <v>2033</v>
      </c>
      <c r="AY91" s="154" t="s">
        <v>2033</v>
      </c>
      <c r="AZ91" s="154" t="s">
        <v>2033</v>
      </c>
      <c r="BA91" s="154" t="s">
        <v>2033</v>
      </c>
      <c r="BB91" s="154" t="s">
        <v>2033</v>
      </c>
      <c r="BC91" s="154" t="s">
        <v>2033</v>
      </c>
      <c r="BD91" s="154" t="s">
        <v>2033</v>
      </c>
      <c r="BE91" s="154" t="s">
        <v>2034</v>
      </c>
      <c r="BF91" s="154" t="s">
        <v>2034</v>
      </c>
      <c r="BG91" s="154" t="s">
        <v>2034</v>
      </c>
      <c r="BH91" s="154" t="s">
        <v>2034</v>
      </c>
      <c r="BI91" s="154" t="s">
        <v>2034</v>
      </c>
      <c r="BJ91" s="154" t="s">
        <v>2034</v>
      </c>
      <c r="BK91" s="154" t="s">
        <v>2034</v>
      </c>
      <c r="BY91" s="154" t="s">
        <v>2361</v>
      </c>
      <c r="BZ91" s="154" t="s">
        <v>2361</v>
      </c>
      <c r="CA91" s="154" t="s">
        <v>2361</v>
      </c>
      <c r="CB91" s="154" t="s">
        <v>2361</v>
      </c>
      <c r="CC91" s="154" t="s">
        <v>2361</v>
      </c>
      <c r="CD91" s="154" t="s">
        <v>2359</v>
      </c>
      <c r="CE91" s="154" t="s">
        <v>2359</v>
      </c>
      <c r="CF91" s="154" t="s">
        <v>2359</v>
      </c>
      <c r="CG91" s="154" t="s">
        <v>2359</v>
      </c>
      <c r="CH91" s="154" t="s">
        <v>2359</v>
      </c>
    </row>
    <row r="92" spans="1:92" x14ac:dyDescent="0.25">
      <c r="A92" s="372">
        <v>4</v>
      </c>
      <c r="B92" s="372">
        <v>7</v>
      </c>
      <c r="C92" s="372">
        <v>8</v>
      </c>
      <c r="D92" s="372" t="s">
        <v>2374</v>
      </c>
      <c r="E92" s="372" t="s">
        <v>2435</v>
      </c>
      <c r="F92" s="372" t="s">
        <v>2435</v>
      </c>
      <c r="G92" s="372" t="s">
        <v>2391</v>
      </c>
      <c r="H92" s="372" t="s">
        <v>2435</v>
      </c>
      <c r="I92" s="372">
        <v>0</v>
      </c>
      <c r="J92" s="372">
        <v>2</v>
      </c>
      <c r="K92" s="372">
        <v>0</v>
      </c>
      <c r="L92" s="372">
        <v>4</v>
      </c>
      <c r="M92" s="359">
        <v>57</v>
      </c>
      <c r="N92" s="359" t="s">
        <v>925</v>
      </c>
      <c r="O92" s="237" t="s">
        <v>1515</v>
      </c>
      <c r="P92" s="237"/>
      <c r="Q92" s="360" t="s">
        <v>2257</v>
      </c>
      <c r="R92" s="361">
        <v>110189</v>
      </c>
      <c r="S92" s="369" t="s">
        <v>578</v>
      </c>
      <c r="T92" s="380">
        <v>41</v>
      </c>
      <c r="U92" s="364" t="s">
        <v>2258</v>
      </c>
      <c r="AH92" s="154" t="s">
        <v>2037</v>
      </c>
      <c r="AI92" s="154" t="s">
        <v>2037</v>
      </c>
      <c r="AJ92" s="154" t="s">
        <v>2037</v>
      </c>
      <c r="AK92" s="154" t="s">
        <v>2370</v>
      </c>
      <c r="AS92" s="154" t="s">
        <v>2033</v>
      </c>
      <c r="AT92" s="154" t="s">
        <v>2033</v>
      </c>
      <c r="AU92" s="154" t="s">
        <v>2033</v>
      </c>
      <c r="AV92" s="154" t="s">
        <v>2033</v>
      </c>
      <c r="AW92" s="154" t="s">
        <v>2033</v>
      </c>
      <c r="AX92" s="154" t="s">
        <v>2033</v>
      </c>
      <c r="AY92" s="154" t="s">
        <v>2033</v>
      </c>
      <c r="AZ92" s="154" t="s">
        <v>2033</v>
      </c>
      <c r="BA92" s="154" t="s">
        <v>2034</v>
      </c>
      <c r="BB92" s="154" t="s">
        <v>2034</v>
      </c>
      <c r="BC92" s="154" t="s">
        <v>2034</v>
      </c>
      <c r="BD92" s="154" t="s">
        <v>2034</v>
      </c>
      <c r="BE92" s="154" t="s">
        <v>2034</v>
      </c>
      <c r="BF92" s="154" t="s">
        <v>2034</v>
      </c>
      <c r="BG92" s="154" t="s">
        <v>2034</v>
      </c>
      <c r="BY92" s="154" t="s">
        <v>2372</v>
      </c>
      <c r="BZ92" s="154" t="s">
        <v>2372</v>
      </c>
      <c r="CA92" s="154" t="s">
        <v>2036</v>
      </c>
      <c r="CB92" s="154" t="s">
        <v>2036</v>
      </c>
      <c r="CC92" s="154" t="s">
        <v>2036</v>
      </c>
      <c r="CD92" s="154" t="s">
        <v>2036</v>
      </c>
      <c r="CE92" s="154" t="s">
        <v>2359</v>
      </c>
      <c r="CF92" s="154" t="s">
        <v>2359</v>
      </c>
      <c r="CG92" s="154" t="s">
        <v>2359</v>
      </c>
      <c r="CH92" s="154" t="s">
        <v>2359</v>
      </c>
    </row>
    <row r="93" spans="1:92" x14ac:dyDescent="0.25">
      <c r="A93" s="372">
        <v>4</v>
      </c>
      <c r="B93" s="372">
        <v>7</v>
      </c>
      <c r="C93" s="372">
        <v>8</v>
      </c>
      <c r="D93" s="372" t="s">
        <v>2374</v>
      </c>
      <c r="E93" s="372" t="s">
        <v>2435</v>
      </c>
      <c r="F93" s="372" t="s">
        <v>2435</v>
      </c>
      <c r="G93" s="372" t="s">
        <v>2392</v>
      </c>
      <c r="H93" s="372" t="s">
        <v>2435</v>
      </c>
      <c r="I93" s="372">
        <v>0</v>
      </c>
      <c r="J93" s="372">
        <v>2</v>
      </c>
      <c r="K93" s="372">
        <v>0</v>
      </c>
      <c r="L93" s="372">
        <v>4</v>
      </c>
      <c r="M93" s="359">
        <v>69</v>
      </c>
      <c r="N93" s="359" t="s">
        <v>928</v>
      </c>
      <c r="O93" s="237" t="s">
        <v>1515</v>
      </c>
      <c r="P93" s="237"/>
      <c r="Q93" s="360" t="s">
        <v>2259</v>
      </c>
      <c r="R93" s="361">
        <v>113677</v>
      </c>
      <c r="S93" s="369" t="s">
        <v>578</v>
      </c>
      <c r="T93" s="380">
        <v>41</v>
      </c>
      <c r="U93" s="364" t="s">
        <v>2260</v>
      </c>
      <c r="AH93" s="154" t="s">
        <v>2037</v>
      </c>
      <c r="AI93" s="154" t="s">
        <v>2037</v>
      </c>
      <c r="AJ93" s="154" t="s">
        <v>2037</v>
      </c>
      <c r="AK93" s="154" t="s">
        <v>2370</v>
      </c>
      <c r="AS93" s="154" t="s">
        <v>2033</v>
      </c>
      <c r="AT93" s="154" t="s">
        <v>2033</v>
      </c>
      <c r="AU93" s="154" t="s">
        <v>2033</v>
      </c>
      <c r="AV93" s="154" t="s">
        <v>2033</v>
      </c>
      <c r="AW93" s="154" t="s">
        <v>2033</v>
      </c>
      <c r="AX93" s="154" t="s">
        <v>2033</v>
      </c>
      <c r="AY93" s="154" t="s">
        <v>2033</v>
      </c>
      <c r="AZ93" s="154" t="s">
        <v>2033</v>
      </c>
      <c r="BA93" s="154" t="s">
        <v>2034</v>
      </c>
      <c r="BB93" s="154" t="s">
        <v>2034</v>
      </c>
      <c r="BC93" s="154" t="s">
        <v>2034</v>
      </c>
      <c r="BD93" s="154" t="s">
        <v>2034</v>
      </c>
      <c r="BE93" s="154" t="s">
        <v>2034</v>
      </c>
      <c r="BF93" s="154" t="s">
        <v>2034</v>
      </c>
      <c r="BG93" s="154" t="s">
        <v>2034</v>
      </c>
      <c r="BY93" s="154" t="s">
        <v>2372</v>
      </c>
      <c r="BZ93" s="154" t="s">
        <v>2372</v>
      </c>
      <c r="CA93" s="154" t="s">
        <v>2036</v>
      </c>
      <c r="CB93" s="154" t="s">
        <v>2036</v>
      </c>
      <c r="CC93" s="154" t="s">
        <v>2036</v>
      </c>
      <c r="CD93" s="154" t="s">
        <v>2036</v>
      </c>
      <c r="CE93" s="154" t="s">
        <v>2359</v>
      </c>
      <c r="CF93" s="154" t="s">
        <v>2359</v>
      </c>
      <c r="CG93" s="154" t="s">
        <v>2359</v>
      </c>
      <c r="CH93" s="154" t="s">
        <v>2359</v>
      </c>
    </row>
    <row r="94" spans="1:92" x14ac:dyDescent="0.25">
      <c r="A94" s="372">
        <v>4</v>
      </c>
      <c r="B94" s="372">
        <v>7</v>
      </c>
      <c r="C94" s="372">
        <v>8</v>
      </c>
      <c r="D94" s="372" t="s">
        <v>2374</v>
      </c>
      <c r="E94" s="372" t="s">
        <v>2435</v>
      </c>
      <c r="F94" s="372" t="s">
        <v>2435</v>
      </c>
      <c r="G94" s="372" t="s">
        <v>2389</v>
      </c>
      <c r="H94" s="372" t="s">
        <v>2435</v>
      </c>
      <c r="I94" s="372">
        <v>0</v>
      </c>
      <c r="J94" s="372">
        <v>2</v>
      </c>
      <c r="K94" s="372">
        <v>0</v>
      </c>
      <c r="L94" s="372">
        <v>4</v>
      </c>
      <c r="M94" s="359">
        <v>84</v>
      </c>
      <c r="N94" s="359" t="s">
        <v>931</v>
      </c>
      <c r="O94" s="237" t="s">
        <v>1515</v>
      </c>
      <c r="P94" s="237"/>
      <c r="Q94" s="360" t="s">
        <v>2261</v>
      </c>
      <c r="R94" s="361">
        <v>117399</v>
      </c>
      <c r="S94" s="369" t="s">
        <v>578</v>
      </c>
      <c r="T94" s="380">
        <v>41</v>
      </c>
      <c r="U94" s="364" t="s">
        <v>2262</v>
      </c>
      <c r="AH94" s="154" t="s">
        <v>2037</v>
      </c>
      <c r="AI94" s="154" t="s">
        <v>2037</v>
      </c>
      <c r="AJ94" s="154" t="s">
        <v>2037</v>
      </c>
      <c r="AK94" s="154" t="s">
        <v>2370</v>
      </c>
      <c r="AS94" s="154" t="s">
        <v>2033</v>
      </c>
      <c r="AT94" s="154" t="s">
        <v>2033</v>
      </c>
      <c r="AU94" s="154" t="s">
        <v>2033</v>
      </c>
      <c r="AV94" s="154" t="s">
        <v>2033</v>
      </c>
      <c r="AW94" s="154" t="s">
        <v>2033</v>
      </c>
      <c r="AX94" s="154" t="s">
        <v>2033</v>
      </c>
      <c r="AY94" s="154" t="s">
        <v>2033</v>
      </c>
      <c r="AZ94" s="154" t="s">
        <v>2033</v>
      </c>
      <c r="BA94" s="154" t="s">
        <v>2034</v>
      </c>
      <c r="BB94" s="154" t="s">
        <v>2034</v>
      </c>
      <c r="BC94" s="154" t="s">
        <v>2034</v>
      </c>
      <c r="BD94" s="154" t="s">
        <v>2034</v>
      </c>
      <c r="BE94" s="154" t="s">
        <v>2034</v>
      </c>
      <c r="BF94" s="154" t="s">
        <v>2034</v>
      </c>
      <c r="BG94" s="154" t="s">
        <v>2034</v>
      </c>
      <c r="BY94" s="154" t="s">
        <v>2372</v>
      </c>
      <c r="BZ94" s="154" t="s">
        <v>2372</v>
      </c>
      <c r="CA94" s="154" t="s">
        <v>2036</v>
      </c>
      <c r="CB94" s="154" t="s">
        <v>2036</v>
      </c>
      <c r="CC94" s="154" t="s">
        <v>2036</v>
      </c>
      <c r="CD94" s="154" t="s">
        <v>2036</v>
      </c>
      <c r="CE94" s="154" t="s">
        <v>2359</v>
      </c>
      <c r="CF94" s="154" t="s">
        <v>2359</v>
      </c>
      <c r="CG94" s="154" t="s">
        <v>2359</v>
      </c>
      <c r="CH94" s="154" t="s">
        <v>2359</v>
      </c>
    </row>
    <row r="95" spans="1:92" x14ac:dyDescent="0.25">
      <c r="A95" s="372">
        <v>4</v>
      </c>
      <c r="B95" s="372">
        <v>7</v>
      </c>
      <c r="C95" s="372">
        <v>8</v>
      </c>
      <c r="D95" s="372" t="s">
        <v>2374</v>
      </c>
      <c r="E95" s="372" t="s">
        <v>2435</v>
      </c>
      <c r="F95" s="372" t="s">
        <v>2435</v>
      </c>
      <c r="G95" s="372" t="s">
        <v>2390</v>
      </c>
      <c r="H95" s="372" t="s">
        <v>2435</v>
      </c>
      <c r="I95" s="372">
        <v>0</v>
      </c>
      <c r="J95" s="372">
        <v>2</v>
      </c>
      <c r="K95" s="372">
        <v>0</v>
      </c>
      <c r="L95" s="372">
        <v>4</v>
      </c>
      <c r="M95" s="359">
        <v>105</v>
      </c>
      <c r="N95" s="359" t="s">
        <v>934</v>
      </c>
      <c r="O95" s="237" t="s">
        <v>1515</v>
      </c>
      <c r="P95" s="237"/>
      <c r="Q95" s="360" t="s">
        <v>2263</v>
      </c>
      <c r="R95" s="361">
        <v>122160</v>
      </c>
      <c r="S95" s="369" t="s">
        <v>578</v>
      </c>
      <c r="T95" s="380">
        <v>41</v>
      </c>
      <c r="U95" s="364" t="s">
        <v>2264</v>
      </c>
      <c r="AH95" s="154" t="s">
        <v>2037</v>
      </c>
      <c r="AI95" s="154" t="s">
        <v>2037</v>
      </c>
      <c r="AJ95" s="154" t="s">
        <v>2037</v>
      </c>
      <c r="AK95" s="154" t="s">
        <v>2370</v>
      </c>
      <c r="AS95" s="154" t="s">
        <v>2033</v>
      </c>
      <c r="AT95" s="154" t="s">
        <v>2033</v>
      </c>
      <c r="AU95" s="154" t="s">
        <v>2033</v>
      </c>
      <c r="AV95" s="154" t="s">
        <v>2033</v>
      </c>
      <c r="AW95" s="154" t="s">
        <v>2033</v>
      </c>
      <c r="AX95" s="154" t="s">
        <v>2033</v>
      </c>
      <c r="AY95" s="154" t="s">
        <v>2033</v>
      </c>
      <c r="AZ95" s="154" t="s">
        <v>2033</v>
      </c>
      <c r="BA95" s="154" t="s">
        <v>2034</v>
      </c>
      <c r="BB95" s="154" t="s">
        <v>2034</v>
      </c>
      <c r="BC95" s="154" t="s">
        <v>2034</v>
      </c>
      <c r="BD95" s="154" t="s">
        <v>2034</v>
      </c>
      <c r="BE95" s="154" t="s">
        <v>2034</v>
      </c>
      <c r="BF95" s="154" t="s">
        <v>2034</v>
      </c>
      <c r="BG95" s="154" t="s">
        <v>2034</v>
      </c>
      <c r="BY95" s="154" t="s">
        <v>2372</v>
      </c>
      <c r="BZ95" s="154" t="s">
        <v>2372</v>
      </c>
      <c r="CA95" s="154" t="s">
        <v>2036</v>
      </c>
      <c r="CB95" s="154" t="s">
        <v>2036</v>
      </c>
      <c r="CC95" s="154" t="s">
        <v>2036</v>
      </c>
      <c r="CD95" s="154" t="s">
        <v>2036</v>
      </c>
      <c r="CE95" s="154" t="s">
        <v>2359</v>
      </c>
      <c r="CF95" s="154" t="s">
        <v>2359</v>
      </c>
      <c r="CG95" s="154" t="s">
        <v>2359</v>
      </c>
      <c r="CH95" s="154" t="s">
        <v>2359</v>
      </c>
    </row>
    <row r="96" spans="1:92" x14ac:dyDescent="0.25">
      <c r="A96" s="372">
        <v>4</v>
      </c>
      <c r="B96" s="372">
        <v>7</v>
      </c>
      <c r="C96" s="372">
        <v>8</v>
      </c>
      <c r="D96" s="372" t="s">
        <v>2374</v>
      </c>
      <c r="E96" s="372" t="s">
        <v>2435</v>
      </c>
      <c r="F96" s="372" t="s">
        <v>2435</v>
      </c>
      <c r="G96" s="372" t="s">
        <v>2403</v>
      </c>
      <c r="H96" s="372" t="s">
        <v>2435</v>
      </c>
      <c r="I96" s="372">
        <v>0</v>
      </c>
      <c r="J96" s="372">
        <v>2</v>
      </c>
      <c r="K96" s="372">
        <v>0</v>
      </c>
      <c r="L96" s="372">
        <v>4</v>
      </c>
      <c r="M96" s="359">
        <v>129</v>
      </c>
      <c r="N96" s="359" t="s">
        <v>937</v>
      </c>
      <c r="O96" s="237" t="s">
        <v>1515</v>
      </c>
      <c r="P96" s="237"/>
      <c r="Q96" s="360" t="s">
        <v>2265</v>
      </c>
      <c r="R96" s="361">
        <v>139113</v>
      </c>
      <c r="S96" s="369" t="s">
        <v>578</v>
      </c>
      <c r="T96" s="380">
        <v>43</v>
      </c>
      <c r="U96" s="364" t="s">
        <v>2266</v>
      </c>
      <c r="AH96" s="154" t="s">
        <v>2037</v>
      </c>
      <c r="AI96" s="154" t="s">
        <v>2037</v>
      </c>
      <c r="AJ96" s="154" t="s">
        <v>2037</v>
      </c>
      <c r="AK96" s="154" t="s">
        <v>2370</v>
      </c>
      <c r="AS96" s="154" t="s">
        <v>2033</v>
      </c>
      <c r="AT96" s="154" t="s">
        <v>2033</v>
      </c>
      <c r="AU96" s="154" t="s">
        <v>2033</v>
      </c>
      <c r="AV96" s="154" t="s">
        <v>2033</v>
      </c>
      <c r="AW96" s="154" t="s">
        <v>2033</v>
      </c>
      <c r="AX96" s="154" t="s">
        <v>2033</v>
      </c>
      <c r="AY96" s="154" t="s">
        <v>2033</v>
      </c>
      <c r="AZ96" s="154" t="s">
        <v>2033</v>
      </c>
      <c r="BA96" s="154" t="s">
        <v>2034</v>
      </c>
      <c r="BB96" s="154" t="s">
        <v>2034</v>
      </c>
      <c r="BC96" s="154" t="s">
        <v>2034</v>
      </c>
      <c r="BD96" s="154" t="s">
        <v>2034</v>
      </c>
      <c r="BE96" s="154" t="s">
        <v>2034</v>
      </c>
      <c r="BF96" s="154" t="s">
        <v>2034</v>
      </c>
      <c r="BG96" s="154" t="s">
        <v>2034</v>
      </c>
      <c r="BY96" s="154" t="s">
        <v>2372</v>
      </c>
      <c r="BZ96" s="154" t="s">
        <v>2372</v>
      </c>
      <c r="CA96" s="154" t="s">
        <v>2036</v>
      </c>
      <c r="CB96" s="154" t="s">
        <v>2036</v>
      </c>
      <c r="CC96" s="154" t="s">
        <v>2036</v>
      </c>
      <c r="CD96" s="154" t="s">
        <v>2036</v>
      </c>
      <c r="CE96" s="154" t="s">
        <v>2359</v>
      </c>
      <c r="CF96" s="154" t="s">
        <v>2359</v>
      </c>
      <c r="CG96" s="154" t="s">
        <v>2359</v>
      </c>
      <c r="CH96" s="154" t="s">
        <v>2359</v>
      </c>
    </row>
    <row r="97" spans="1:86" x14ac:dyDescent="0.25">
      <c r="A97" s="372">
        <v>4</v>
      </c>
      <c r="B97" s="372">
        <v>7</v>
      </c>
      <c r="C97" s="372">
        <v>8</v>
      </c>
      <c r="D97" s="372" t="s">
        <v>2374</v>
      </c>
      <c r="E97" s="372" t="s">
        <v>2435</v>
      </c>
      <c r="F97" s="372" t="s">
        <v>2435</v>
      </c>
      <c r="G97" s="372" t="s">
        <v>2404</v>
      </c>
      <c r="H97" s="372" t="s">
        <v>2435</v>
      </c>
      <c r="I97" s="372">
        <v>0</v>
      </c>
      <c r="J97" s="372">
        <v>2</v>
      </c>
      <c r="K97" s="372">
        <v>0</v>
      </c>
      <c r="L97" s="372">
        <v>4</v>
      </c>
      <c r="M97" s="359">
        <v>159</v>
      </c>
      <c r="N97" s="359" t="s">
        <v>940</v>
      </c>
      <c r="O97" s="237" t="s">
        <v>1515</v>
      </c>
      <c r="P97" s="237"/>
      <c r="Q97" s="360" t="s">
        <v>2267</v>
      </c>
      <c r="R97" s="361">
        <v>145472</v>
      </c>
      <c r="S97" s="369" t="s">
        <v>578</v>
      </c>
      <c r="T97" s="380">
        <v>43</v>
      </c>
      <c r="U97" s="364" t="s">
        <v>2268</v>
      </c>
      <c r="AH97" s="154" t="s">
        <v>2037</v>
      </c>
      <c r="AI97" s="154" t="s">
        <v>2037</v>
      </c>
      <c r="AJ97" s="154" t="s">
        <v>2037</v>
      </c>
      <c r="AK97" s="154" t="s">
        <v>2370</v>
      </c>
      <c r="AS97" s="154" t="s">
        <v>2033</v>
      </c>
      <c r="AT97" s="154" t="s">
        <v>2033</v>
      </c>
      <c r="AU97" s="154" t="s">
        <v>2033</v>
      </c>
      <c r="AV97" s="154" t="s">
        <v>2033</v>
      </c>
      <c r="AW97" s="154" t="s">
        <v>2033</v>
      </c>
      <c r="AX97" s="154" t="s">
        <v>2033</v>
      </c>
      <c r="AY97" s="154" t="s">
        <v>2033</v>
      </c>
      <c r="AZ97" s="154" t="s">
        <v>2033</v>
      </c>
      <c r="BA97" s="154" t="s">
        <v>2034</v>
      </c>
      <c r="BB97" s="154" t="s">
        <v>2034</v>
      </c>
      <c r="BC97" s="154" t="s">
        <v>2034</v>
      </c>
      <c r="BD97" s="154" t="s">
        <v>2034</v>
      </c>
      <c r="BE97" s="154" t="s">
        <v>2034</v>
      </c>
      <c r="BF97" s="154" t="s">
        <v>2034</v>
      </c>
      <c r="BG97" s="154" t="s">
        <v>2034</v>
      </c>
      <c r="BY97" s="154" t="s">
        <v>2372</v>
      </c>
      <c r="BZ97" s="154" t="s">
        <v>2372</v>
      </c>
      <c r="CA97" s="154" t="s">
        <v>2036</v>
      </c>
      <c r="CB97" s="154" t="s">
        <v>2036</v>
      </c>
      <c r="CC97" s="154" t="s">
        <v>2036</v>
      </c>
      <c r="CD97" s="154" t="s">
        <v>2036</v>
      </c>
      <c r="CE97" s="154" t="s">
        <v>2359</v>
      </c>
      <c r="CF97" s="154" t="s">
        <v>2359</v>
      </c>
      <c r="CG97" s="154" t="s">
        <v>2359</v>
      </c>
      <c r="CH97" s="154" t="s">
        <v>2359</v>
      </c>
    </row>
    <row r="98" spans="1:86" x14ac:dyDescent="0.25">
      <c r="A98" s="372">
        <v>4</v>
      </c>
      <c r="B98" s="372">
        <v>7</v>
      </c>
      <c r="C98" s="372">
        <v>8</v>
      </c>
      <c r="D98" s="372" t="s">
        <v>2374</v>
      </c>
      <c r="E98" s="372" t="s">
        <v>2435</v>
      </c>
      <c r="F98" s="372" t="s">
        <v>2435</v>
      </c>
      <c r="G98" s="372" t="s">
        <v>2405</v>
      </c>
      <c r="H98" s="372" t="s">
        <v>2435</v>
      </c>
      <c r="I98" s="372">
        <v>0</v>
      </c>
      <c r="J98" s="372">
        <v>2</v>
      </c>
      <c r="K98" s="372">
        <v>0</v>
      </c>
      <c r="L98" s="372">
        <v>4</v>
      </c>
      <c r="M98" s="359">
        <v>198</v>
      </c>
      <c r="N98" s="359" t="s">
        <v>943</v>
      </c>
      <c r="O98" s="237" t="s">
        <v>1515</v>
      </c>
      <c r="P98" s="237"/>
      <c r="Q98" s="360" t="s">
        <v>2269</v>
      </c>
      <c r="R98" s="361">
        <v>144826</v>
      </c>
      <c r="S98" s="369" t="s">
        <v>578</v>
      </c>
      <c r="T98" s="380">
        <v>43</v>
      </c>
      <c r="U98" s="364" t="s">
        <v>2270</v>
      </c>
      <c r="AH98" s="154" t="s">
        <v>2037</v>
      </c>
      <c r="AI98" s="154" t="s">
        <v>2037</v>
      </c>
      <c r="AJ98" s="154" t="s">
        <v>2037</v>
      </c>
      <c r="AK98" s="154" t="s">
        <v>2370</v>
      </c>
      <c r="AS98" s="154" t="s">
        <v>2033</v>
      </c>
      <c r="AT98" s="154" t="s">
        <v>2033</v>
      </c>
      <c r="AU98" s="154" t="s">
        <v>2033</v>
      </c>
      <c r="AV98" s="154" t="s">
        <v>2033</v>
      </c>
      <c r="AW98" s="154" t="s">
        <v>2033</v>
      </c>
      <c r="AX98" s="154" t="s">
        <v>2033</v>
      </c>
      <c r="AY98" s="154" t="s">
        <v>2033</v>
      </c>
      <c r="AZ98" s="154" t="s">
        <v>2033</v>
      </c>
      <c r="BA98" s="154" t="s">
        <v>2034</v>
      </c>
      <c r="BB98" s="154" t="s">
        <v>2034</v>
      </c>
      <c r="BC98" s="154" t="s">
        <v>2034</v>
      </c>
      <c r="BD98" s="154" t="s">
        <v>2034</v>
      </c>
      <c r="BE98" s="154" t="s">
        <v>2034</v>
      </c>
      <c r="BF98" s="154" t="s">
        <v>2034</v>
      </c>
      <c r="BG98" s="154" t="s">
        <v>2034</v>
      </c>
      <c r="BY98" s="154" t="s">
        <v>2372</v>
      </c>
      <c r="BZ98" s="154" t="s">
        <v>2372</v>
      </c>
      <c r="CA98" s="154" t="s">
        <v>2036</v>
      </c>
      <c r="CB98" s="154" t="s">
        <v>2036</v>
      </c>
      <c r="CC98" s="154" t="s">
        <v>2036</v>
      </c>
      <c r="CD98" s="154" t="s">
        <v>2036</v>
      </c>
      <c r="CE98" s="154" t="s">
        <v>2359</v>
      </c>
      <c r="CF98" s="154" t="s">
        <v>2359</v>
      </c>
      <c r="CG98" s="154" t="s">
        <v>2359</v>
      </c>
      <c r="CH98" s="154" t="s">
        <v>2359</v>
      </c>
    </row>
    <row r="99" spans="1:86" x14ac:dyDescent="0.25">
      <c r="A99" s="373">
        <v>4</v>
      </c>
      <c r="B99" s="373">
        <v>7</v>
      </c>
      <c r="C99" s="373">
        <v>8</v>
      </c>
      <c r="D99" s="373" t="s">
        <v>2774</v>
      </c>
      <c r="E99" s="373" t="s">
        <v>2435</v>
      </c>
      <c r="F99" s="373" t="s">
        <v>2435</v>
      </c>
      <c r="G99" s="373" t="s">
        <v>2391</v>
      </c>
      <c r="H99" s="373" t="s">
        <v>2435</v>
      </c>
      <c r="I99" s="373">
        <v>0</v>
      </c>
      <c r="J99" s="373">
        <v>2</v>
      </c>
      <c r="K99" s="373">
        <v>0</v>
      </c>
      <c r="L99" s="373">
        <v>4</v>
      </c>
      <c r="M99" s="366">
        <v>74</v>
      </c>
      <c r="N99" s="367" t="s">
        <v>946</v>
      </c>
      <c r="O99" s="237" t="s">
        <v>2776</v>
      </c>
      <c r="P99" s="374"/>
      <c r="Q99" s="375" t="s">
        <v>947</v>
      </c>
      <c r="R99" s="376">
        <v>113949</v>
      </c>
      <c r="S99" s="381" t="s">
        <v>578</v>
      </c>
      <c r="T99" s="382">
        <v>41</v>
      </c>
      <c r="U99" s="379" t="s">
        <v>948</v>
      </c>
      <c r="AH99" s="154" t="s">
        <v>2037</v>
      </c>
      <c r="AI99" s="154" t="s">
        <v>2037</v>
      </c>
      <c r="AJ99" s="154" t="s">
        <v>2037</v>
      </c>
      <c r="AK99" s="154" t="s">
        <v>2370</v>
      </c>
      <c r="AL99" s="154" t="s">
        <v>2370</v>
      </c>
      <c r="AS99" s="154" t="s">
        <v>2033</v>
      </c>
      <c r="AT99" s="154" t="s">
        <v>2033</v>
      </c>
      <c r="AU99" s="154" t="s">
        <v>2033</v>
      </c>
      <c r="AV99" s="154" t="s">
        <v>2033</v>
      </c>
      <c r="AW99" s="154" t="s">
        <v>2033</v>
      </c>
      <c r="AX99" s="154" t="s">
        <v>2033</v>
      </c>
      <c r="AY99" s="154" t="s">
        <v>2033</v>
      </c>
      <c r="AZ99" s="154" t="s">
        <v>2033</v>
      </c>
      <c r="BA99" s="154" t="s">
        <v>2034</v>
      </c>
      <c r="BB99" s="154" t="s">
        <v>2034</v>
      </c>
      <c r="BC99" s="154" t="s">
        <v>2034</v>
      </c>
      <c r="BD99" s="154" t="s">
        <v>2034</v>
      </c>
      <c r="BE99" s="154" t="s">
        <v>2034</v>
      </c>
      <c r="BF99" s="154" t="s">
        <v>2034</v>
      </c>
      <c r="BG99" s="154" t="s">
        <v>2034</v>
      </c>
      <c r="BY99" s="154" t="s">
        <v>2372</v>
      </c>
      <c r="BZ99" s="154" t="s">
        <v>2372</v>
      </c>
      <c r="CA99" s="154" t="s">
        <v>2036</v>
      </c>
      <c r="CB99" s="154" t="s">
        <v>2036</v>
      </c>
      <c r="CC99" s="154" t="s">
        <v>2036</v>
      </c>
      <c r="CD99" s="154" t="s">
        <v>2036</v>
      </c>
      <c r="CE99" s="154" t="s">
        <v>2359</v>
      </c>
      <c r="CF99" s="154" t="s">
        <v>2359</v>
      </c>
      <c r="CG99" s="154" t="s">
        <v>2359</v>
      </c>
      <c r="CH99" s="154" t="s">
        <v>2359</v>
      </c>
    </row>
    <row r="100" spans="1:86" x14ac:dyDescent="0.25">
      <c r="A100" s="373">
        <v>4</v>
      </c>
      <c r="B100" s="373">
        <v>7</v>
      </c>
      <c r="C100" s="373">
        <v>8</v>
      </c>
      <c r="D100" s="373" t="s">
        <v>2774</v>
      </c>
      <c r="E100" s="373" t="s">
        <v>2435</v>
      </c>
      <c r="F100" s="373" t="s">
        <v>2435</v>
      </c>
      <c r="G100" s="373" t="s">
        <v>2392</v>
      </c>
      <c r="H100" s="373" t="s">
        <v>2435</v>
      </c>
      <c r="I100" s="373">
        <v>0</v>
      </c>
      <c r="J100" s="373">
        <v>2</v>
      </c>
      <c r="K100" s="373">
        <v>0</v>
      </c>
      <c r="L100" s="373">
        <v>4</v>
      </c>
      <c r="M100" s="366">
        <v>86</v>
      </c>
      <c r="N100" s="367" t="s">
        <v>949</v>
      </c>
      <c r="O100" s="237" t="s">
        <v>2776</v>
      </c>
      <c r="P100" s="374"/>
      <c r="Q100" s="375" t="s">
        <v>950</v>
      </c>
      <c r="R100" s="376">
        <v>117281</v>
      </c>
      <c r="S100" s="381" t="s">
        <v>578</v>
      </c>
      <c r="T100" s="382">
        <v>41</v>
      </c>
      <c r="U100" s="379" t="s">
        <v>951</v>
      </c>
      <c r="AH100" s="154" t="s">
        <v>2037</v>
      </c>
      <c r="AI100" s="154" t="s">
        <v>2037</v>
      </c>
      <c r="AJ100" s="154" t="s">
        <v>2037</v>
      </c>
      <c r="AK100" s="154" t="s">
        <v>2370</v>
      </c>
      <c r="AL100" s="154" t="s">
        <v>2370</v>
      </c>
      <c r="AS100" s="154" t="s">
        <v>2033</v>
      </c>
      <c r="AT100" s="154" t="s">
        <v>2033</v>
      </c>
      <c r="AU100" s="154" t="s">
        <v>2033</v>
      </c>
      <c r="AV100" s="154" t="s">
        <v>2033</v>
      </c>
      <c r="AW100" s="154" t="s">
        <v>2033</v>
      </c>
      <c r="AX100" s="154" t="s">
        <v>2033</v>
      </c>
      <c r="AY100" s="154" t="s">
        <v>2033</v>
      </c>
      <c r="AZ100" s="154" t="s">
        <v>2033</v>
      </c>
      <c r="BA100" s="154" t="s">
        <v>2034</v>
      </c>
      <c r="BB100" s="154" t="s">
        <v>2034</v>
      </c>
      <c r="BC100" s="154" t="s">
        <v>2034</v>
      </c>
      <c r="BD100" s="154" t="s">
        <v>2034</v>
      </c>
      <c r="BE100" s="154" t="s">
        <v>2034</v>
      </c>
      <c r="BF100" s="154" t="s">
        <v>2034</v>
      </c>
      <c r="BG100" s="154" t="s">
        <v>2034</v>
      </c>
      <c r="BY100" s="154" t="s">
        <v>2372</v>
      </c>
      <c r="BZ100" s="154" t="s">
        <v>2372</v>
      </c>
      <c r="CA100" s="154" t="s">
        <v>2036</v>
      </c>
      <c r="CB100" s="154" t="s">
        <v>2036</v>
      </c>
      <c r="CC100" s="154" t="s">
        <v>2036</v>
      </c>
      <c r="CD100" s="154" t="s">
        <v>2036</v>
      </c>
      <c r="CE100" s="154" t="s">
        <v>2359</v>
      </c>
      <c r="CF100" s="154" t="s">
        <v>2359</v>
      </c>
      <c r="CG100" s="154" t="s">
        <v>2359</v>
      </c>
      <c r="CH100" s="154" t="s">
        <v>2359</v>
      </c>
    </row>
    <row r="101" spans="1:86" x14ac:dyDescent="0.25">
      <c r="A101" s="373">
        <v>4</v>
      </c>
      <c r="B101" s="373">
        <v>7</v>
      </c>
      <c r="C101" s="373">
        <v>8</v>
      </c>
      <c r="D101" s="373" t="s">
        <v>2774</v>
      </c>
      <c r="E101" s="373" t="s">
        <v>2435</v>
      </c>
      <c r="F101" s="373" t="s">
        <v>2435</v>
      </c>
      <c r="G101" s="373" t="s">
        <v>2389</v>
      </c>
      <c r="H101" s="373" t="s">
        <v>2435</v>
      </c>
      <c r="I101" s="373">
        <v>0</v>
      </c>
      <c r="J101" s="373">
        <v>2</v>
      </c>
      <c r="K101" s="373">
        <v>0</v>
      </c>
      <c r="L101" s="373">
        <v>4</v>
      </c>
      <c r="M101" s="366">
        <v>101</v>
      </c>
      <c r="N101" s="367" t="s">
        <v>952</v>
      </c>
      <c r="O101" s="237" t="s">
        <v>2776</v>
      </c>
      <c r="P101" s="374"/>
      <c r="Q101" s="375" t="s">
        <v>953</v>
      </c>
      <c r="R101" s="376">
        <v>119639</v>
      </c>
      <c r="S101" s="381" t="s">
        <v>578</v>
      </c>
      <c r="T101" s="382">
        <v>41</v>
      </c>
      <c r="U101" s="379" t="s">
        <v>954</v>
      </c>
      <c r="AH101" s="154" t="s">
        <v>2037</v>
      </c>
      <c r="AI101" s="154" t="s">
        <v>2037</v>
      </c>
      <c r="AJ101" s="154" t="s">
        <v>2037</v>
      </c>
      <c r="AK101" s="154" t="s">
        <v>2370</v>
      </c>
      <c r="AL101" s="154" t="s">
        <v>2370</v>
      </c>
      <c r="AS101" s="154" t="s">
        <v>2033</v>
      </c>
      <c r="AT101" s="154" t="s">
        <v>2033</v>
      </c>
      <c r="AU101" s="154" t="s">
        <v>2033</v>
      </c>
      <c r="AV101" s="154" t="s">
        <v>2033</v>
      </c>
      <c r="AW101" s="154" t="s">
        <v>2033</v>
      </c>
      <c r="AX101" s="154" t="s">
        <v>2033</v>
      </c>
      <c r="AY101" s="154" t="s">
        <v>2033</v>
      </c>
      <c r="AZ101" s="154" t="s">
        <v>2033</v>
      </c>
      <c r="BA101" s="154" t="s">
        <v>2034</v>
      </c>
      <c r="BB101" s="154" t="s">
        <v>2034</v>
      </c>
      <c r="BC101" s="154" t="s">
        <v>2034</v>
      </c>
      <c r="BD101" s="154" t="s">
        <v>2034</v>
      </c>
      <c r="BE101" s="154" t="s">
        <v>2034</v>
      </c>
      <c r="BF101" s="154" t="s">
        <v>2034</v>
      </c>
      <c r="BG101" s="154" t="s">
        <v>2034</v>
      </c>
      <c r="BY101" s="154" t="s">
        <v>2372</v>
      </c>
      <c r="BZ101" s="154" t="s">
        <v>2372</v>
      </c>
      <c r="CA101" s="154" t="s">
        <v>2036</v>
      </c>
      <c r="CB101" s="154" t="s">
        <v>2036</v>
      </c>
      <c r="CC101" s="154" t="s">
        <v>2036</v>
      </c>
      <c r="CD101" s="154" t="s">
        <v>2036</v>
      </c>
      <c r="CE101" s="154" t="s">
        <v>2359</v>
      </c>
      <c r="CF101" s="154" t="s">
        <v>2359</v>
      </c>
      <c r="CG101" s="154" t="s">
        <v>2359</v>
      </c>
      <c r="CH101" s="154" t="s">
        <v>2359</v>
      </c>
    </row>
    <row r="102" spans="1:86" x14ac:dyDescent="0.25">
      <c r="A102" s="373">
        <v>4</v>
      </c>
      <c r="B102" s="373">
        <v>7</v>
      </c>
      <c r="C102" s="373">
        <v>8</v>
      </c>
      <c r="D102" s="373" t="s">
        <v>2774</v>
      </c>
      <c r="E102" s="373" t="s">
        <v>2435</v>
      </c>
      <c r="F102" s="373" t="s">
        <v>2435</v>
      </c>
      <c r="G102" s="373" t="s">
        <v>2390</v>
      </c>
      <c r="H102" s="373" t="s">
        <v>2435</v>
      </c>
      <c r="I102" s="373">
        <v>0</v>
      </c>
      <c r="J102" s="373">
        <v>2</v>
      </c>
      <c r="K102" s="373">
        <v>0</v>
      </c>
      <c r="L102" s="373">
        <v>4</v>
      </c>
      <c r="M102" s="366">
        <v>122</v>
      </c>
      <c r="N102" s="367" t="s">
        <v>955</v>
      </c>
      <c r="O102" s="237" t="s">
        <v>2776</v>
      </c>
      <c r="P102" s="374"/>
      <c r="Q102" s="375" t="s">
        <v>956</v>
      </c>
      <c r="R102" s="376">
        <v>123588</v>
      </c>
      <c r="S102" s="381" t="s">
        <v>578</v>
      </c>
      <c r="T102" s="382">
        <v>41</v>
      </c>
      <c r="U102" s="379" t="s">
        <v>957</v>
      </c>
      <c r="AH102" s="154" t="s">
        <v>2037</v>
      </c>
      <c r="AI102" s="154" t="s">
        <v>2037</v>
      </c>
      <c r="AJ102" s="154" t="s">
        <v>2037</v>
      </c>
      <c r="AK102" s="154" t="s">
        <v>2370</v>
      </c>
      <c r="AL102" s="154" t="s">
        <v>2370</v>
      </c>
      <c r="AS102" s="154" t="s">
        <v>2033</v>
      </c>
      <c r="AT102" s="154" t="s">
        <v>2033</v>
      </c>
      <c r="AU102" s="154" t="s">
        <v>2033</v>
      </c>
      <c r="AV102" s="154" t="s">
        <v>2033</v>
      </c>
      <c r="AW102" s="154" t="s">
        <v>2033</v>
      </c>
      <c r="AX102" s="154" t="s">
        <v>2033</v>
      </c>
      <c r="AY102" s="154" t="s">
        <v>2033</v>
      </c>
      <c r="AZ102" s="154" t="s">
        <v>2033</v>
      </c>
      <c r="BA102" s="154" t="s">
        <v>2034</v>
      </c>
      <c r="BB102" s="154" t="s">
        <v>2034</v>
      </c>
      <c r="BC102" s="154" t="s">
        <v>2034</v>
      </c>
      <c r="BD102" s="154" t="s">
        <v>2034</v>
      </c>
      <c r="BE102" s="154" t="s">
        <v>2034</v>
      </c>
      <c r="BF102" s="154" t="s">
        <v>2034</v>
      </c>
      <c r="BG102" s="154" t="s">
        <v>2034</v>
      </c>
      <c r="BY102" s="154" t="s">
        <v>2372</v>
      </c>
      <c r="BZ102" s="154" t="s">
        <v>2372</v>
      </c>
      <c r="CA102" s="154" t="s">
        <v>2036</v>
      </c>
      <c r="CB102" s="154" t="s">
        <v>2036</v>
      </c>
      <c r="CC102" s="154" t="s">
        <v>2036</v>
      </c>
      <c r="CD102" s="154" t="s">
        <v>2036</v>
      </c>
      <c r="CE102" s="154" t="s">
        <v>2359</v>
      </c>
      <c r="CF102" s="154" t="s">
        <v>2359</v>
      </c>
      <c r="CG102" s="154" t="s">
        <v>2359</v>
      </c>
      <c r="CH102" s="154" t="s">
        <v>2359</v>
      </c>
    </row>
    <row r="103" spans="1:86" x14ac:dyDescent="0.25">
      <c r="A103" s="373">
        <v>4</v>
      </c>
      <c r="B103" s="373">
        <v>7</v>
      </c>
      <c r="C103" s="373">
        <v>8</v>
      </c>
      <c r="D103" s="373" t="s">
        <v>2774</v>
      </c>
      <c r="E103" s="373" t="s">
        <v>2435</v>
      </c>
      <c r="F103" s="373" t="s">
        <v>2435</v>
      </c>
      <c r="G103" s="373" t="s">
        <v>2403</v>
      </c>
      <c r="H103" s="373" t="s">
        <v>2435</v>
      </c>
      <c r="I103" s="373">
        <v>0</v>
      </c>
      <c r="J103" s="373">
        <v>2</v>
      </c>
      <c r="K103" s="373">
        <v>0</v>
      </c>
      <c r="L103" s="373">
        <v>4</v>
      </c>
      <c r="M103" s="366">
        <v>146</v>
      </c>
      <c r="N103" s="367" t="s">
        <v>958</v>
      </c>
      <c r="O103" s="237" t="s">
        <v>2776</v>
      </c>
      <c r="P103" s="374"/>
      <c r="Q103" s="375" t="s">
        <v>959</v>
      </c>
      <c r="R103" s="376">
        <v>140873</v>
      </c>
      <c r="S103" s="381" t="s">
        <v>578</v>
      </c>
      <c r="T103" s="382">
        <v>43</v>
      </c>
      <c r="U103" s="379" t="s">
        <v>960</v>
      </c>
      <c r="AH103" s="154" t="s">
        <v>2037</v>
      </c>
      <c r="AI103" s="154" t="s">
        <v>2037</v>
      </c>
      <c r="AJ103" s="154" t="s">
        <v>2037</v>
      </c>
      <c r="AK103" s="154" t="s">
        <v>2370</v>
      </c>
      <c r="AL103" s="154" t="s">
        <v>2370</v>
      </c>
      <c r="AS103" s="154" t="s">
        <v>2033</v>
      </c>
      <c r="AT103" s="154" t="s">
        <v>2033</v>
      </c>
      <c r="AU103" s="154" t="s">
        <v>2033</v>
      </c>
      <c r="AV103" s="154" t="s">
        <v>2033</v>
      </c>
      <c r="AW103" s="154" t="s">
        <v>2033</v>
      </c>
      <c r="AX103" s="154" t="s">
        <v>2033</v>
      </c>
      <c r="AY103" s="154" t="s">
        <v>2033</v>
      </c>
      <c r="AZ103" s="154" t="s">
        <v>2033</v>
      </c>
      <c r="BA103" s="154" t="s">
        <v>2034</v>
      </c>
      <c r="BB103" s="154" t="s">
        <v>2034</v>
      </c>
      <c r="BC103" s="154" t="s">
        <v>2034</v>
      </c>
      <c r="BD103" s="154" t="s">
        <v>2034</v>
      </c>
      <c r="BE103" s="154" t="s">
        <v>2034</v>
      </c>
      <c r="BF103" s="154" t="s">
        <v>2034</v>
      </c>
      <c r="BG103" s="154" t="s">
        <v>2034</v>
      </c>
      <c r="BY103" s="154" t="s">
        <v>2372</v>
      </c>
      <c r="BZ103" s="154" t="s">
        <v>2372</v>
      </c>
      <c r="CA103" s="154" t="s">
        <v>2036</v>
      </c>
      <c r="CB103" s="154" t="s">
        <v>2036</v>
      </c>
      <c r="CC103" s="154" t="s">
        <v>2036</v>
      </c>
      <c r="CD103" s="154" t="s">
        <v>2036</v>
      </c>
      <c r="CE103" s="154" t="s">
        <v>2359</v>
      </c>
      <c r="CF103" s="154" t="s">
        <v>2359</v>
      </c>
      <c r="CG103" s="154" t="s">
        <v>2359</v>
      </c>
      <c r="CH103" s="154" t="s">
        <v>2359</v>
      </c>
    </row>
    <row r="104" spans="1:86" x14ac:dyDescent="0.25">
      <c r="A104" s="373">
        <v>4</v>
      </c>
      <c r="B104" s="373">
        <v>7</v>
      </c>
      <c r="C104" s="373">
        <v>8</v>
      </c>
      <c r="D104" s="373" t="s">
        <v>2774</v>
      </c>
      <c r="E104" s="373" t="s">
        <v>2435</v>
      </c>
      <c r="F104" s="373" t="s">
        <v>2435</v>
      </c>
      <c r="G104" s="373" t="s">
        <v>2404</v>
      </c>
      <c r="H104" s="373" t="s">
        <v>2435</v>
      </c>
      <c r="I104" s="373">
        <v>0</v>
      </c>
      <c r="J104" s="373">
        <v>2</v>
      </c>
      <c r="K104" s="373">
        <v>0</v>
      </c>
      <c r="L104" s="373">
        <v>4</v>
      </c>
      <c r="M104" s="366">
        <v>176</v>
      </c>
      <c r="N104" s="367" t="s">
        <v>961</v>
      </c>
      <c r="O104" s="237" t="s">
        <v>2776</v>
      </c>
      <c r="P104" s="374"/>
      <c r="Q104" s="375" t="s">
        <v>962</v>
      </c>
      <c r="R104" s="376">
        <v>151804</v>
      </c>
      <c r="S104" s="381" t="s">
        <v>578</v>
      </c>
      <c r="T104" s="382">
        <v>43</v>
      </c>
      <c r="U104" s="379" t="s">
        <v>963</v>
      </c>
      <c r="AH104" s="154" t="s">
        <v>2037</v>
      </c>
      <c r="AI104" s="154" t="s">
        <v>2037</v>
      </c>
      <c r="AJ104" s="154" t="s">
        <v>2037</v>
      </c>
      <c r="AK104" s="154" t="s">
        <v>2370</v>
      </c>
      <c r="AL104" s="154" t="s">
        <v>2370</v>
      </c>
      <c r="AS104" s="154" t="s">
        <v>2033</v>
      </c>
      <c r="AT104" s="154" t="s">
        <v>2033</v>
      </c>
      <c r="AU104" s="154" t="s">
        <v>2033</v>
      </c>
      <c r="AV104" s="154" t="s">
        <v>2033</v>
      </c>
      <c r="AW104" s="154" t="s">
        <v>2033</v>
      </c>
      <c r="AX104" s="154" t="s">
        <v>2033</v>
      </c>
      <c r="AY104" s="154" t="s">
        <v>2033</v>
      </c>
      <c r="AZ104" s="154" t="s">
        <v>2033</v>
      </c>
      <c r="BA104" s="154" t="s">
        <v>2034</v>
      </c>
      <c r="BB104" s="154" t="s">
        <v>2034</v>
      </c>
      <c r="BC104" s="154" t="s">
        <v>2034</v>
      </c>
      <c r="BD104" s="154" t="s">
        <v>2034</v>
      </c>
      <c r="BE104" s="154" t="s">
        <v>2034</v>
      </c>
      <c r="BF104" s="154" t="s">
        <v>2034</v>
      </c>
      <c r="BG104" s="154" t="s">
        <v>2034</v>
      </c>
      <c r="BY104" s="154" t="s">
        <v>2372</v>
      </c>
      <c r="BZ104" s="154" t="s">
        <v>2372</v>
      </c>
      <c r="CA104" s="154" t="s">
        <v>2036</v>
      </c>
      <c r="CB104" s="154" t="s">
        <v>2036</v>
      </c>
      <c r="CC104" s="154" t="s">
        <v>2036</v>
      </c>
      <c r="CD104" s="154" t="s">
        <v>2036</v>
      </c>
      <c r="CE104" s="154" t="s">
        <v>2359</v>
      </c>
      <c r="CF104" s="154" t="s">
        <v>2359</v>
      </c>
      <c r="CG104" s="154" t="s">
        <v>2359</v>
      </c>
      <c r="CH104" s="154" t="s">
        <v>2359</v>
      </c>
    </row>
    <row r="105" spans="1:86" x14ac:dyDescent="0.25">
      <c r="A105" s="373">
        <v>4</v>
      </c>
      <c r="B105" s="373">
        <v>7</v>
      </c>
      <c r="C105" s="373">
        <v>8</v>
      </c>
      <c r="D105" s="373" t="s">
        <v>2774</v>
      </c>
      <c r="E105" s="373" t="s">
        <v>2435</v>
      </c>
      <c r="F105" s="373" t="s">
        <v>2435</v>
      </c>
      <c r="G105" s="373" t="s">
        <v>2405</v>
      </c>
      <c r="H105" s="373" t="s">
        <v>2435</v>
      </c>
      <c r="I105" s="373">
        <v>0</v>
      </c>
      <c r="J105" s="373">
        <v>2</v>
      </c>
      <c r="K105" s="373">
        <v>0</v>
      </c>
      <c r="L105" s="373">
        <v>4</v>
      </c>
      <c r="M105" s="366">
        <v>215</v>
      </c>
      <c r="N105" s="367" t="s">
        <v>964</v>
      </c>
      <c r="O105" s="237" t="s">
        <v>2776</v>
      </c>
      <c r="P105" s="374"/>
      <c r="Q105" s="375" t="s">
        <v>965</v>
      </c>
      <c r="R105" s="376">
        <v>154514</v>
      </c>
      <c r="S105" s="381" t="s">
        <v>578</v>
      </c>
      <c r="T105" s="382">
        <v>43</v>
      </c>
      <c r="U105" s="379" t="s">
        <v>966</v>
      </c>
      <c r="AH105" s="154" t="s">
        <v>2037</v>
      </c>
      <c r="AI105" s="154" t="s">
        <v>2037</v>
      </c>
      <c r="AJ105" s="154" t="s">
        <v>2037</v>
      </c>
      <c r="AK105" s="154" t="s">
        <v>2370</v>
      </c>
      <c r="AL105" s="154" t="s">
        <v>2370</v>
      </c>
      <c r="AS105" s="154" t="s">
        <v>2033</v>
      </c>
      <c r="AT105" s="154" t="s">
        <v>2033</v>
      </c>
      <c r="AU105" s="154" t="s">
        <v>2033</v>
      </c>
      <c r="AV105" s="154" t="s">
        <v>2033</v>
      </c>
      <c r="AW105" s="154" t="s">
        <v>2033</v>
      </c>
      <c r="AX105" s="154" t="s">
        <v>2033</v>
      </c>
      <c r="AY105" s="154" t="s">
        <v>2033</v>
      </c>
      <c r="AZ105" s="154" t="s">
        <v>2033</v>
      </c>
      <c r="BA105" s="154" t="s">
        <v>2034</v>
      </c>
      <c r="BB105" s="154" t="s">
        <v>2034</v>
      </c>
      <c r="BC105" s="154" t="s">
        <v>2034</v>
      </c>
      <c r="BD105" s="154" t="s">
        <v>2034</v>
      </c>
      <c r="BE105" s="154" t="s">
        <v>2034</v>
      </c>
      <c r="BF105" s="154" t="s">
        <v>2034</v>
      </c>
      <c r="BG105" s="154" t="s">
        <v>2034</v>
      </c>
      <c r="BY105" s="154" t="s">
        <v>2372</v>
      </c>
      <c r="BZ105" s="154" t="s">
        <v>2372</v>
      </c>
      <c r="CA105" s="154" t="s">
        <v>2036</v>
      </c>
      <c r="CB105" s="154" t="s">
        <v>2036</v>
      </c>
      <c r="CC105" s="154" t="s">
        <v>2036</v>
      </c>
      <c r="CD105" s="154" t="s">
        <v>2036</v>
      </c>
      <c r="CE105" s="154" t="s">
        <v>2359</v>
      </c>
      <c r="CF105" s="154" t="s">
        <v>2359</v>
      </c>
      <c r="CG105" s="154" t="s">
        <v>2359</v>
      </c>
      <c r="CH105" s="154" t="s">
        <v>2359</v>
      </c>
    </row>
    <row r="106" spans="1:86" x14ac:dyDescent="0.25">
      <c r="A106" s="373">
        <v>4</v>
      </c>
      <c r="B106" s="373">
        <v>7</v>
      </c>
      <c r="C106" s="373">
        <v>8</v>
      </c>
      <c r="D106" s="373" t="s">
        <v>2775</v>
      </c>
      <c r="E106" s="373" t="s">
        <v>2435</v>
      </c>
      <c r="F106" s="373" t="s">
        <v>2435</v>
      </c>
      <c r="G106" s="373" t="s">
        <v>2391</v>
      </c>
      <c r="H106" s="373" t="s">
        <v>2435</v>
      </c>
      <c r="I106" s="373">
        <v>0</v>
      </c>
      <c r="J106" s="373">
        <v>2</v>
      </c>
      <c r="K106" s="373">
        <v>0</v>
      </c>
      <c r="L106" s="373">
        <v>3</v>
      </c>
      <c r="M106" s="366">
        <v>84</v>
      </c>
      <c r="N106" s="367" t="s">
        <v>967</v>
      </c>
      <c r="O106" s="237" t="s">
        <v>2776</v>
      </c>
      <c r="P106" s="374"/>
      <c r="Q106" s="375" t="s">
        <v>968</v>
      </c>
      <c r="R106" s="376">
        <v>117013</v>
      </c>
      <c r="S106" s="381" t="s">
        <v>578</v>
      </c>
      <c r="T106" s="382">
        <v>41</v>
      </c>
      <c r="U106" s="379" t="s">
        <v>969</v>
      </c>
      <c r="AH106" s="154" t="s">
        <v>2037</v>
      </c>
      <c r="AI106" s="154" t="s">
        <v>2037</v>
      </c>
      <c r="AJ106" s="154" t="s">
        <v>2037</v>
      </c>
      <c r="AK106" s="154" t="s">
        <v>2370</v>
      </c>
      <c r="AL106" s="154" t="s">
        <v>2370</v>
      </c>
      <c r="AM106" s="154" t="s">
        <v>2370</v>
      </c>
      <c r="AS106" s="154" t="s">
        <v>2033</v>
      </c>
      <c r="AT106" s="154" t="s">
        <v>2033</v>
      </c>
      <c r="AU106" s="154" t="s">
        <v>2033</v>
      </c>
      <c r="AV106" s="154" t="s">
        <v>2033</v>
      </c>
      <c r="AW106" s="154" t="s">
        <v>2033</v>
      </c>
      <c r="AX106" s="154" t="s">
        <v>2033</v>
      </c>
      <c r="AY106" s="154" t="s">
        <v>2033</v>
      </c>
      <c r="AZ106" s="154" t="s">
        <v>2033</v>
      </c>
      <c r="BA106" s="154" t="s">
        <v>2034</v>
      </c>
      <c r="BB106" s="154" t="s">
        <v>2034</v>
      </c>
      <c r="BC106" s="154" t="s">
        <v>2034</v>
      </c>
      <c r="BD106" s="154" t="s">
        <v>2034</v>
      </c>
      <c r="BE106" s="154" t="s">
        <v>2034</v>
      </c>
      <c r="BF106" s="154" t="s">
        <v>2034</v>
      </c>
      <c r="BG106" s="154" t="s">
        <v>2034</v>
      </c>
      <c r="BY106" s="154" t="s">
        <v>2372</v>
      </c>
      <c r="BZ106" s="154" t="s">
        <v>2372</v>
      </c>
      <c r="CA106" s="154" t="s">
        <v>2036</v>
      </c>
      <c r="CB106" s="154" t="s">
        <v>2036</v>
      </c>
      <c r="CC106" s="154" t="s">
        <v>2036</v>
      </c>
      <c r="CD106" s="154" t="s">
        <v>2359</v>
      </c>
      <c r="CE106" s="154" t="s">
        <v>2359</v>
      </c>
      <c r="CF106" s="154" t="s">
        <v>2359</v>
      </c>
      <c r="CG106" s="154" t="s">
        <v>2359</v>
      </c>
    </row>
    <row r="107" spans="1:86" x14ac:dyDescent="0.25">
      <c r="A107" s="373">
        <v>4</v>
      </c>
      <c r="B107" s="373">
        <v>7</v>
      </c>
      <c r="C107" s="373">
        <v>8</v>
      </c>
      <c r="D107" s="373" t="s">
        <v>2775</v>
      </c>
      <c r="E107" s="373" t="s">
        <v>2435</v>
      </c>
      <c r="F107" s="373" t="s">
        <v>2435</v>
      </c>
      <c r="G107" s="373" t="s">
        <v>2392</v>
      </c>
      <c r="H107" s="373" t="s">
        <v>2435</v>
      </c>
      <c r="I107" s="373">
        <v>0</v>
      </c>
      <c r="J107" s="373">
        <v>2</v>
      </c>
      <c r="K107" s="373">
        <v>0</v>
      </c>
      <c r="L107" s="373">
        <v>3</v>
      </c>
      <c r="M107" s="366">
        <v>96</v>
      </c>
      <c r="N107" s="367" t="s">
        <v>970</v>
      </c>
      <c r="O107" s="237" t="s">
        <v>2776</v>
      </c>
      <c r="P107" s="374"/>
      <c r="Q107" s="375" t="s">
        <v>971</v>
      </c>
      <c r="R107" s="376">
        <v>120344</v>
      </c>
      <c r="S107" s="381" t="s">
        <v>578</v>
      </c>
      <c r="T107" s="382">
        <v>41</v>
      </c>
      <c r="U107" s="379" t="s">
        <v>972</v>
      </c>
      <c r="AH107" s="154" t="s">
        <v>2037</v>
      </c>
      <c r="AI107" s="154" t="s">
        <v>2037</v>
      </c>
      <c r="AJ107" s="154" t="s">
        <v>2037</v>
      </c>
      <c r="AK107" s="154" t="s">
        <v>2370</v>
      </c>
      <c r="AL107" s="154" t="s">
        <v>2370</v>
      </c>
      <c r="AM107" s="154" t="s">
        <v>2370</v>
      </c>
      <c r="AS107" s="154" t="s">
        <v>2033</v>
      </c>
      <c r="AT107" s="154" t="s">
        <v>2033</v>
      </c>
      <c r="AU107" s="154" t="s">
        <v>2033</v>
      </c>
      <c r="AV107" s="154" t="s">
        <v>2033</v>
      </c>
      <c r="AW107" s="154" t="s">
        <v>2033</v>
      </c>
      <c r="AX107" s="154" t="s">
        <v>2033</v>
      </c>
      <c r="AY107" s="154" t="s">
        <v>2033</v>
      </c>
      <c r="AZ107" s="154" t="s">
        <v>2033</v>
      </c>
      <c r="BA107" s="154" t="s">
        <v>2034</v>
      </c>
      <c r="BB107" s="154" t="s">
        <v>2034</v>
      </c>
      <c r="BC107" s="154" t="s">
        <v>2034</v>
      </c>
      <c r="BD107" s="154" t="s">
        <v>2034</v>
      </c>
      <c r="BE107" s="154" t="s">
        <v>2034</v>
      </c>
      <c r="BF107" s="154" t="s">
        <v>2034</v>
      </c>
      <c r="BG107" s="154" t="s">
        <v>2034</v>
      </c>
      <c r="BY107" s="154" t="s">
        <v>2372</v>
      </c>
      <c r="BZ107" s="154" t="s">
        <v>2372</v>
      </c>
      <c r="CA107" s="154" t="s">
        <v>2036</v>
      </c>
      <c r="CB107" s="154" t="s">
        <v>2036</v>
      </c>
      <c r="CC107" s="154" t="s">
        <v>2036</v>
      </c>
      <c r="CD107" s="154" t="s">
        <v>2359</v>
      </c>
      <c r="CE107" s="154" t="s">
        <v>2359</v>
      </c>
      <c r="CF107" s="154" t="s">
        <v>2359</v>
      </c>
      <c r="CG107" s="154" t="s">
        <v>2359</v>
      </c>
    </row>
    <row r="108" spans="1:86" x14ac:dyDescent="0.25">
      <c r="A108" s="373">
        <v>4</v>
      </c>
      <c r="B108" s="373">
        <v>7</v>
      </c>
      <c r="C108" s="373">
        <v>8</v>
      </c>
      <c r="D108" s="373" t="s">
        <v>2775</v>
      </c>
      <c r="E108" s="373" t="s">
        <v>2435</v>
      </c>
      <c r="F108" s="373" t="s">
        <v>2435</v>
      </c>
      <c r="G108" s="373" t="s">
        <v>2389</v>
      </c>
      <c r="H108" s="373" t="s">
        <v>2435</v>
      </c>
      <c r="I108" s="373">
        <v>0</v>
      </c>
      <c r="J108" s="373">
        <v>2</v>
      </c>
      <c r="K108" s="373">
        <v>0</v>
      </c>
      <c r="L108" s="373">
        <v>3</v>
      </c>
      <c r="M108" s="366">
        <v>111</v>
      </c>
      <c r="N108" s="367" t="s">
        <v>973</v>
      </c>
      <c r="O108" s="237" t="s">
        <v>2776</v>
      </c>
      <c r="P108" s="374"/>
      <c r="Q108" s="375" t="s">
        <v>974</v>
      </c>
      <c r="R108" s="376">
        <v>122702</v>
      </c>
      <c r="S108" s="381" t="s">
        <v>578</v>
      </c>
      <c r="T108" s="382">
        <v>41</v>
      </c>
      <c r="U108" s="379" t="s">
        <v>975</v>
      </c>
      <c r="AH108" s="154" t="s">
        <v>2037</v>
      </c>
      <c r="AI108" s="154" t="s">
        <v>2037</v>
      </c>
      <c r="AJ108" s="154" t="s">
        <v>2037</v>
      </c>
      <c r="AK108" s="154" t="s">
        <v>2370</v>
      </c>
      <c r="AL108" s="154" t="s">
        <v>2370</v>
      </c>
      <c r="AM108" s="154" t="s">
        <v>2370</v>
      </c>
      <c r="AS108" s="154" t="s">
        <v>2033</v>
      </c>
      <c r="AT108" s="154" t="s">
        <v>2033</v>
      </c>
      <c r="AU108" s="154" t="s">
        <v>2033</v>
      </c>
      <c r="AV108" s="154" t="s">
        <v>2033</v>
      </c>
      <c r="AW108" s="154" t="s">
        <v>2033</v>
      </c>
      <c r="AX108" s="154" t="s">
        <v>2033</v>
      </c>
      <c r="AY108" s="154" t="s">
        <v>2033</v>
      </c>
      <c r="AZ108" s="154" t="s">
        <v>2033</v>
      </c>
      <c r="BA108" s="154" t="s">
        <v>2034</v>
      </c>
      <c r="BB108" s="154" t="s">
        <v>2034</v>
      </c>
      <c r="BC108" s="154" t="s">
        <v>2034</v>
      </c>
      <c r="BD108" s="154" t="s">
        <v>2034</v>
      </c>
      <c r="BE108" s="154" t="s">
        <v>2034</v>
      </c>
      <c r="BF108" s="154" t="s">
        <v>2034</v>
      </c>
      <c r="BG108" s="154" t="s">
        <v>2034</v>
      </c>
      <c r="BY108" s="154" t="s">
        <v>2372</v>
      </c>
      <c r="BZ108" s="154" t="s">
        <v>2372</v>
      </c>
      <c r="CA108" s="154" t="s">
        <v>2036</v>
      </c>
      <c r="CB108" s="154" t="s">
        <v>2036</v>
      </c>
      <c r="CC108" s="154" t="s">
        <v>2036</v>
      </c>
      <c r="CD108" s="154" t="s">
        <v>2359</v>
      </c>
      <c r="CE108" s="154" t="s">
        <v>2359</v>
      </c>
      <c r="CF108" s="154" t="s">
        <v>2359</v>
      </c>
      <c r="CG108" s="154" t="s">
        <v>2359</v>
      </c>
    </row>
    <row r="109" spans="1:86" x14ac:dyDescent="0.25">
      <c r="A109" s="373">
        <v>4</v>
      </c>
      <c r="B109" s="373">
        <v>7</v>
      </c>
      <c r="C109" s="373">
        <v>8</v>
      </c>
      <c r="D109" s="373" t="s">
        <v>2775</v>
      </c>
      <c r="E109" s="373" t="s">
        <v>2435</v>
      </c>
      <c r="F109" s="373" t="s">
        <v>2435</v>
      </c>
      <c r="G109" s="373" t="s">
        <v>2390</v>
      </c>
      <c r="H109" s="373" t="s">
        <v>2435</v>
      </c>
      <c r="I109" s="373">
        <v>0</v>
      </c>
      <c r="J109" s="373">
        <v>2</v>
      </c>
      <c r="K109" s="373">
        <v>0</v>
      </c>
      <c r="L109" s="373">
        <v>3</v>
      </c>
      <c r="M109" s="366">
        <v>132</v>
      </c>
      <c r="N109" s="367" t="s">
        <v>976</v>
      </c>
      <c r="O109" s="237" t="s">
        <v>2776</v>
      </c>
      <c r="P109" s="374"/>
      <c r="Q109" s="375" t="s">
        <v>977</v>
      </c>
      <c r="R109" s="376">
        <v>126676</v>
      </c>
      <c r="S109" s="381" t="s">
        <v>578</v>
      </c>
      <c r="T109" s="382">
        <v>41</v>
      </c>
      <c r="U109" s="379" t="s">
        <v>978</v>
      </c>
      <c r="AH109" s="154" t="s">
        <v>2037</v>
      </c>
      <c r="AI109" s="154" t="s">
        <v>2037</v>
      </c>
      <c r="AJ109" s="154" t="s">
        <v>2037</v>
      </c>
      <c r="AK109" s="154" t="s">
        <v>2370</v>
      </c>
      <c r="AL109" s="154" t="s">
        <v>2370</v>
      </c>
      <c r="AM109" s="154" t="s">
        <v>2370</v>
      </c>
      <c r="AS109" s="154" t="s">
        <v>2033</v>
      </c>
      <c r="AT109" s="154" t="s">
        <v>2033</v>
      </c>
      <c r="AU109" s="154" t="s">
        <v>2033</v>
      </c>
      <c r="AV109" s="154" t="s">
        <v>2033</v>
      </c>
      <c r="AW109" s="154" t="s">
        <v>2033</v>
      </c>
      <c r="AX109" s="154" t="s">
        <v>2033</v>
      </c>
      <c r="AY109" s="154" t="s">
        <v>2033</v>
      </c>
      <c r="AZ109" s="154" t="s">
        <v>2033</v>
      </c>
      <c r="BA109" s="154" t="s">
        <v>2034</v>
      </c>
      <c r="BB109" s="154" t="s">
        <v>2034</v>
      </c>
      <c r="BC109" s="154" t="s">
        <v>2034</v>
      </c>
      <c r="BD109" s="154" t="s">
        <v>2034</v>
      </c>
      <c r="BE109" s="154" t="s">
        <v>2034</v>
      </c>
      <c r="BF109" s="154" t="s">
        <v>2034</v>
      </c>
      <c r="BG109" s="154" t="s">
        <v>2034</v>
      </c>
      <c r="BY109" s="154" t="s">
        <v>2372</v>
      </c>
      <c r="BZ109" s="154" t="s">
        <v>2372</v>
      </c>
      <c r="CA109" s="154" t="s">
        <v>2036</v>
      </c>
      <c r="CB109" s="154" t="s">
        <v>2036</v>
      </c>
      <c r="CC109" s="154" t="s">
        <v>2036</v>
      </c>
      <c r="CD109" s="154" t="s">
        <v>2359</v>
      </c>
      <c r="CE109" s="154" t="s">
        <v>2359</v>
      </c>
      <c r="CF109" s="154" t="s">
        <v>2359</v>
      </c>
      <c r="CG109" s="154" t="s">
        <v>2359</v>
      </c>
    </row>
    <row r="110" spans="1:86" x14ac:dyDescent="0.25">
      <c r="A110" s="373">
        <v>4</v>
      </c>
      <c r="B110" s="373">
        <v>7</v>
      </c>
      <c r="C110" s="373">
        <v>8</v>
      </c>
      <c r="D110" s="373" t="s">
        <v>2775</v>
      </c>
      <c r="E110" s="373" t="s">
        <v>2435</v>
      </c>
      <c r="F110" s="373" t="s">
        <v>2435</v>
      </c>
      <c r="G110" s="373" t="s">
        <v>2403</v>
      </c>
      <c r="H110" s="373" t="s">
        <v>2435</v>
      </c>
      <c r="I110" s="373">
        <v>0</v>
      </c>
      <c r="J110" s="373">
        <v>2</v>
      </c>
      <c r="K110" s="373">
        <v>0</v>
      </c>
      <c r="L110" s="373">
        <v>3</v>
      </c>
      <c r="M110" s="366">
        <v>156</v>
      </c>
      <c r="N110" s="367" t="s">
        <v>979</v>
      </c>
      <c r="O110" s="237" t="s">
        <v>2776</v>
      </c>
      <c r="P110" s="374"/>
      <c r="Q110" s="375" t="s">
        <v>980</v>
      </c>
      <c r="R110" s="376">
        <v>143959</v>
      </c>
      <c r="S110" s="381" t="s">
        <v>578</v>
      </c>
      <c r="T110" s="382">
        <v>43</v>
      </c>
      <c r="U110" s="379" t="s">
        <v>981</v>
      </c>
      <c r="AH110" s="154" t="s">
        <v>2037</v>
      </c>
      <c r="AI110" s="154" t="s">
        <v>2037</v>
      </c>
      <c r="AJ110" s="154" t="s">
        <v>2037</v>
      </c>
      <c r="AK110" s="154" t="s">
        <v>2370</v>
      </c>
      <c r="AL110" s="154" t="s">
        <v>2370</v>
      </c>
      <c r="AM110" s="154" t="s">
        <v>2370</v>
      </c>
      <c r="AS110" s="154" t="s">
        <v>2033</v>
      </c>
      <c r="AT110" s="154" t="s">
        <v>2033</v>
      </c>
      <c r="AU110" s="154" t="s">
        <v>2033</v>
      </c>
      <c r="AV110" s="154" t="s">
        <v>2033</v>
      </c>
      <c r="AW110" s="154" t="s">
        <v>2033</v>
      </c>
      <c r="AX110" s="154" t="s">
        <v>2033</v>
      </c>
      <c r="AY110" s="154" t="s">
        <v>2033</v>
      </c>
      <c r="AZ110" s="154" t="s">
        <v>2033</v>
      </c>
      <c r="BA110" s="154" t="s">
        <v>2034</v>
      </c>
      <c r="BB110" s="154" t="s">
        <v>2034</v>
      </c>
      <c r="BC110" s="154" t="s">
        <v>2034</v>
      </c>
      <c r="BD110" s="154" t="s">
        <v>2034</v>
      </c>
      <c r="BE110" s="154" t="s">
        <v>2034</v>
      </c>
      <c r="BF110" s="154" t="s">
        <v>2034</v>
      </c>
      <c r="BG110" s="154" t="s">
        <v>2034</v>
      </c>
      <c r="BY110" s="154" t="s">
        <v>2372</v>
      </c>
      <c r="BZ110" s="154" t="s">
        <v>2372</v>
      </c>
      <c r="CA110" s="154" t="s">
        <v>2036</v>
      </c>
      <c r="CB110" s="154" t="s">
        <v>2036</v>
      </c>
      <c r="CC110" s="154" t="s">
        <v>2036</v>
      </c>
      <c r="CD110" s="154" t="s">
        <v>2359</v>
      </c>
      <c r="CE110" s="154" t="s">
        <v>2359</v>
      </c>
      <c r="CF110" s="154" t="s">
        <v>2359</v>
      </c>
      <c r="CG110" s="154" t="s">
        <v>2359</v>
      </c>
    </row>
    <row r="111" spans="1:86" x14ac:dyDescent="0.25">
      <c r="A111" s="373">
        <v>4</v>
      </c>
      <c r="B111" s="373">
        <v>7</v>
      </c>
      <c r="C111" s="373">
        <v>8</v>
      </c>
      <c r="D111" s="373" t="s">
        <v>2775</v>
      </c>
      <c r="E111" s="373" t="s">
        <v>2435</v>
      </c>
      <c r="F111" s="373" t="s">
        <v>2435</v>
      </c>
      <c r="G111" s="373" t="s">
        <v>2404</v>
      </c>
      <c r="H111" s="373" t="s">
        <v>2435</v>
      </c>
      <c r="I111" s="373">
        <v>0</v>
      </c>
      <c r="J111" s="373">
        <v>2</v>
      </c>
      <c r="K111" s="373">
        <v>0</v>
      </c>
      <c r="L111" s="373">
        <v>3</v>
      </c>
      <c r="M111" s="366">
        <v>186</v>
      </c>
      <c r="N111" s="367" t="s">
        <v>982</v>
      </c>
      <c r="O111" s="237" t="s">
        <v>2776</v>
      </c>
      <c r="P111" s="374"/>
      <c r="Q111" s="375" t="s">
        <v>983</v>
      </c>
      <c r="R111" s="376">
        <v>154916</v>
      </c>
      <c r="S111" s="381" t="s">
        <v>578</v>
      </c>
      <c r="T111" s="382">
        <v>43</v>
      </c>
      <c r="U111" s="379" t="s">
        <v>984</v>
      </c>
      <c r="AH111" s="154" t="s">
        <v>2037</v>
      </c>
      <c r="AI111" s="154" t="s">
        <v>2037</v>
      </c>
      <c r="AJ111" s="154" t="s">
        <v>2037</v>
      </c>
      <c r="AK111" s="154" t="s">
        <v>2370</v>
      </c>
      <c r="AL111" s="154" t="s">
        <v>2370</v>
      </c>
      <c r="AM111" s="154" t="s">
        <v>2370</v>
      </c>
      <c r="AS111" s="154" t="s">
        <v>2033</v>
      </c>
      <c r="AT111" s="154" t="s">
        <v>2033</v>
      </c>
      <c r="AU111" s="154" t="s">
        <v>2033</v>
      </c>
      <c r="AV111" s="154" t="s">
        <v>2033</v>
      </c>
      <c r="AW111" s="154" t="s">
        <v>2033</v>
      </c>
      <c r="AX111" s="154" t="s">
        <v>2033</v>
      </c>
      <c r="AY111" s="154" t="s">
        <v>2033</v>
      </c>
      <c r="AZ111" s="154" t="s">
        <v>2033</v>
      </c>
      <c r="BA111" s="154" t="s">
        <v>2034</v>
      </c>
      <c r="BB111" s="154" t="s">
        <v>2034</v>
      </c>
      <c r="BC111" s="154" t="s">
        <v>2034</v>
      </c>
      <c r="BD111" s="154" t="s">
        <v>2034</v>
      </c>
      <c r="BE111" s="154" t="s">
        <v>2034</v>
      </c>
      <c r="BF111" s="154" t="s">
        <v>2034</v>
      </c>
      <c r="BG111" s="154" t="s">
        <v>2034</v>
      </c>
      <c r="BY111" s="154" t="s">
        <v>2372</v>
      </c>
      <c r="BZ111" s="154" t="s">
        <v>2372</v>
      </c>
      <c r="CA111" s="154" t="s">
        <v>2036</v>
      </c>
      <c r="CB111" s="154" t="s">
        <v>2036</v>
      </c>
      <c r="CC111" s="154" t="s">
        <v>2036</v>
      </c>
      <c r="CD111" s="154" t="s">
        <v>2359</v>
      </c>
      <c r="CE111" s="154" t="s">
        <v>2359</v>
      </c>
      <c r="CF111" s="154" t="s">
        <v>2359</v>
      </c>
      <c r="CG111" s="154" t="s">
        <v>2359</v>
      </c>
    </row>
    <row r="112" spans="1:86" x14ac:dyDescent="0.25">
      <c r="A112" s="373">
        <v>4</v>
      </c>
      <c r="B112" s="373">
        <v>7</v>
      </c>
      <c r="C112" s="373">
        <v>8</v>
      </c>
      <c r="D112" s="373" t="s">
        <v>2775</v>
      </c>
      <c r="E112" s="373" t="s">
        <v>2435</v>
      </c>
      <c r="F112" s="373" t="s">
        <v>2435</v>
      </c>
      <c r="G112" s="373" t="s">
        <v>2405</v>
      </c>
      <c r="H112" s="373" t="s">
        <v>2435</v>
      </c>
      <c r="I112" s="373">
        <v>0</v>
      </c>
      <c r="J112" s="373">
        <v>2</v>
      </c>
      <c r="K112" s="373">
        <v>0</v>
      </c>
      <c r="L112" s="373">
        <v>3</v>
      </c>
      <c r="M112" s="366">
        <v>225</v>
      </c>
      <c r="N112" s="367" t="s">
        <v>985</v>
      </c>
      <c r="O112" s="237" t="s">
        <v>2776</v>
      </c>
      <c r="P112" s="374"/>
      <c r="Q112" s="375" t="s">
        <v>986</v>
      </c>
      <c r="R112" s="376">
        <v>157650</v>
      </c>
      <c r="S112" s="381" t="s">
        <v>578</v>
      </c>
      <c r="T112" s="382">
        <v>43</v>
      </c>
      <c r="U112" s="379" t="s">
        <v>987</v>
      </c>
      <c r="AH112" s="154" t="s">
        <v>2037</v>
      </c>
      <c r="AI112" s="154" t="s">
        <v>2037</v>
      </c>
      <c r="AJ112" s="154" t="s">
        <v>2037</v>
      </c>
      <c r="AK112" s="154" t="s">
        <v>2370</v>
      </c>
      <c r="AL112" s="154" t="s">
        <v>2370</v>
      </c>
      <c r="AM112" s="154" t="s">
        <v>2370</v>
      </c>
      <c r="AS112" s="154" t="s">
        <v>2033</v>
      </c>
      <c r="AT112" s="154" t="s">
        <v>2033</v>
      </c>
      <c r="AU112" s="154" t="s">
        <v>2033</v>
      </c>
      <c r="AV112" s="154" t="s">
        <v>2033</v>
      </c>
      <c r="AW112" s="154" t="s">
        <v>2033</v>
      </c>
      <c r="AX112" s="154" t="s">
        <v>2033</v>
      </c>
      <c r="AY112" s="154" t="s">
        <v>2033</v>
      </c>
      <c r="AZ112" s="154" t="s">
        <v>2033</v>
      </c>
      <c r="BA112" s="154" t="s">
        <v>2034</v>
      </c>
      <c r="BB112" s="154" t="s">
        <v>2034</v>
      </c>
      <c r="BC112" s="154" t="s">
        <v>2034</v>
      </c>
      <c r="BD112" s="154" t="s">
        <v>2034</v>
      </c>
      <c r="BE112" s="154" t="s">
        <v>2034</v>
      </c>
      <c r="BF112" s="154" t="s">
        <v>2034</v>
      </c>
      <c r="BG112" s="154" t="s">
        <v>2034</v>
      </c>
      <c r="BY112" s="154" t="s">
        <v>2372</v>
      </c>
      <c r="BZ112" s="154" t="s">
        <v>2372</v>
      </c>
      <c r="CA112" s="154" t="s">
        <v>2036</v>
      </c>
      <c r="CB112" s="154" t="s">
        <v>2036</v>
      </c>
      <c r="CC112" s="154" t="s">
        <v>2036</v>
      </c>
      <c r="CD112" s="154" t="s">
        <v>2359</v>
      </c>
      <c r="CE112" s="154" t="s">
        <v>2359</v>
      </c>
      <c r="CF112" s="154" t="s">
        <v>2359</v>
      </c>
      <c r="CG112" s="154" t="s">
        <v>2359</v>
      </c>
    </row>
    <row r="113" spans="1:89" x14ac:dyDescent="0.25">
      <c r="A113" s="372">
        <v>5</v>
      </c>
      <c r="B113" s="372">
        <v>11</v>
      </c>
      <c r="C113" s="372">
        <v>12</v>
      </c>
      <c r="D113" s="372" t="s">
        <v>2374</v>
      </c>
      <c r="E113" s="372" t="s">
        <v>2435</v>
      </c>
      <c r="F113" s="372" t="s">
        <v>2435</v>
      </c>
      <c r="G113" s="372" t="s">
        <v>2393</v>
      </c>
      <c r="H113" s="372" t="s">
        <v>2435</v>
      </c>
      <c r="I113" s="372">
        <v>0</v>
      </c>
      <c r="J113" s="372">
        <v>3</v>
      </c>
      <c r="K113" s="372">
        <v>0</v>
      </c>
      <c r="L113" s="372">
        <v>5</v>
      </c>
      <c r="M113" s="359">
        <v>73</v>
      </c>
      <c r="N113" s="383" t="s">
        <v>988</v>
      </c>
      <c r="O113" s="237" t="s">
        <v>2777</v>
      </c>
      <c r="P113" s="237"/>
      <c r="Q113" s="360" t="s">
        <v>2271</v>
      </c>
      <c r="R113" s="361">
        <v>133724</v>
      </c>
      <c r="S113" s="369" t="s">
        <v>578</v>
      </c>
      <c r="T113" s="380">
        <v>42</v>
      </c>
      <c r="U113" s="364" t="s">
        <v>2272</v>
      </c>
      <c r="AH113" s="154" t="s">
        <v>2037</v>
      </c>
      <c r="AI113" s="154" t="s">
        <v>2037</v>
      </c>
      <c r="AJ113" s="154" t="s">
        <v>2037</v>
      </c>
      <c r="AK113" s="154" t="s">
        <v>2037</v>
      </c>
      <c r="AL113" s="154" t="s">
        <v>2370</v>
      </c>
      <c r="AS113" s="154" t="s">
        <v>2033</v>
      </c>
      <c r="AT113" s="154" t="s">
        <v>2033</v>
      </c>
      <c r="AU113" s="154" t="s">
        <v>2033</v>
      </c>
      <c r="AV113" s="154" t="s">
        <v>2033</v>
      </c>
      <c r="AW113" s="154" t="s">
        <v>2033</v>
      </c>
      <c r="AX113" s="154" t="s">
        <v>2033</v>
      </c>
      <c r="AY113" s="154" t="s">
        <v>2033</v>
      </c>
      <c r="AZ113" s="154" t="s">
        <v>2033</v>
      </c>
      <c r="BA113" s="154" t="s">
        <v>2033</v>
      </c>
      <c r="BB113" s="154" t="s">
        <v>2033</v>
      </c>
      <c r="BC113" s="154" t="s">
        <v>2033</v>
      </c>
      <c r="BD113" s="154" t="s">
        <v>2033</v>
      </c>
      <c r="BE113" s="154" t="s">
        <v>2034</v>
      </c>
      <c r="BF113" s="154" t="s">
        <v>2034</v>
      </c>
      <c r="BG113" s="154" t="s">
        <v>2034</v>
      </c>
      <c r="BH113" s="154" t="s">
        <v>2034</v>
      </c>
      <c r="BI113" s="154" t="s">
        <v>2034</v>
      </c>
      <c r="BJ113" s="154" t="s">
        <v>2034</v>
      </c>
      <c r="BK113" s="154" t="s">
        <v>2034</v>
      </c>
      <c r="BL113" s="154" t="s">
        <v>2034</v>
      </c>
      <c r="BM113" s="154" t="s">
        <v>2034</v>
      </c>
      <c r="BN113" s="154" t="s">
        <v>2034</v>
      </c>
      <c r="BO113" s="154" t="s">
        <v>2034</v>
      </c>
      <c r="BY113" s="154" t="s">
        <v>2372</v>
      </c>
      <c r="BZ113" s="154" t="s">
        <v>2372</v>
      </c>
      <c r="CA113" s="154" t="s">
        <v>2372</v>
      </c>
      <c r="CB113" s="154" t="s">
        <v>2036</v>
      </c>
      <c r="CC113" s="154" t="s">
        <v>2036</v>
      </c>
      <c r="CD113" s="154" t="s">
        <v>2036</v>
      </c>
      <c r="CE113" s="154" t="s">
        <v>2036</v>
      </c>
      <c r="CF113" s="154" t="s">
        <v>2036</v>
      </c>
      <c r="CG113" s="154" t="s">
        <v>2359</v>
      </c>
      <c r="CH113" s="154" t="s">
        <v>2359</v>
      </c>
      <c r="CI113" s="154" t="s">
        <v>2359</v>
      </c>
      <c r="CJ113" s="154" t="s">
        <v>2359</v>
      </c>
      <c r="CK113" s="154" t="s">
        <v>2359</v>
      </c>
    </row>
    <row r="114" spans="1:89" x14ac:dyDescent="0.25">
      <c r="A114" s="372">
        <v>5</v>
      </c>
      <c r="B114" s="372">
        <v>11</v>
      </c>
      <c r="C114" s="372">
        <v>12</v>
      </c>
      <c r="D114" s="372" t="s">
        <v>2374</v>
      </c>
      <c r="E114" s="372" t="s">
        <v>2435</v>
      </c>
      <c r="F114" s="372" t="s">
        <v>2435</v>
      </c>
      <c r="G114" s="372" t="s">
        <v>2394</v>
      </c>
      <c r="H114" s="372" t="s">
        <v>2435</v>
      </c>
      <c r="I114" s="372">
        <v>0</v>
      </c>
      <c r="J114" s="372">
        <v>3</v>
      </c>
      <c r="K114" s="372">
        <v>0</v>
      </c>
      <c r="L114" s="372">
        <v>5</v>
      </c>
      <c r="M114" s="359">
        <v>89</v>
      </c>
      <c r="N114" s="383" t="s">
        <v>991</v>
      </c>
      <c r="O114" s="237" t="s">
        <v>2777</v>
      </c>
      <c r="P114" s="237"/>
      <c r="Q114" s="360" t="s">
        <v>2273</v>
      </c>
      <c r="R114" s="361">
        <v>139426</v>
      </c>
      <c r="S114" s="369" t="s">
        <v>578</v>
      </c>
      <c r="T114" s="380">
        <v>42</v>
      </c>
      <c r="U114" s="364" t="s">
        <v>2274</v>
      </c>
      <c r="AH114" s="154" t="s">
        <v>2037</v>
      </c>
      <c r="AI114" s="154" t="s">
        <v>2037</v>
      </c>
      <c r="AJ114" s="154" t="s">
        <v>2037</v>
      </c>
      <c r="AK114" s="154" t="s">
        <v>2037</v>
      </c>
      <c r="AL114" s="154" t="s">
        <v>2370</v>
      </c>
      <c r="AS114" s="154" t="s">
        <v>2033</v>
      </c>
      <c r="AT114" s="154" t="s">
        <v>2033</v>
      </c>
      <c r="AU114" s="154" t="s">
        <v>2033</v>
      </c>
      <c r="AV114" s="154" t="s">
        <v>2033</v>
      </c>
      <c r="AW114" s="154" t="s">
        <v>2033</v>
      </c>
      <c r="AX114" s="154" t="s">
        <v>2033</v>
      </c>
      <c r="AY114" s="154" t="s">
        <v>2033</v>
      </c>
      <c r="AZ114" s="154" t="s">
        <v>2033</v>
      </c>
      <c r="BA114" s="154" t="s">
        <v>2033</v>
      </c>
      <c r="BB114" s="154" t="s">
        <v>2033</v>
      </c>
      <c r="BC114" s="154" t="s">
        <v>2033</v>
      </c>
      <c r="BD114" s="154" t="s">
        <v>2033</v>
      </c>
      <c r="BE114" s="154" t="s">
        <v>2034</v>
      </c>
      <c r="BF114" s="154" t="s">
        <v>2034</v>
      </c>
      <c r="BG114" s="154" t="s">
        <v>2034</v>
      </c>
      <c r="BH114" s="154" t="s">
        <v>2034</v>
      </c>
      <c r="BI114" s="154" t="s">
        <v>2034</v>
      </c>
      <c r="BJ114" s="154" t="s">
        <v>2034</v>
      </c>
      <c r="BK114" s="154" t="s">
        <v>2034</v>
      </c>
      <c r="BL114" s="154" t="s">
        <v>2034</v>
      </c>
      <c r="BM114" s="154" t="s">
        <v>2034</v>
      </c>
      <c r="BN114" s="154" t="s">
        <v>2034</v>
      </c>
      <c r="BO114" s="154" t="s">
        <v>2034</v>
      </c>
      <c r="BY114" s="154" t="s">
        <v>2372</v>
      </c>
      <c r="BZ114" s="154" t="s">
        <v>2372</v>
      </c>
      <c r="CA114" s="154" t="s">
        <v>2372</v>
      </c>
      <c r="CB114" s="154" t="s">
        <v>2036</v>
      </c>
      <c r="CC114" s="154" t="s">
        <v>2036</v>
      </c>
      <c r="CD114" s="154" t="s">
        <v>2036</v>
      </c>
      <c r="CE114" s="154" t="s">
        <v>2036</v>
      </c>
      <c r="CF114" s="154" t="s">
        <v>2036</v>
      </c>
      <c r="CG114" s="154" t="s">
        <v>2359</v>
      </c>
      <c r="CH114" s="154" t="s">
        <v>2359</v>
      </c>
      <c r="CI114" s="154" t="s">
        <v>2359</v>
      </c>
      <c r="CJ114" s="154" t="s">
        <v>2359</v>
      </c>
      <c r="CK114" s="154" t="s">
        <v>2359</v>
      </c>
    </row>
    <row r="115" spans="1:89" x14ac:dyDescent="0.25">
      <c r="A115" s="372">
        <v>5</v>
      </c>
      <c r="B115" s="372">
        <v>11</v>
      </c>
      <c r="C115" s="372">
        <v>12</v>
      </c>
      <c r="D115" s="372" t="s">
        <v>2374</v>
      </c>
      <c r="E115" s="372" t="s">
        <v>2435</v>
      </c>
      <c r="F115" s="372" t="s">
        <v>2435</v>
      </c>
      <c r="G115" s="372" t="s">
        <v>2395</v>
      </c>
      <c r="H115" s="372" t="s">
        <v>2435</v>
      </c>
      <c r="I115" s="372">
        <v>0</v>
      </c>
      <c r="J115" s="372">
        <v>3</v>
      </c>
      <c r="K115" s="372">
        <v>0</v>
      </c>
      <c r="L115" s="372">
        <v>5</v>
      </c>
      <c r="M115" s="359">
        <v>109</v>
      </c>
      <c r="N115" s="383" t="s">
        <v>994</v>
      </c>
      <c r="O115" s="237" t="s">
        <v>2777</v>
      </c>
      <c r="P115" s="237"/>
      <c r="Q115" s="360" t="s">
        <v>2275</v>
      </c>
      <c r="R115" s="361">
        <v>141978</v>
      </c>
      <c r="S115" s="369" t="s">
        <v>578</v>
      </c>
      <c r="T115" s="380">
        <v>42</v>
      </c>
      <c r="U115" s="364" t="s">
        <v>2276</v>
      </c>
      <c r="AH115" s="154" t="s">
        <v>2037</v>
      </c>
      <c r="AI115" s="154" t="s">
        <v>2037</v>
      </c>
      <c r="AJ115" s="154" t="s">
        <v>2037</v>
      </c>
      <c r="AK115" s="154" t="s">
        <v>2037</v>
      </c>
      <c r="AL115" s="154" t="s">
        <v>2370</v>
      </c>
      <c r="AS115" s="154" t="s">
        <v>2033</v>
      </c>
      <c r="AT115" s="154" t="s">
        <v>2033</v>
      </c>
      <c r="AU115" s="154" t="s">
        <v>2033</v>
      </c>
      <c r="AV115" s="154" t="s">
        <v>2033</v>
      </c>
      <c r="AW115" s="154" t="s">
        <v>2033</v>
      </c>
      <c r="AX115" s="154" t="s">
        <v>2033</v>
      </c>
      <c r="AY115" s="154" t="s">
        <v>2033</v>
      </c>
      <c r="AZ115" s="154" t="s">
        <v>2033</v>
      </c>
      <c r="BA115" s="154" t="s">
        <v>2033</v>
      </c>
      <c r="BB115" s="154" t="s">
        <v>2033</v>
      </c>
      <c r="BC115" s="154" t="s">
        <v>2033</v>
      </c>
      <c r="BD115" s="154" t="s">
        <v>2033</v>
      </c>
      <c r="BE115" s="154" t="s">
        <v>2034</v>
      </c>
      <c r="BF115" s="154" t="s">
        <v>2034</v>
      </c>
      <c r="BG115" s="154" t="s">
        <v>2034</v>
      </c>
      <c r="BH115" s="154" t="s">
        <v>2034</v>
      </c>
      <c r="BI115" s="154" t="s">
        <v>2034</v>
      </c>
      <c r="BJ115" s="154" t="s">
        <v>2034</v>
      </c>
      <c r="BK115" s="154" t="s">
        <v>2034</v>
      </c>
      <c r="BL115" s="154" t="s">
        <v>2034</v>
      </c>
      <c r="BM115" s="154" t="s">
        <v>2034</v>
      </c>
      <c r="BN115" s="154" t="s">
        <v>2034</v>
      </c>
      <c r="BO115" s="154" t="s">
        <v>2034</v>
      </c>
      <c r="BY115" s="154" t="s">
        <v>2372</v>
      </c>
      <c r="BZ115" s="154" t="s">
        <v>2372</v>
      </c>
      <c r="CA115" s="154" t="s">
        <v>2372</v>
      </c>
      <c r="CB115" s="154" t="s">
        <v>2036</v>
      </c>
      <c r="CC115" s="154" t="s">
        <v>2036</v>
      </c>
      <c r="CD115" s="154" t="s">
        <v>2036</v>
      </c>
      <c r="CE115" s="154" t="s">
        <v>2036</v>
      </c>
      <c r="CF115" s="154" t="s">
        <v>2036</v>
      </c>
      <c r="CG115" s="154" t="s">
        <v>2359</v>
      </c>
      <c r="CH115" s="154" t="s">
        <v>2359</v>
      </c>
      <c r="CI115" s="154" t="s">
        <v>2359</v>
      </c>
      <c r="CJ115" s="154" t="s">
        <v>2359</v>
      </c>
      <c r="CK115" s="154" t="s">
        <v>2359</v>
      </c>
    </row>
    <row r="116" spans="1:89" x14ac:dyDescent="0.25">
      <c r="A116" s="372">
        <v>5</v>
      </c>
      <c r="B116" s="372">
        <v>11</v>
      </c>
      <c r="C116" s="372">
        <v>12</v>
      </c>
      <c r="D116" s="372" t="s">
        <v>2374</v>
      </c>
      <c r="E116" s="372" t="s">
        <v>2435</v>
      </c>
      <c r="F116" s="372" t="s">
        <v>2435</v>
      </c>
      <c r="G116" s="372" t="s">
        <v>2396</v>
      </c>
      <c r="H116" s="372" t="s">
        <v>2435</v>
      </c>
      <c r="I116" s="372">
        <v>0</v>
      </c>
      <c r="J116" s="372">
        <v>3</v>
      </c>
      <c r="K116" s="372">
        <v>0</v>
      </c>
      <c r="L116" s="372">
        <v>5</v>
      </c>
      <c r="M116" s="359">
        <v>137</v>
      </c>
      <c r="N116" s="383" t="s">
        <v>997</v>
      </c>
      <c r="O116" s="237" t="s">
        <v>2777</v>
      </c>
      <c r="P116" s="237"/>
      <c r="Q116" s="360" t="s">
        <v>2277</v>
      </c>
      <c r="R116" s="361">
        <v>152122</v>
      </c>
      <c r="S116" s="369" t="s">
        <v>578</v>
      </c>
      <c r="T116" s="380">
        <v>42</v>
      </c>
      <c r="U116" s="364" t="s">
        <v>2278</v>
      </c>
      <c r="AH116" s="154" t="s">
        <v>2037</v>
      </c>
      <c r="AI116" s="154" t="s">
        <v>2037</v>
      </c>
      <c r="AJ116" s="154" t="s">
        <v>2037</v>
      </c>
      <c r="AK116" s="154" t="s">
        <v>2037</v>
      </c>
      <c r="AL116" s="154" t="s">
        <v>2370</v>
      </c>
      <c r="AS116" s="154" t="s">
        <v>2033</v>
      </c>
      <c r="AT116" s="154" t="s">
        <v>2033</v>
      </c>
      <c r="AU116" s="154" t="s">
        <v>2033</v>
      </c>
      <c r="AV116" s="154" t="s">
        <v>2033</v>
      </c>
      <c r="AW116" s="154" t="s">
        <v>2033</v>
      </c>
      <c r="AX116" s="154" t="s">
        <v>2033</v>
      </c>
      <c r="AY116" s="154" t="s">
        <v>2033</v>
      </c>
      <c r="AZ116" s="154" t="s">
        <v>2033</v>
      </c>
      <c r="BA116" s="154" t="s">
        <v>2033</v>
      </c>
      <c r="BB116" s="154" t="s">
        <v>2033</v>
      </c>
      <c r="BC116" s="154" t="s">
        <v>2033</v>
      </c>
      <c r="BD116" s="154" t="s">
        <v>2033</v>
      </c>
      <c r="BE116" s="154" t="s">
        <v>2034</v>
      </c>
      <c r="BF116" s="154" t="s">
        <v>2034</v>
      </c>
      <c r="BG116" s="154" t="s">
        <v>2034</v>
      </c>
      <c r="BH116" s="154" t="s">
        <v>2034</v>
      </c>
      <c r="BI116" s="154" t="s">
        <v>2034</v>
      </c>
      <c r="BJ116" s="154" t="s">
        <v>2034</v>
      </c>
      <c r="BK116" s="154" t="s">
        <v>2034</v>
      </c>
      <c r="BL116" s="154" t="s">
        <v>2034</v>
      </c>
      <c r="BM116" s="154" t="s">
        <v>2034</v>
      </c>
      <c r="BN116" s="154" t="s">
        <v>2034</v>
      </c>
      <c r="BO116" s="154" t="s">
        <v>2034</v>
      </c>
      <c r="BY116" s="154" t="s">
        <v>2372</v>
      </c>
      <c r="BZ116" s="154" t="s">
        <v>2372</v>
      </c>
      <c r="CA116" s="154" t="s">
        <v>2372</v>
      </c>
      <c r="CB116" s="154" t="s">
        <v>2036</v>
      </c>
      <c r="CC116" s="154" t="s">
        <v>2036</v>
      </c>
      <c r="CD116" s="154" t="s">
        <v>2036</v>
      </c>
      <c r="CE116" s="154" t="s">
        <v>2036</v>
      </c>
      <c r="CF116" s="154" t="s">
        <v>2036</v>
      </c>
      <c r="CG116" s="154" t="s">
        <v>2359</v>
      </c>
      <c r="CH116" s="154" t="s">
        <v>2359</v>
      </c>
      <c r="CI116" s="154" t="s">
        <v>2359</v>
      </c>
      <c r="CJ116" s="154" t="s">
        <v>2359</v>
      </c>
      <c r="CK116" s="154" t="s">
        <v>2359</v>
      </c>
    </row>
    <row r="117" spans="1:89" x14ac:dyDescent="0.25">
      <c r="A117" s="372">
        <v>5</v>
      </c>
      <c r="B117" s="372">
        <v>11</v>
      </c>
      <c r="C117" s="372">
        <v>12</v>
      </c>
      <c r="D117" s="372" t="s">
        <v>2374</v>
      </c>
      <c r="E117" s="372" t="s">
        <v>2435</v>
      </c>
      <c r="F117" s="372" t="s">
        <v>2435</v>
      </c>
      <c r="G117" s="372" t="s">
        <v>2406</v>
      </c>
      <c r="H117" s="372" t="s">
        <v>2435</v>
      </c>
      <c r="I117" s="372">
        <v>0</v>
      </c>
      <c r="J117" s="372">
        <v>3</v>
      </c>
      <c r="K117" s="372">
        <v>0</v>
      </c>
      <c r="L117" s="372">
        <v>5</v>
      </c>
      <c r="M117" s="359">
        <v>169</v>
      </c>
      <c r="N117" s="383" t="s">
        <v>1000</v>
      </c>
      <c r="O117" s="237" t="s">
        <v>2777</v>
      </c>
      <c r="P117" s="237"/>
      <c r="Q117" s="360" t="s">
        <v>2279</v>
      </c>
      <c r="R117" s="361">
        <v>174707</v>
      </c>
      <c r="S117" s="369" t="s">
        <v>1002</v>
      </c>
      <c r="T117" s="380">
        <v>51</v>
      </c>
      <c r="U117" s="364" t="s">
        <v>2280</v>
      </c>
      <c r="AH117" s="154" t="s">
        <v>2037</v>
      </c>
      <c r="AI117" s="154" t="s">
        <v>2037</v>
      </c>
      <c r="AJ117" s="154" t="s">
        <v>2037</v>
      </c>
      <c r="AK117" s="154" t="s">
        <v>2037</v>
      </c>
      <c r="AL117" s="154" t="s">
        <v>2370</v>
      </c>
      <c r="AS117" s="154" t="s">
        <v>2033</v>
      </c>
      <c r="AT117" s="154" t="s">
        <v>2033</v>
      </c>
      <c r="AU117" s="154" t="s">
        <v>2033</v>
      </c>
      <c r="AV117" s="154" t="s">
        <v>2033</v>
      </c>
      <c r="AW117" s="154" t="s">
        <v>2033</v>
      </c>
      <c r="AX117" s="154" t="s">
        <v>2033</v>
      </c>
      <c r="AY117" s="154" t="s">
        <v>2033</v>
      </c>
      <c r="AZ117" s="154" t="s">
        <v>2033</v>
      </c>
      <c r="BA117" s="154" t="s">
        <v>2033</v>
      </c>
      <c r="BB117" s="154" t="s">
        <v>2033</v>
      </c>
      <c r="BC117" s="154" t="s">
        <v>2033</v>
      </c>
      <c r="BD117" s="154" t="s">
        <v>2033</v>
      </c>
      <c r="BE117" s="154" t="s">
        <v>2034</v>
      </c>
      <c r="BF117" s="154" t="s">
        <v>2034</v>
      </c>
      <c r="BG117" s="154" t="s">
        <v>2034</v>
      </c>
      <c r="BH117" s="154" t="s">
        <v>2034</v>
      </c>
      <c r="BI117" s="154" t="s">
        <v>2034</v>
      </c>
      <c r="BJ117" s="154" t="s">
        <v>2034</v>
      </c>
      <c r="BK117" s="154" t="s">
        <v>2034</v>
      </c>
      <c r="BL117" s="154" t="s">
        <v>2034</v>
      </c>
      <c r="BM117" s="154" t="s">
        <v>2034</v>
      </c>
      <c r="BN117" s="154" t="s">
        <v>2034</v>
      </c>
      <c r="BO117" s="154" t="s">
        <v>2034</v>
      </c>
      <c r="BY117" s="154" t="s">
        <v>2372</v>
      </c>
      <c r="BZ117" s="154" t="s">
        <v>2372</v>
      </c>
      <c r="CA117" s="154" t="s">
        <v>2372</v>
      </c>
      <c r="CB117" s="154" t="s">
        <v>2036</v>
      </c>
      <c r="CC117" s="154" t="s">
        <v>2036</v>
      </c>
      <c r="CD117" s="154" t="s">
        <v>2036</v>
      </c>
      <c r="CE117" s="154" t="s">
        <v>2036</v>
      </c>
      <c r="CF117" s="154" t="s">
        <v>2036</v>
      </c>
      <c r="CG117" s="154" t="s">
        <v>2359</v>
      </c>
      <c r="CH117" s="154" t="s">
        <v>2359</v>
      </c>
      <c r="CI117" s="154" t="s">
        <v>2359</v>
      </c>
      <c r="CJ117" s="154" t="s">
        <v>2359</v>
      </c>
      <c r="CK117" s="154" t="s">
        <v>2359</v>
      </c>
    </row>
    <row r="118" spans="1:89" x14ac:dyDescent="0.25">
      <c r="A118" s="372">
        <v>5</v>
      </c>
      <c r="B118" s="372">
        <v>11</v>
      </c>
      <c r="C118" s="372">
        <v>12</v>
      </c>
      <c r="D118" s="372" t="s">
        <v>2374</v>
      </c>
      <c r="E118" s="372" t="s">
        <v>2435</v>
      </c>
      <c r="F118" s="372" t="s">
        <v>2435</v>
      </c>
      <c r="G118" s="372" t="s">
        <v>2407</v>
      </c>
      <c r="H118" s="372" t="s">
        <v>2435</v>
      </c>
      <c r="I118" s="372">
        <v>0</v>
      </c>
      <c r="J118" s="372">
        <v>3</v>
      </c>
      <c r="K118" s="372">
        <v>0</v>
      </c>
      <c r="L118" s="372">
        <v>5</v>
      </c>
      <c r="M118" s="359">
        <v>209</v>
      </c>
      <c r="N118" s="383" t="s">
        <v>1004</v>
      </c>
      <c r="O118" s="237" t="s">
        <v>2777</v>
      </c>
      <c r="P118" s="237"/>
      <c r="Q118" s="360" t="s">
        <v>2281</v>
      </c>
      <c r="R118" s="361">
        <v>174936</v>
      </c>
      <c r="S118" s="369" t="s">
        <v>1002</v>
      </c>
      <c r="T118" s="380">
        <v>51</v>
      </c>
      <c r="U118" s="364" t="s">
        <v>2282</v>
      </c>
      <c r="AH118" s="154" t="s">
        <v>2037</v>
      </c>
      <c r="AI118" s="154" t="s">
        <v>2037</v>
      </c>
      <c r="AJ118" s="154" t="s">
        <v>2037</v>
      </c>
      <c r="AK118" s="154" t="s">
        <v>2037</v>
      </c>
      <c r="AL118" s="154" t="s">
        <v>2370</v>
      </c>
      <c r="AS118" s="154" t="s">
        <v>2033</v>
      </c>
      <c r="AT118" s="154" t="s">
        <v>2033</v>
      </c>
      <c r="AU118" s="154" t="s">
        <v>2033</v>
      </c>
      <c r="AV118" s="154" t="s">
        <v>2033</v>
      </c>
      <c r="AW118" s="154" t="s">
        <v>2033</v>
      </c>
      <c r="AX118" s="154" t="s">
        <v>2033</v>
      </c>
      <c r="AY118" s="154" t="s">
        <v>2033</v>
      </c>
      <c r="AZ118" s="154" t="s">
        <v>2033</v>
      </c>
      <c r="BA118" s="154" t="s">
        <v>2033</v>
      </c>
      <c r="BB118" s="154" t="s">
        <v>2033</v>
      </c>
      <c r="BC118" s="154" t="s">
        <v>2033</v>
      </c>
      <c r="BD118" s="154" t="s">
        <v>2033</v>
      </c>
      <c r="BE118" s="154" t="s">
        <v>2034</v>
      </c>
      <c r="BF118" s="154" t="s">
        <v>2034</v>
      </c>
      <c r="BG118" s="154" t="s">
        <v>2034</v>
      </c>
      <c r="BH118" s="154" t="s">
        <v>2034</v>
      </c>
      <c r="BI118" s="154" t="s">
        <v>2034</v>
      </c>
      <c r="BJ118" s="154" t="s">
        <v>2034</v>
      </c>
      <c r="BK118" s="154" t="s">
        <v>2034</v>
      </c>
      <c r="BL118" s="154" t="s">
        <v>2034</v>
      </c>
      <c r="BM118" s="154" t="s">
        <v>2034</v>
      </c>
      <c r="BN118" s="154" t="s">
        <v>2034</v>
      </c>
      <c r="BO118" s="154" t="s">
        <v>2034</v>
      </c>
      <c r="BY118" s="154" t="s">
        <v>2372</v>
      </c>
      <c r="BZ118" s="154" t="s">
        <v>2372</v>
      </c>
      <c r="CA118" s="154" t="s">
        <v>2372</v>
      </c>
      <c r="CB118" s="154" t="s">
        <v>2036</v>
      </c>
      <c r="CC118" s="154" t="s">
        <v>2036</v>
      </c>
      <c r="CD118" s="154" t="s">
        <v>2036</v>
      </c>
      <c r="CE118" s="154" t="s">
        <v>2036</v>
      </c>
      <c r="CF118" s="154" t="s">
        <v>2036</v>
      </c>
      <c r="CG118" s="154" t="s">
        <v>2359</v>
      </c>
      <c r="CH118" s="154" t="s">
        <v>2359</v>
      </c>
      <c r="CI118" s="154" t="s">
        <v>2359</v>
      </c>
      <c r="CJ118" s="154" t="s">
        <v>2359</v>
      </c>
      <c r="CK118" s="154" t="s">
        <v>2359</v>
      </c>
    </row>
    <row r="119" spans="1:89" x14ac:dyDescent="0.25">
      <c r="A119" s="372">
        <v>5</v>
      </c>
      <c r="B119" s="372">
        <v>11</v>
      </c>
      <c r="C119" s="372">
        <v>12</v>
      </c>
      <c r="D119" s="372" t="s">
        <v>2374</v>
      </c>
      <c r="E119" s="372" t="s">
        <v>2435</v>
      </c>
      <c r="F119" s="372" t="s">
        <v>2435</v>
      </c>
      <c r="G119" s="372" t="s">
        <v>2408</v>
      </c>
      <c r="H119" s="372" t="s">
        <v>2435</v>
      </c>
      <c r="I119" s="372">
        <v>0</v>
      </c>
      <c r="J119" s="372">
        <v>3</v>
      </c>
      <c r="K119" s="372">
        <v>0</v>
      </c>
      <c r="L119" s="372">
        <v>5</v>
      </c>
      <c r="M119" s="359">
        <v>261</v>
      </c>
      <c r="N119" s="383" t="s">
        <v>1007</v>
      </c>
      <c r="O119" s="237" t="s">
        <v>2777</v>
      </c>
      <c r="P119" s="237"/>
      <c r="Q119" s="360" t="s">
        <v>2283</v>
      </c>
      <c r="R119" s="361">
        <v>183490</v>
      </c>
      <c r="S119" s="369" t="s">
        <v>1002</v>
      </c>
      <c r="T119" s="380">
        <v>51</v>
      </c>
      <c r="U119" s="364" t="s">
        <v>2284</v>
      </c>
      <c r="AH119" s="154" t="s">
        <v>2037</v>
      </c>
      <c r="AI119" s="154" t="s">
        <v>2037</v>
      </c>
      <c r="AJ119" s="154" t="s">
        <v>2037</v>
      </c>
      <c r="AK119" s="154" t="s">
        <v>2037</v>
      </c>
      <c r="AL119" s="154" t="s">
        <v>2370</v>
      </c>
      <c r="AS119" s="154" t="s">
        <v>2033</v>
      </c>
      <c r="AT119" s="154" t="s">
        <v>2033</v>
      </c>
      <c r="AU119" s="154" t="s">
        <v>2033</v>
      </c>
      <c r="AV119" s="154" t="s">
        <v>2033</v>
      </c>
      <c r="AW119" s="154" t="s">
        <v>2033</v>
      </c>
      <c r="AX119" s="154" t="s">
        <v>2033</v>
      </c>
      <c r="AY119" s="154" t="s">
        <v>2033</v>
      </c>
      <c r="AZ119" s="154" t="s">
        <v>2033</v>
      </c>
      <c r="BA119" s="154" t="s">
        <v>2033</v>
      </c>
      <c r="BB119" s="154" t="s">
        <v>2033</v>
      </c>
      <c r="BC119" s="154" t="s">
        <v>2033</v>
      </c>
      <c r="BD119" s="154" t="s">
        <v>2033</v>
      </c>
      <c r="BE119" s="154" t="s">
        <v>2034</v>
      </c>
      <c r="BF119" s="154" t="s">
        <v>2034</v>
      </c>
      <c r="BG119" s="154" t="s">
        <v>2034</v>
      </c>
      <c r="BH119" s="154" t="s">
        <v>2034</v>
      </c>
      <c r="BI119" s="154" t="s">
        <v>2034</v>
      </c>
      <c r="BJ119" s="154" t="s">
        <v>2034</v>
      </c>
      <c r="BK119" s="154" t="s">
        <v>2034</v>
      </c>
      <c r="BL119" s="154" t="s">
        <v>2034</v>
      </c>
      <c r="BM119" s="154" t="s">
        <v>2034</v>
      </c>
      <c r="BN119" s="154" t="s">
        <v>2034</v>
      </c>
      <c r="BO119" s="154" t="s">
        <v>2034</v>
      </c>
      <c r="BY119" s="154" t="s">
        <v>2372</v>
      </c>
      <c r="BZ119" s="154" t="s">
        <v>2372</v>
      </c>
      <c r="CA119" s="154" t="s">
        <v>2372</v>
      </c>
      <c r="CB119" s="154" t="s">
        <v>2036</v>
      </c>
      <c r="CC119" s="154" t="s">
        <v>2036</v>
      </c>
      <c r="CD119" s="154" t="s">
        <v>2036</v>
      </c>
      <c r="CE119" s="154" t="s">
        <v>2036</v>
      </c>
      <c r="CF119" s="154" t="s">
        <v>2036</v>
      </c>
      <c r="CG119" s="154" t="s">
        <v>2359</v>
      </c>
      <c r="CH119" s="154" t="s">
        <v>2359</v>
      </c>
      <c r="CI119" s="154" t="s">
        <v>2359</v>
      </c>
      <c r="CJ119" s="154" t="s">
        <v>2359</v>
      </c>
      <c r="CK119" s="154" t="s">
        <v>2359</v>
      </c>
    </row>
    <row r="120" spans="1:89" x14ac:dyDescent="0.25">
      <c r="A120" s="373">
        <v>5</v>
      </c>
      <c r="B120" s="373">
        <v>11</v>
      </c>
      <c r="C120" s="373">
        <v>12</v>
      </c>
      <c r="D120" s="373" t="s">
        <v>2774</v>
      </c>
      <c r="E120" s="373" t="s">
        <v>2435</v>
      </c>
      <c r="F120" s="373" t="s">
        <v>2435</v>
      </c>
      <c r="G120" s="373" t="s">
        <v>2391</v>
      </c>
      <c r="H120" s="373" t="s">
        <v>2435</v>
      </c>
      <c r="I120" s="373">
        <v>0</v>
      </c>
      <c r="J120" s="373">
        <v>3</v>
      </c>
      <c r="K120" s="373">
        <v>0</v>
      </c>
      <c r="L120" s="373">
        <v>5</v>
      </c>
      <c r="M120" s="366">
        <v>74</v>
      </c>
      <c r="N120" s="367" t="s">
        <v>1010</v>
      </c>
      <c r="O120" s="374" t="s">
        <v>2777</v>
      </c>
      <c r="P120" s="374"/>
      <c r="Q120" s="375" t="s">
        <v>1011</v>
      </c>
      <c r="R120" s="376">
        <v>142816</v>
      </c>
      <c r="S120" s="381" t="s">
        <v>578</v>
      </c>
      <c r="T120" s="382">
        <v>42</v>
      </c>
      <c r="U120" s="379" t="s">
        <v>1012</v>
      </c>
      <c r="AH120" s="154" t="s">
        <v>2037</v>
      </c>
      <c r="AI120" s="154" t="s">
        <v>2037</v>
      </c>
      <c r="AJ120" s="154" t="s">
        <v>2037</v>
      </c>
      <c r="AK120" s="154" t="s">
        <v>2370</v>
      </c>
      <c r="AL120" s="154" t="s">
        <v>2370</v>
      </c>
      <c r="AS120" s="154" t="s">
        <v>2033</v>
      </c>
      <c r="AT120" s="154" t="s">
        <v>2033</v>
      </c>
      <c r="AU120" s="154" t="s">
        <v>2033</v>
      </c>
      <c r="AV120" s="154" t="s">
        <v>2033</v>
      </c>
      <c r="AW120" s="154" t="s">
        <v>2033</v>
      </c>
      <c r="AX120" s="154" t="s">
        <v>2033</v>
      </c>
      <c r="AY120" s="154" t="s">
        <v>2033</v>
      </c>
      <c r="AZ120" s="154" t="s">
        <v>2033</v>
      </c>
      <c r="BA120" s="154" t="s">
        <v>2033</v>
      </c>
      <c r="BB120" s="154" t="s">
        <v>2033</v>
      </c>
      <c r="BC120" s="154" t="s">
        <v>2033</v>
      </c>
      <c r="BD120" s="154" t="s">
        <v>2033</v>
      </c>
      <c r="BE120" s="154" t="s">
        <v>2034</v>
      </c>
      <c r="BF120" s="154" t="s">
        <v>2034</v>
      </c>
      <c r="BG120" s="154" t="s">
        <v>2034</v>
      </c>
      <c r="BH120" s="154" t="s">
        <v>2034</v>
      </c>
      <c r="BI120" s="154" t="s">
        <v>2034</v>
      </c>
      <c r="BJ120" s="154" t="s">
        <v>2034</v>
      </c>
      <c r="BK120" s="154" t="s">
        <v>2034</v>
      </c>
      <c r="BL120" s="154" t="s">
        <v>2034</v>
      </c>
      <c r="BM120" s="154" t="s">
        <v>2034</v>
      </c>
      <c r="BN120" s="154" t="s">
        <v>2034</v>
      </c>
      <c r="BO120" s="154" t="s">
        <v>2034</v>
      </c>
      <c r="BY120" s="154" t="s">
        <v>2372</v>
      </c>
      <c r="BZ120" s="154" t="s">
        <v>2372</v>
      </c>
      <c r="CA120" s="154" t="s">
        <v>2372</v>
      </c>
      <c r="CB120" s="154" t="s">
        <v>2036</v>
      </c>
      <c r="CC120" s="154" t="s">
        <v>2036</v>
      </c>
      <c r="CD120" s="154" t="s">
        <v>2036</v>
      </c>
      <c r="CE120" s="154" t="s">
        <v>2036</v>
      </c>
      <c r="CF120" s="154" t="s">
        <v>2036</v>
      </c>
      <c r="CG120" s="154" t="s">
        <v>2359</v>
      </c>
      <c r="CH120" s="154" t="s">
        <v>2359</v>
      </c>
      <c r="CI120" s="154" t="s">
        <v>2359</v>
      </c>
      <c r="CJ120" s="154" t="s">
        <v>2359</v>
      </c>
      <c r="CK120" s="154" t="s">
        <v>2359</v>
      </c>
    </row>
    <row r="121" spans="1:89" x14ac:dyDescent="0.25">
      <c r="A121" s="373">
        <v>5</v>
      </c>
      <c r="B121" s="373">
        <v>11</v>
      </c>
      <c r="C121" s="373">
        <v>12</v>
      </c>
      <c r="D121" s="373" t="s">
        <v>2774</v>
      </c>
      <c r="E121" s="373" t="s">
        <v>2435</v>
      </c>
      <c r="F121" s="373" t="s">
        <v>2435</v>
      </c>
      <c r="G121" s="373" t="s">
        <v>2392</v>
      </c>
      <c r="H121" s="373" t="s">
        <v>2435</v>
      </c>
      <c r="I121" s="373">
        <v>0</v>
      </c>
      <c r="J121" s="373">
        <v>3</v>
      </c>
      <c r="K121" s="373">
        <v>0</v>
      </c>
      <c r="L121" s="373">
        <v>5</v>
      </c>
      <c r="M121" s="366">
        <v>86</v>
      </c>
      <c r="N121" s="367" t="s">
        <v>1013</v>
      </c>
      <c r="O121" s="374" t="s">
        <v>2777</v>
      </c>
      <c r="P121" s="374"/>
      <c r="Q121" s="375" t="s">
        <v>1014</v>
      </c>
      <c r="R121" s="376">
        <v>140239</v>
      </c>
      <c r="S121" s="381" t="s">
        <v>578</v>
      </c>
      <c r="T121" s="382">
        <v>42</v>
      </c>
      <c r="U121" s="379" t="s">
        <v>1015</v>
      </c>
      <c r="AH121" s="154" t="s">
        <v>2037</v>
      </c>
      <c r="AI121" s="154" t="s">
        <v>2037</v>
      </c>
      <c r="AJ121" s="154" t="s">
        <v>2037</v>
      </c>
      <c r="AK121" s="154" t="s">
        <v>2370</v>
      </c>
      <c r="AL121" s="154" t="s">
        <v>2370</v>
      </c>
      <c r="AS121" s="154" t="s">
        <v>2033</v>
      </c>
      <c r="AT121" s="154" t="s">
        <v>2033</v>
      </c>
      <c r="AU121" s="154" t="s">
        <v>2033</v>
      </c>
      <c r="AV121" s="154" t="s">
        <v>2033</v>
      </c>
      <c r="AW121" s="154" t="s">
        <v>2033</v>
      </c>
      <c r="AX121" s="154" t="s">
        <v>2033</v>
      </c>
      <c r="AY121" s="154" t="s">
        <v>2033</v>
      </c>
      <c r="AZ121" s="154" t="s">
        <v>2033</v>
      </c>
      <c r="BA121" s="154" t="s">
        <v>2033</v>
      </c>
      <c r="BB121" s="154" t="s">
        <v>2033</v>
      </c>
      <c r="BC121" s="154" t="s">
        <v>2033</v>
      </c>
      <c r="BD121" s="154" t="s">
        <v>2033</v>
      </c>
      <c r="BE121" s="154" t="s">
        <v>2034</v>
      </c>
      <c r="BF121" s="154" t="s">
        <v>2034</v>
      </c>
      <c r="BG121" s="154" t="s">
        <v>2034</v>
      </c>
      <c r="BH121" s="154" t="s">
        <v>2034</v>
      </c>
      <c r="BI121" s="154" t="s">
        <v>2034</v>
      </c>
      <c r="BJ121" s="154" t="s">
        <v>2034</v>
      </c>
      <c r="BK121" s="154" t="s">
        <v>2034</v>
      </c>
      <c r="BL121" s="154" t="s">
        <v>2034</v>
      </c>
      <c r="BM121" s="154" t="s">
        <v>2034</v>
      </c>
      <c r="BN121" s="154" t="s">
        <v>2034</v>
      </c>
      <c r="BO121" s="154" t="s">
        <v>2034</v>
      </c>
      <c r="BY121" s="154" t="s">
        <v>2372</v>
      </c>
      <c r="BZ121" s="154" t="s">
        <v>2372</v>
      </c>
      <c r="CA121" s="154" t="s">
        <v>2372</v>
      </c>
      <c r="CB121" s="154" t="s">
        <v>2036</v>
      </c>
      <c r="CC121" s="154" t="s">
        <v>2036</v>
      </c>
      <c r="CD121" s="154" t="s">
        <v>2036</v>
      </c>
      <c r="CE121" s="154" t="s">
        <v>2036</v>
      </c>
      <c r="CF121" s="154" t="s">
        <v>2036</v>
      </c>
      <c r="CG121" s="154" t="s">
        <v>2359</v>
      </c>
      <c r="CH121" s="154" t="s">
        <v>2359</v>
      </c>
      <c r="CI121" s="154" t="s">
        <v>2359</v>
      </c>
      <c r="CJ121" s="154" t="s">
        <v>2359</v>
      </c>
      <c r="CK121" s="154" t="s">
        <v>2359</v>
      </c>
    </row>
    <row r="122" spans="1:89" x14ac:dyDescent="0.25">
      <c r="A122" s="373">
        <v>5</v>
      </c>
      <c r="B122" s="373">
        <v>11</v>
      </c>
      <c r="C122" s="373">
        <v>12</v>
      </c>
      <c r="D122" s="373" t="s">
        <v>2774</v>
      </c>
      <c r="E122" s="373" t="s">
        <v>2435</v>
      </c>
      <c r="F122" s="373" t="s">
        <v>2435</v>
      </c>
      <c r="G122" s="373" t="s">
        <v>2389</v>
      </c>
      <c r="H122" s="373" t="s">
        <v>2435</v>
      </c>
      <c r="I122" s="373">
        <v>0</v>
      </c>
      <c r="J122" s="373">
        <v>3</v>
      </c>
      <c r="K122" s="373">
        <v>0</v>
      </c>
      <c r="L122" s="373">
        <v>5</v>
      </c>
      <c r="M122" s="366">
        <v>101</v>
      </c>
      <c r="N122" s="367" t="s">
        <v>1016</v>
      </c>
      <c r="O122" s="374" t="s">
        <v>2777</v>
      </c>
      <c r="P122" s="374"/>
      <c r="Q122" s="375" t="s">
        <v>1017</v>
      </c>
      <c r="R122" s="376">
        <v>140757</v>
      </c>
      <c r="S122" s="381" t="s">
        <v>578</v>
      </c>
      <c r="T122" s="382">
        <v>42</v>
      </c>
      <c r="U122" s="379" t="s">
        <v>1018</v>
      </c>
      <c r="AH122" s="154" t="s">
        <v>2037</v>
      </c>
      <c r="AI122" s="154" t="s">
        <v>2037</v>
      </c>
      <c r="AJ122" s="154" t="s">
        <v>2037</v>
      </c>
      <c r="AK122" s="154" t="s">
        <v>2370</v>
      </c>
      <c r="AL122" s="154" t="s">
        <v>2370</v>
      </c>
      <c r="AS122" s="154" t="s">
        <v>2033</v>
      </c>
      <c r="AT122" s="154" t="s">
        <v>2033</v>
      </c>
      <c r="AU122" s="154" t="s">
        <v>2033</v>
      </c>
      <c r="AV122" s="154" t="s">
        <v>2033</v>
      </c>
      <c r="AW122" s="154" t="s">
        <v>2033</v>
      </c>
      <c r="AX122" s="154" t="s">
        <v>2033</v>
      </c>
      <c r="AY122" s="154" t="s">
        <v>2033</v>
      </c>
      <c r="AZ122" s="154" t="s">
        <v>2033</v>
      </c>
      <c r="BA122" s="154" t="s">
        <v>2033</v>
      </c>
      <c r="BB122" s="154" t="s">
        <v>2033</v>
      </c>
      <c r="BC122" s="154" t="s">
        <v>2033</v>
      </c>
      <c r="BD122" s="154" t="s">
        <v>2033</v>
      </c>
      <c r="BE122" s="154" t="s">
        <v>2034</v>
      </c>
      <c r="BF122" s="154" t="s">
        <v>2034</v>
      </c>
      <c r="BG122" s="154" t="s">
        <v>2034</v>
      </c>
      <c r="BH122" s="154" t="s">
        <v>2034</v>
      </c>
      <c r="BI122" s="154" t="s">
        <v>2034</v>
      </c>
      <c r="BJ122" s="154" t="s">
        <v>2034</v>
      </c>
      <c r="BK122" s="154" t="s">
        <v>2034</v>
      </c>
      <c r="BL122" s="154" t="s">
        <v>2034</v>
      </c>
      <c r="BM122" s="154" t="s">
        <v>2034</v>
      </c>
      <c r="BN122" s="154" t="s">
        <v>2034</v>
      </c>
      <c r="BO122" s="154" t="s">
        <v>2034</v>
      </c>
      <c r="BY122" s="154" t="s">
        <v>2372</v>
      </c>
      <c r="BZ122" s="154" t="s">
        <v>2372</v>
      </c>
      <c r="CA122" s="154" t="s">
        <v>2372</v>
      </c>
      <c r="CB122" s="154" t="s">
        <v>2036</v>
      </c>
      <c r="CC122" s="154" t="s">
        <v>2036</v>
      </c>
      <c r="CD122" s="154" t="s">
        <v>2036</v>
      </c>
      <c r="CE122" s="154" t="s">
        <v>2036</v>
      </c>
      <c r="CF122" s="154" t="s">
        <v>2036</v>
      </c>
      <c r="CG122" s="154" t="s">
        <v>2359</v>
      </c>
      <c r="CH122" s="154" t="s">
        <v>2359</v>
      </c>
      <c r="CI122" s="154" t="s">
        <v>2359</v>
      </c>
      <c r="CJ122" s="154" t="s">
        <v>2359</v>
      </c>
      <c r="CK122" s="154" t="s">
        <v>2359</v>
      </c>
    </row>
    <row r="123" spans="1:89" x14ac:dyDescent="0.25">
      <c r="A123" s="373">
        <v>5</v>
      </c>
      <c r="B123" s="373">
        <v>11</v>
      </c>
      <c r="C123" s="373">
        <v>12</v>
      </c>
      <c r="D123" s="373" t="s">
        <v>2774</v>
      </c>
      <c r="E123" s="373" t="s">
        <v>2435</v>
      </c>
      <c r="F123" s="373" t="s">
        <v>2435</v>
      </c>
      <c r="G123" s="373" t="s">
        <v>2390</v>
      </c>
      <c r="H123" s="373" t="s">
        <v>2435</v>
      </c>
      <c r="I123" s="373">
        <v>0</v>
      </c>
      <c r="J123" s="373">
        <v>3</v>
      </c>
      <c r="K123" s="373">
        <v>0</v>
      </c>
      <c r="L123" s="373">
        <v>5</v>
      </c>
      <c r="M123" s="366">
        <v>122</v>
      </c>
      <c r="N123" s="367" t="s">
        <v>1019</v>
      </c>
      <c r="O123" s="374" t="s">
        <v>2777</v>
      </c>
      <c r="P123" s="374"/>
      <c r="Q123" s="375" t="s">
        <v>1020</v>
      </c>
      <c r="R123" s="376">
        <v>149721</v>
      </c>
      <c r="S123" s="381" t="s">
        <v>578</v>
      </c>
      <c r="T123" s="382">
        <v>42</v>
      </c>
      <c r="U123" s="379" t="s">
        <v>1021</v>
      </c>
      <c r="AH123" s="154" t="s">
        <v>2037</v>
      </c>
      <c r="AI123" s="154" t="s">
        <v>2037</v>
      </c>
      <c r="AJ123" s="154" t="s">
        <v>2037</v>
      </c>
      <c r="AK123" s="154" t="s">
        <v>2370</v>
      </c>
      <c r="AL123" s="154" t="s">
        <v>2370</v>
      </c>
      <c r="AS123" s="154" t="s">
        <v>2033</v>
      </c>
      <c r="AT123" s="154" t="s">
        <v>2033</v>
      </c>
      <c r="AU123" s="154" t="s">
        <v>2033</v>
      </c>
      <c r="AV123" s="154" t="s">
        <v>2033</v>
      </c>
      <c r="AW123" s="154" t="s">
        <v>2033</v>
      </c>
      <c r="AX123" s="154" t="s">
        <v>2033</v>
      </c>
      <c r="AY123" s="154" t="s">
        <v>2033</v>
      </c>
      <c r="AZ123" s="154" t="s">
        <v>2033</v>
      </c>
      <c r="BA123" s="154" t="s">
        <v>2033</v>
      </c>
      <c r="BB123" s="154" t="s">
        <v>2033</v>
      </c>
      <c r="BC123" s="154" t="s">
        <v>2033</v>
      </c>
      <c r="BD123" s="154" t="s">
        <v>2033</v>
      </c>
      <c r="BE123" s="154" t="s">
        <v>2034</v>
      </c>
      <c r="BF123" s="154" t="s">
        <v>2034</v>
      </c>
      <c r="BG123" s="154" t="s">
        <v>2034</v>
      </c>
      <c r="BH123" s="154" t="s">
        <v>2034</v>
      </c>
      <c r="BI123" s="154" t="s">
        <v>2034</v>
      </c>
      <c r="BJ123" s="154" t="s">
        <v>2034</v>
      </c>
      <c r="BK123" s="154" t="s">
        <v>2034</v>
      </c>
      <c r="BL123" s="154" t="s">
        <v>2034</v>
      </c>
      <c r="BM123" s="154" t="s">
        <v>2034</v>
      </c>
      <c r="BN123" s="154" t="s">
        <v>2034</v>
      </c>
      <c r="BO123" s="154" t="s">
        <v>2034</v>
      </c>
      <c r="BY123" s="154" t="s">
        <v>2372</v>
      </c>
      <c r="BZ123" s="154" t="s">
        <v>2372</v>
      </c>
      <c r="CA123" s="154" t="s">
        <v>2372</v>
      </c>
      <c r="CB123" s="154" t="s">
        <v>2036</v>
      </c>
      <c r="CC123" s="154" t="s">
        <v>2036</v>
      </c>
      <c r="CD123" s="154" t="s">
        <v>2036</v>
      </c>
      <c r="CE123" s="154" t="s">
        <v>2036</v>
      </c>
      <c r="CF123" s="154" t="s">
        <v>2036</v>
      </c>
      <c r="CG123" s="154" t="s">
        <v>2359</v>
      </c>
      <c r="CH123" s="154" t="s">
        <v>2359</v>
      </c>
      <c r="CI123" s="154" t="s">
        <v>2359</v>
      </c>
      <c r="CJ123" s="154" t="s">
        <v>2359</v>
      </c>
      <c r="CK123" s="154" t="s">
        <v>2359</v>
      </c>
    </row>
    <row r="124" spans="1:89" x14ac:dyDescent="0.25">
      <c r="A124" s="373">
        <v>5</v>
      </c>
      <c r="B124" s="373">
        <v>11</v>
      </c>
      <c r="C124" s="373">
        <v>12</v>
      </c>
      <c r="D124" s="373" t="s">
        <v>2774</v>
      </c>
      <c r="E124" s="373" t="s">
        <v>2435</v>
      </c>
      <c r="F124" s="373" t="s">
        <v>2435</v>
      </c>
      <c r="G124" s="373" t="s">
        <v>2403</v>
      </c>
      <c r="H124" s="373" t="s">
        <v>2435</v>
      </c>
      <c r="I124" s="373">
        <v>0</v>
      </c>
      <c r="J124" s="373">
        <v>3</v>
      </c>
      <c r="K124" s="373">
        <v>0</v>
      </c>
      <c r="L124" s="373">
        <v>5</v>
      </c>
      <c r="M124" s="366">
        <v>146</v>
      </c>
      <c r="N124" s="367" t="s">
        <v>1022</v>
      </c>
      <c r="O124" s="374" t="s">
        <v>2777</v>
      </c>
      <c r="P124" s="374"/>
      <c r="Q124" s="375" t="s">
        <v>1023</v>
      </c>
      <c r="R124" s="376">
        <v>174828</v>
      </c>
      <c r="S124" s="381" t="s">
        <v>1002</v>
      </c>
      <c r="T124" s="382">
        <v>51</v>
      </c>
      <c r="U124" s="379" t="s">
        <v>1024</v>
      </c>
      <c r="AH124" s="154" t="s">
        <v>2037</v>
      </c>
      <c r="AI124" s="154" t="s">
        <v>2037</v>
      </c>
      <c r="AJ124" s="154" t="s">
        <v>2037</v>
      </c>
      <c r="AK124" s="154" t="s">
        <v>2370</v>
      </c>
      <c r="AL124" s="154" t="s">
        <v>2370</v>
      </c>
      <c r="AS124" s="154" t="s">
        <v>2033</v>
      </c>
      <c r="AT124" s="154" t="s">
        <v>2033</v>
      </c>
      <c r="AU124" s="154" t="s">
        <v>2033</v>
      </c>
      <c r="AV124" s="154" t="s">
        <v>2033</v>
      </c>
      <c r="AW124" s="154" t="s">
        <v>2033</v>
      </c>
      <c r="AX124" s="154" t="s">
        <v>2033</v>
      </c>
      <c r="AY124" s="154" t="s">
        <v>2033</v>
      </c>
      <c r="AZ124" s="154" t="s">
        <v>2033</v>
      </c>
      <c r="BA124" s="154" t="s">
        <v>2033</v>
      </c>
      <c r="BB124" s="154" t="s">
        <v>2033</v>
      </c>
      <c r="BC124" s="154" t="s">
        <v>2033</v>
      </c>
      <c r="BD124" s="154" t="s">
        <v>2033</v>
      </c>
      <c r="BE124" s="154" t="s">
        <v>2034</v>
      </c>
      <c r="BF124" s="154" t="s">
        <v>2034</v>
      </c>
      <c r="BG124" s="154" t="s">
        <v>2034</v>
      </c>
      <c r="BH124" s="154" t="s">
        <v>2034</v>
      </c>
      <c r="BI124" s="154" t="s">
        <v>2034</v>
      </c>
      <c r="BJ124" s="154" t="s">
        <v>2034</v>
      </c>
      <c r="BK124" s="154" t="s">
        <v>2034</v>
      </c>
      <c r="BL124" s="154" t="s">
        <v>2034</v>
      </c>
      <c r="BM124" s="154" t="s">
        <v>2034</v>
      </c>
      <c r="BN124" s="154" t="s">
        <v>2034</v>
      </c>
      <c r="BO124" s="154" t="s">
        <v>2034</v>
      </c>
      <c r="BY124" s="154" t="s">
        <v>2372</v>
      </c>
      <c r="BZ124" s="154" t="s">
        <v>2372</v>
      </c>
      <c r="CA124" s="154" t="s">
        <v>2372</v>
      </c>
      <c r="CB124" s="154" t="s">
        <v>2036</v>
      </c>
      <c r="CC124" s="154" t="s">
        <v>2036</v>
      </c>
      <c r="CD124" s="154" t="s">
        <v>2036</v>
      </c>
      <c r="CE124" s="154" t="s">
        <v>2036</v>
      </c>
      <c r="CF124" s="154" t="s">
        <v>2036</v>
      </c>
      <c r="CG124" s="154" t="s">
        <v>2359</v>
      </c>
      <c r="CH124" s="154" t="s">
        <v>2359</v>
      </c>
      <c r="CI124" s="154" t="s">
        <v>2359</v>
      </c>
      <c r="CJ124" s="154" t="s">
        <v>2359</v>
      </c>
      <c r="CK124" s="154" t="s">
        <v>2359</v>
      </c>
    </row>
    <row r="125" spans="1:89" x14ac:dyDescent="0.25">
      <c r="A125" s="373">
        <v>5</v>
      </c>
      <c r="B125" s="373">
        <v>11</v>
      </c>
      <c r="C125" s="373">
        <v>12</v>
      </c>
      <c r="D125" s="373" t="s">
        <v>2774</v>
      </c>
      <c r="E125" s="373" t="s">
        <v>2435</v>
      </c>
      <c r="F125" s="373" t="s">
        <v>2435</v>
      </c>
      <c r="G125" s="373" t="s">
        <v>2404</v>
      </c>
      <c r="H125" s="373" t="s">
        <v>2435</v>
      </c>
      <c r="I125" s="373">
        <v>0</v>
      </c>
      <c r="J125" s="373">
        <v>3</v>
      </c>
      <c r="K125" s="373">
        <v>0</v>
      </c>
      <c r="L125" s="373">
        <v>5</v>
      </c>
      <c r="M125" s="366">
        <v>176</v>
      </c>
      <c r="N125" s="367" t="s">
        <v>1025</v>
      </c>
      <c r="O125" s="374" t="s">
        <v>2777</v>
      </c>
      <c r="P125" s="374"/>
      <c r="Q125" s="375" t="s">
        <v>1026</v>
      </c>
      <c r="R125" s="376">
        <v>179489</v>
      </c>
      <c r="S125" s="381" t="s">
        <v>1002</v>
      </c>
      <c r="T125" s="382">
        <v>51</v>
      </c>
      <c r="U125" s="379" t="s">
        <v>1027</v>
      </c>
      <c r="AH125" s="154" t="s">
        <v>2037</v>
      </c>
      <c r="AI125" s="154" t="s">
        <v>2037</v>
      </c>
      <c r="AJ125" s="154" t="s">
        <v>2037</v>
      </c>
      <c r="AK125" s="154" t="s">
        <v>2370</v>
      </c>
      <c r="AL125" s="154" t="s">
        <v>2370</v>
      </c>
      <c r="AS125" s="154" t="s">
        <v>2033</v>
      </c>
      <c r="AT125" s="154" t="s">
        <v>2033</v>
      </c>
      <c r="AU125" s="154" t="s">
        <v>2033</v>
      </c>
      <c r="AV125" s="154" t="s">
        <v>2033</v>
      </c>
      <c r="AW125" s="154" t="s">
        <v>2033</v>
      </c>
      <c r="AX125" s="154" t="s">
        <v>2033</v>
      </c>
      <c r="AY125" s="154" t="s">
        <v>2033</v>
      </c>
      <c r="AZ125" s="154" t="s">
        <v>2033</v>
      </c>
      <c r="BA125" s="154" t="s">
        <v>2033</v>
      </c>
      <c r="BB125" s="154" t="s">
        <v>2033</v>
      </c>
      <c r="BC125" s="154" t="s">
        <v>2033</v>
      </c>
      <c r="BD125" s="154" t="s">
        <v>2033</v>
      </c>
      <c r="BE125" s="154" t="s">
        <v>2034</v>
      </c>
      <c r="BF125" s="154" t="s">
        <v>2034</v>
      </c>
      <c r="BG125" s="154" t="s">
        <v>2034</v>
      </c>
      <c r="BH125" s="154" t="s">
        <v>2034</v>
      </c>
      <c r="BI125" s="154" t="s">
        <v>2034</v>
      </c>
      <c r="BJ125" s="154" t="s">
        <v>2034</v>
      </c>
      <c r="BK125" s="154" t="s">
        <v>2034</v>
      </c>
      <c r="BL125" s="154" t="s">
        <v>2034</v>
      </c>
      <c r="BM125" s="154" t="s">
        <v>2034</v>
      </c>
      <c r="BN125" s="154" t="s">
        <v>2034</v>
      </c>
      <c r="BO125" s="154" t="s">
        <v>2034</v>
      </c>
      <c r="BY125" s="154" t="s">
        <v>2372</v>
      </c>
      <c r="BZ125" s="154" t="s">
        <v>2372</v>
      </c>
      <c r="CA125" s="154" t="s">
        <v>2372</v>
      </c>
      <c r="CB125" s="154" t="s">
        <v>2036</v>
      </c>
      <c r="CC125" s="154" t="s">
        <v>2036</v>
      </c>
      <c r="CD125" s="154" t="s">
        <v>2036</v>
      </c>
      <c r="CE125" s="154" t="s">
        <v>2036</v>
      </c>
      <c r="CF125" s="154" t="s">
        <v>2036</v>
      </c>
      <c r="CG125" s="154" t="s">
        <v>2359</v>
      </c>
      <c r="CH125" s="154" t="s">
        <v>2359</v>
      </c>
      <c r="CI125" s="154" t="s">
        <v>2359</v>
      </c>
      <c r="CJ125" s="154" t="s">
        <v>2359</v>
      </c>
      <c r="CK125" s="154" t="s">
        <v>2359</v>
      </c>
    </row>
    <row r="126" spans="1:89" x14ac:dyDescent="0.25">
      <c r="A126" s="373">
        <v>5</v>
      </c>
      <c r="B126" s="373">
        <v>11</v>
      </c>
      <c r="C126" s="373">
        <v>12</v>
      </c>
      <c r="D126" s="373" t="s">
        <v>2774</v>
      </c>
      <c r="E126" s="373" t="s">
        <v>2435</v>
      </c>
      <c r="F126" s="373" t="s">
        <v>2435</v>
      </c>
      <c r="G126" s="373" t="s">
        <v>2405</v>
      </c>
      <c r="H126" s="373" t="s">
        <v>2435</v>
      </c>
      <c r="I126" s="373">
        <v>0</v>
      </c>
      <c r="J126" s="373">
        <v>3</v>
      </c>
      <c r="K126" s="373">
        <v>0</v>
      </c>
      <c r="L126" s="373">
        <v>5</v>
      </c>
      <c r="M126" s="366">
        <v>215</v>
      </c>
      <c r="N126" s="367" t="s">
        <v>1028</v>
      </c>
      <c r="O126" s="374" t="s">
        <v>2777</v>
      </c>
      <c r="P126" s="374"/>
      <c r="Q126" s="375" t="s">
        <v>1029</v>
      </c>
      <c r="R126" s="376">
        <v>191491</v>
      </c>
      <c r="S126" s="381" t="s">
        <v>1002</v>
      </c>
      <c r="T126" s="382">
        <v>51</v>
      </c>
      <c r="U126" s="379" t="s">
        <v>1030</v>
      </c>
      <c r="AH126" s="154" t="s">
        <v>2037</v>
      </c>
      <c r="AI126" s="154" t="s">
        <v>2037</v>
      </c>
      <c r="AJ126" s="154" t="s">
        <v>2037</v>
      </c>
      <c r="AK126" s="154" t="s">
        <v>2370</v>
      </c>
      <c r="AL126" s="154" t="s">
        <v>2370</v>
      </c>
      <c r="AS126" s="154" t="s">
        <v>2033</v>
      </c>
      <c r="AT126" s="154" t="s">
        <v>2033</v>
      </c>
      <c r="AU126" s="154" t="s">
        <v>2033</v>
      </c>
      <c r="AV126" s="154" t="s">
        <v>2033</v>
      </c>
      <c r="AW126" s="154" t="s">
        <v>2033</v>
      </c>
      <c r="AX126" s="154" t="s">
        <v>2033</v>
      </c>
      <c r="AY126" s="154" t="s">
        <v>2033</v>
      </c>
      <c r="AZ126" s="154" t="s">
        <v>2033</v>
      </c>
      <c r="BA126" s="154" t="s">
        <v>2033</v>
      </c>
      <c r="BB126" s="154" t="s">
        <v>2033</v>
      </c>
      <c r="BC126" s="154" t="s">
        <v>2033</v>
      </c>
      <c r="BD126" s="154" t="s">
        <v>2033</v>
      </c>
      <c r="BE126" s="154" t="s">
        <v>2034</v>
      </c>
      <c r="BF126" s="154" t="s">
        <v>2034</v>
      </c>
      <c r="BG126" s="154" t="s">
        <v>2034</v>
      </c>
      <c r="BH126" s="154" t="s">
        <v>2034</v>
      </c>
      <c r="BI126" s="154" t="s">
        <v>2034</v>
      </c>
      <c r="BJ126" s="154" t="s">
        <v>2034</v>
      </c>
      <c r="BK126" s="154" t="s">
        <v>2034</v>
      </c>
      <c r="BL126" s="154" t="s">
        <v>2034</v>
      </c>
      <c r="BM126" s="154" t="s">
        <v>2034</v>
      </c>
      <c r="BN126" s="154" t="s">
        <v>2034</v>
      </c>
      <c r="BO126" s="154" t="s">
        <v>2034</v>
      </c>
      <c r="BY126" s="154" t="s">
        <v>2372</v>
      </c>
      <c r="BZ126" s="154" t="s">
        <v>2372</v>
      </c>
      <c r="CA126" s="154" t="s">
        <v>2372</v>
      </c>
      <c r="CB126" s="154" t="s">
        <v>2036</v>
      </c>
      <c r="CC126" s="154" t="s">
        <v>2036</v>
      </c>
      <c r="CD126" s="154" t="s">
        <v>2036</v>
      </c>
      <c r="CE126" s="154" t="s">
        <v>2036</v>
      </c>
      <c r="CF126" s="154" t="s">
        <v>2036</v>
      </c>
      <c r="CG126" s="154" t="s">
        <v>2359</v>
      </c>
      <c r="CH126" s="154" t="s">
        <v>2359</v>
      </c>
      <c r="CI126" s="154" t="s">
        <v>2359</v>
      </c>
      <c r="CJ126" s="154" t="s">
        <v>2359</v>
      </c>
      <c r="CK126" s="154" t="s">
        <v>2359</v>
      </c>
    </row>
    <row r="127" spans="1:89" x14ac:dyDescent="0.25">
      <c r="A127" s="373">
        <v>5</v>
      </c>
      <c r="B127" s="373">
        <v>11</v>
      </c>
      <c r="C127" s="373">
        <v>12</v>
      </c>
      <c r="D127" s="373" t="s">
        <v>2775</v>
      </c>
      <c r="E127" s="373" t="s">
        <v>2435</v>
      </c>
      <c r="F127" s="373" t="s">
        <v>2435</v>
      </c>
      <c r="G127" s="373" t="s">
        <v>2393</v>
      </c>
      <c r="H127" s="373" t="s">
        <v>2435</v>
      </c>
      <c r="I127" s="373">
        <v>0</v>
      </c>
      <c r="J127" s="373">
        <v>3</v>
      </c>
      <c r="K127" s="373">
        <v>0</v>
      </c>
      <c r="L127" s="373">
        <v>5</v>
      </c>
      <c r="M127" s="366">
        <v>90</v>
      </c>
      <c r="N127" s="367" t="s">
        <v>1031</v>
      </c>
      <c r="O127" s="374" t="s">
        <v>2777</v>
      </c>
      <c r="P127" s="374"/>
      <c r="Q127" s="375" t="s">
        <v>1032</v>
      </c>
      <c r="R127" s="376">
        <v>145879</v>
      </c>
      <c r="S127" s="381" t="s">
        <v>578</v>
      </c>
      <c r="T127" s="382">
        <v>42</v>
      </c>
      <c r="U127" s="379" t="s">
        <v>1033</v>
      </c>
      <c r="AH127" s="154" t="s">
        <v>2037</v>
      </c>
      <c r="AI127" s="154" t="s">
        <v>2037</v>
      </c>
      <c r="AJ127" s="154" t="s">
        <v>2037</v>
      </c>
      <c r="AK127" s="154" t="s">
        <v>2037</v>
      </c>
      <c r="AL127" s="154" t="s">
        <v>2370</v>
      </c>
      <c r="AM127" s="154" t="s">
        <v>2370</v>
      </c>
      <c r="AN127" s="154" t="s">
        <v>2370</v>
      </c>
      <c r="AS127" s="154" t="s">
        <v>2033</v>
      </c>
      <c r="AT127" s="154" t="s">
        <v>2033</v>
      </c>
      <c r="AU127" s="154" t="s">
        <v>2033</v>
      </c>
      <c r="AV127" s="154" t="s">
        <v>2033</v>
      </c>
      <c r="AW127" s="154" t="s">
        <v>2033</v>
      </c>
      <c r="AX127" s="154" t="s">
        <v>2033</v>
      </c>
      <c r="AY127" s="154" t="s">
        <v>2033</v>
      </c>
      <c r="AZ127" s="154" t="s">
        <v>2033</v>
      </c>
      <c r="BA127" s="154" t="s">
        <v>2033</v>
      </c>
      <c r="BB127" s="154" t="s">
        <v>2033</v>
      </c>
      <c r="BC127" s="154" t="s">
        <v>2033</v>
      </c>
      <c r="BD127" s="154" t="s">
        <v>2033</v>
      </c>
      <c r="BE127" s="154" t="s">
        <v>2034</v>
      </c>
      <c r="BF127" s="154" t="s">
        <v>2034</v>
      </c>
      <c r="BG127" s="154" t="s">
        <v>2034</v>
      </c>
      <c r="BH127" s="154" t="s">
        <v>2034</v>
      </c>
      <c r="BI127" s="154" t="s">
        <v>2034</v>
      </c>
      <c r="BJ127" s="154" t="s">
        <v>2034</v>
      </c>
      <c r="BK127" s="154" t="s">
        <v>2034</v>
      </c>
      <c r="BL127" s="154" t="s">
        <v>2034</v>
      </c>
      <c r="BM127" s="154" t="s">
        <v>2034</v>
      </c>
      <c r="BN127" s="154" t="s">
        <v>2034</v>
      </c>
      <c r="BO127" s="154" t="s">
        <v>2034</v>
      </c>
      <c r="BY127" s="154" t="s">
        <v>2372</v>
      </c>
      <c r="BZ127" s="154" t="s">
        <v>2372</v>
      </c>
      <c r="CA127" s="154" t="s">
        <v>2372</v>
      </c>
      <c r="CB127" s="154" t="s">
        <v>2036</v>
      </c>
      <c r="CC127" s="154" t="s">
        <v>2036</v>
      </c>
      <c r="CD127" s="154" t="s">
        <v>2036</v>
      </c>
      <c r="CE127" s="154" t="s">
        <v>2036</v>
      </c>
      <c r="CF127" s="154" t="s">
        <v>2036</v>
      </c>
      <c r="CG127" s="154" t="s">
        <v>2359</v>
      </c>
      <c r="CH127" s="154" t="s">
        <v>2359</v>
      </c>
      <c r="CI127" s="154" t="s">
        <v>2359</v>
      </c>
      <c r="CJ127" s="154" t="s">
        <v>2359</v>
      </c>
      <c r="CK127" s="154" t="s">
        <v>2359</v>
      </c>
    </row>
    <row r="128" spans="1:89" x14ac:dyDescent="0.25">
      <c r="A128" s="373">
        <v>5</v>
      </c>
      <c r="B128" s="373">
        <v>11</v>
      </c>
      <c r="C128" s="373">
        <v>12</v>
      </c>
      <c r="D128" s="373" t="s">
        <v>2775</v>
      </c>
      <c r="E128" s="373" t="s">
        <v>2435</v>
      </c>
      <c r="F128" s="373" t="s">
        <v>2435</v>
      </c>
      <c r="G128" s="373" t="s">
        <v>2394</v>
      </c>
      <c r="H128" s="373" t="s">
        <v>2435</v>
      </c>
      <c r="I128" s="373">
        <v>0</v>
      </c>
      <c r="J128" s="373">
        <v>3</v>
      </c>
      <c r="K128" s="373">
        <v>0</v>
      </c>
      <c r="L128" s="373">
        <v>5</v>
      </c>
      <c r="M128" s="366">
        <v>106</v>
      </c>
      <c r="N128" s="367" t="s">
        <v>1034</v>
      </c>
      <c r="O128" s="374" t="s">
        <v>2777</v>
      </c>
      <c r="P128" s="374"/>
      <c r="Q128" s="375" t="s">
        <v>1035</v>
      </c>
      <c r="R128" s="376">
        <v>143302</v>
      </c>
      <c r="S128" s="381" t="s">
        <v>578</v>
      </c>
      <c r="T128" s="382">
        <v>42</v>
      </c>
      <c r="U128" s="379" t="s">
        <v>1036</v>
      </c>
      <c r="AH128" s="154" t="s">
        <v>2037</v>
      </c>
      <c r="AI128" s="154" t="s">
        <v>2037</v>
      </c>
      <c r="AJ128" s="154" t="s">
        <v>2037</v>
      </c>
      <c r="AK128" s="154" t="s">
        <v>2037</v>
      </c>
      <c r="AL128" s="154" t="s">
        <v>2370</v>
      </c>
      <c r="AM128" s="154" t="s">
        <v>2370</v>
      </c>
      <c r="AN128" s="154" t="s">
        <v>2370</v>
      </c>
      <c r="AS128" s="154" t="s">
        <v>2033</v>
      </c>
      <c r="AT128" s="154" t="s">
        <v>2033</v>
      </c>
      <c r="AU128" s="154" t="s">
        <v>2033</v>
      </c>
      <c r="AV128" s="154" t="s">
        <v>2033</v>
      </c>
      <c r="AW128" s="154" t="s">
        <v>2033</v>
      </c>
      <c r="AX128" s="154" t="s">
        <v>2033</v>
      </c>
      <c r="AY128" s="154" t="s">
        <v>2033</v>
      </c>
      <c r="AZ128" s="154" t="s">
        <v>2033</v>
      </c>
      <c r="BA128" s="154" t="s">
        <v>2033</v>
      </c>
      <c r="BB128" s="154" t="s">
        <v>2033</v>
      </c>
      <c r="BC128" s="154" t="s">
        <v>2033</v>
      </c>
      <c r="BD128" s="154" t="s">
        <v>2033</v>
      </c>
      <c r="BE128" s="154" t="s">
        <v>2034</v>
      </c>
      <c r="BF128" s="154" t="s">
        <v>2034</v>
      </c>
      <c r="BG128" s="154" t="s">
        <v>2034</v>
      </c>
      <c r="BH128" s="154" t="s">
        <v>2034</v>
      </c>
      <c r="BI128" s="154" t="s">
        <v>2034</v>
      </c>
      <c r="BJ128" s="154" t="s">
        <v>2034</v>
      </c>
      <c r="BK128" s="154" t="s">
        <v>2034</v>
      </c>
      <c r="BL128" s="154" t="s">
        <v>2034</v>
      </c>
      <c r="BM128" s="154" t="s">
        <v>2034</v>
      </c>
      <c r="BN128" s="154" t="s">
        <v>2034</v>
      </c>
      <c r="BO128" s="154" t="s">
        <v>2034</v>
      </c>
      <c r="BY128" s="154" t="s">
        <v>2372</v>
      </c>
      <c r="BZ128" s="154" t="s">
        <v>2372</v>
      </c>
      <c r="CA128" s="154" t="s">
        <v>2372</v>
      </c>
      <c r="CB128" s="154" t="s">
        <v>2036</v>
      </c>
      <c r="CC128" s="154" t="s">
        <v>2036</v>
      </c>
      <c r="CD128" s="154" t="s">
        <v>2036</v>
      </c>
      <c r="CE128" s="154" t="s">
        <v>2036</v>
      </c>
      <c r="CF128" s="154" t="s">
        <v>2036</v>
      </c>
      <c r="CG128" s="154" t="s">
        <v>2359</v>
      </c>
      <c r="CH128" s="154" t="s">
        <v>2359</v>
      </c>
      <c r="CI128" s="154" t="s">
        <v>2359</v>
      </c>
      <c r="CJ128" s="154" t="s">
        <v>2359</v>
      </c>
      <c r="CK128" s="154" t="s">
        <v>2359</v>
      </c>
    </row>
    <row r="129" spans="1:92" x14ac:dyDescent="0.25">
      <c r="A129" s="373">
        <v>5</v>
      </c>
      <c r="B129" s="373">
        <v>11</v>
      </c>
      <c r="C129" s="373">
        <v>12</v>
      </c>
      <c r="D129" s="373" t="s">
        <v>2775</v>
      </c>
      <c r="E129" s="373" t="s">
        <v>2435</v>
      </c>
      <c r="F129" s="373" t="s">
        <v>2435</v>
      </c>
      <c r="G129" s="373" t="s">
        <v>2395</v>
      </c>
      <c r="H129" s="373" t="s">
        <v>2435</v>
      </c>
      <c r="I129" s="373">
        <v>0</v>
      </c>
      <c r="J129" s="373">
        <v>3</v>
      </c>
      <c r="K129" s="373">
        <v>0</v>
      </c>
      <c r="L129" s="373">
        <v>5</v>
      </c>
      <c r="M129" s="366">
        <v>126</v>
      </c>
      <c r="N129" s="367" t="s">
        <v>1037</v>
      </c>
      <c r="O129" s="374" t="s">
        <v>2777</v>
      </c>
      <c r="P129" s="374"/>
      <c r="Q129" s="375" t="s">
        <v>1038</v>
      </c>
      <c r="R129" s="376">
        <v>143819</v>
      </c>
      <c r="S129" s="381" t="s">
        <v>578</v>
      </c>
      <c r="T129" s="382">
        <v>42</v>
      </c>
      <c r="U129" s="379" t="s">
        <v>1039</v>
      </c>
      <c r="AH129" s="154" t="s">
        <v>2037</v>
      </c>
      <c r="AI129" s="154" t="s">
        <v>2037</v>
      </c>
      <c r="AJ129" s="154" t="s">
        <v>2037</v>
      </c>
      <c r="AK129" s="154" t="s">
        <v>2037</v>
      </c>
      <c r="AL129" s="154" t="s">
        <v>2370</v>
      </c>
      <c r="AM129" s="154" t="s">
        <v>2370</v>
      </c>
      <c r="AN129" s="154" t="s">
        <v>2370</v>
      </c>
      <c r="AS129" s="154" t="s">
        <v>2033</v>
      </c>
      <c r="AT129" s="154" t="s">
        <v>2033</v>
      </c>
      <c r="AU129" s="154" t="s">
        <v>2033</v>
      </c>
      <c r="AV129" s="154" t="s">
        <v>2033</v>
      </c>
      <c r="AW129" s="154" t="s">
        <v>2033</v>
      </c>
      <c r="AX129" s="154" t="s">
        <v>2033</v>
      </c>
      <c r="AY129" s="154" t="s">
        <v>2033</v>
      </c>
      <c r="AZ129" s="154" t="s">
        <v>2033</v>
      </c>
      <c r="BA129" s="154" t="s">
        <v>2033</v>
      </c>
      <c r="BB129" s="154" t="s">
        <v>2033</v>
      </c>
      <c r="BC129" s="154" t="s">
        <v>2033</v>
      </c>
      <c r="BD129" s="154" t="s">
        <v>2033</v>
      </c>
      <c r="BE129" s="154" t="s">
        <v>2034</v>
      </c>
      <c r="BF129" s="154" t="s">
        <v>2034</v>
      </c>
      <c r="BG129" s="154" t="s">
        <v>2034</v>
      </c>
      <c r="BH129" s="154" t="s">
        <v>2034</v>
      </c>
      <c r="BI129" s="154" t="s">
        <v>2034</v>
      </c>
      <c r="BJ129" s="154" t="s">
        <v>2034</v>
      </c>
      <c r="BK129" s="154" t="s">
        <v>2034</v>
      </c>
      <c r="BL129" s="154" t="s">
        <v>2034</v>
      </c>
      <c r="BM129" s="154" t="s">
        <v>2034</v>
      </c>
      <c r="BN129" s="154" t="s">
        <v>2034</v>
      </c>
      <c r="BO129" s="154" t="s">
        <v>2034</v>
      </c>
      <c r="BY129" s="154" t="s">
        <v>2372</v>
      </c>
      <c r="BZ129" s="154" t="s">
        <v>2372</v>
      </c>
      <c r="CA129" s="154" t="s">
        <v>2372</v>
      </c>
      <c r="CB129" s="154" t="s">
        <v>2036</v>
      </c>
      <c r="CC129" s="154" t="s">
        <v>2036</v>
      </c>
      <c r="CD129" s="154" t="s">
        <v>2036</v>
      </c>
      <c r="CE129" s="154" t="s">
        <v>2036</v>
      </c>
      <c r="CF129" s="154" t="s">
        <v>2036</v>
      </c>
      <c r="CG129" s="154" t="s">
        <v>2359</v>
      </c>
      <c r="CH129" s="154" t="s">
        <v>2359</v>
      </c>
      <c r="CI129" s="154" t="s">
        <v>2359</v>
      </c>
      <c r="CJ129" s="154" t="s">
        <v>2359</v>
      </c>
      <c r="CK129" s="154" t="s">
        <v>2359</v>
      </c>
    </row>
    <row r="130" spans="1:92" x14ac:dyDescent="0.25">
      <c r="A130" s="373">
        <v>5</v>
      </c>
      <c r="B130" s="373">
        <v>11</v>
      </c>
      <c r="C130" s="373">
        <v>12</v>
      </c>
      <c r="D130" s="373" t="s">
        <v>2775</v>
      </c>
      <c r="E130" s="373" t="s">
        <v>2435</v>
      </c>
      <c r="F130" s="373" t="s">
        <v>2435</v>
      </c>
      <c r="G130" s="373" t="s">
        <v>2396</v>
      </c>
      <c r="H130" s="373" t="s">
        <v>2435</v>
      </c>
      <c r="I130" s="373">
        <v>0</v>
      </c>
      <c r="J130" s="373">
        <v>3</v>
      </c>
      <c r="K130" s="373">
        <v>0</v>
      </c>
      <c r="L130" s="373">
        <v>5</v>
      </c>
      <c r="M130" s="366">
        <v>154</v>
      </c>
      <c r="N130" s="367" t="s">
        <v>1040</v>
      </c>
      <c r="O130" s="374" t="s">
        <v>2777</v>
      </c>
      <c r="P130" s="374"/>
      <c r="Q130" s="375" t="s">
        <v>1041</v>
      </c>
      <c r="R130" s="376">
        <v>152809</v>
      </c>
      <c r="S130" s="381" t="s">
        <v>578</v>
      </c>
      <c r="T130" s="382">
        <v>42</v>
      </c>
      <c r="U130" s="379" t="s">
        <v>1042</v>
      </c>
      <c r="AH130" s="154" t="s">
        <v>2037</v>
      </c>
      <c r="AI130" s="154" t="s">
        <v>2037</v>
      </c>
      <c r="AJ130" s="154" t="s">
        <v>2037</v>
      </c>
      <c r="AK130" s="154" t="s">
        <v>2037</v>
      </c>
      <c r="AL130" s="154" t="s">
        <v>2370</v>
      </c>
      <c r="AM130" s="154" t="s">
        <v>2370</v>
      </c>
      <c r="AN130" s="154" t="s">
        <v>2370</v>
      </c>
      <c r="AS130" s="154" t="s">
        <v>2033</v>
      </c>
      <c r="AT130" s="154" t="s">
        <v>2033</v>
      </c>
      <c r="AU130" s="154" t="s">
        <v>2033</v>
      </c>
      <c r="AV130" s="154" t="s">
        <v>2033</v>
      </c>
      <c r="AW130" s="154" t="s">
        <v>2033</v>
      </c>
      <c r="AX130" s="154" t="s">
        <v>2033</v>
      </c>
      <c r="AY130" s="154" t="s">
        <v>2033</v>
      </c>
      <c r="AZ130" s="154" t="s">
        <v>2033</v>
      </c>
      <c r="BA130" s="154" t="s">
        <v>2033</v>
      </c>
      <c r="BB130" s="154" t="s">
        <v>2033</v>
      </c>
      <c r="BC130" s="154" t="s">
        <v>2033</v>
      </c>
      <c r="BD130" s="154" t="s">
        <v>2033</v>
      </c>
      <c r="BE130" s="154" t="s">
        <v>2034</v>
      </c>
      <c r="BF130" s="154" t="s">
        <v>2034</v>
      </c>
      <c r="BG130" s="154" t="s">
        <v>2034</v>
      </c>
      <c r="BH130" s="154" t="s">
        <v>2034</v>
      </c>
      <c r="BI130" s="154" t="s">
        <v>2034</v>
      </c>
      <c r="BJ130" s="154" t="s">
        <v>2034</v>
      </c>
      <c r="BK130" s="154" t="s">
        <v>2034</v>
      </c>
      <c r="BL130" s="154" t="s">
        <v>2034</v>
      </c>
      <c r="BM130" s="154" t="s">
        <v>2034</v>
      </c>
      <c r="BN130" s="154" t="s">
        <v>2034</v>
      </c>
      <c r="BO130" s="154" t="s">
        <v>2034</v>
      </c>
      <c r="BY130" s="154" t="s">
        <v>2372</v>
      </c>
      <c r="BZ130" s="154" t="s">
        <v>2372</v>
      </c>
      <c r="CA130" s="154" t="s">
        <v>2372</v>
      </c>
      <c r="CB130" s="154" t="s">
        <v>2036</v>
      </c>
      <c r="CC130" s="154" t="s">
        <v>2036</v>
      </c>
      <c r="CD130" s="154" t="s">
        <v>2036</v>
      </c>
      <c r="CE130" s="154" t="s">
        <v>2036</v>
      </c>
      <c r="CF130" s="154" t="s">
        <v>2036</v>
      </c>
      <c r="CG130" s="154" t="s">
        <v>2359</v>
      </c>
      <c r="CH130" s="154" t="s">
        <v>2359</v>
      </c>
      <c r="CI130" s="154" t="s">
        <v>2359</v>
      </c>
      <c r="CJ130" s="154" t="s">
        <v>2359</v>
      </c>
      <c r="CK130" s="154" t="s">
        <v>2359</v>
      </c>
    </row>
    <row r="131" spans="1:92" x14ac:dyDescent="0.25">
      <c r="A131" s="373">
        <v>5</v>
      </c>
      <c r="B131" s="373">
        <v>11</v>
      </c>
      <c r="C131" s="373">
        <v>12</v>
      </c>
      <c r="D131" s="373" t="s">
        <v>2775</v>
      </c>
      <c r="E131" s="373" t="s">
        <v>2435</v>
      </c>
      <c r="F131" s="373" t="s">
        <v>2435</v>
      </c>
      <c r="G131" s="373" t="s">
        <v>2406</v>
      </c>
      <c r="H131" s="373" t="s">
        <v>2435</v>
      </c>
      <c r="I131" s="373">
        <v>0</v>
      </c>
      <c r="J131" s="373">
        <v>3</v>
      </c>
      <c r="K131" s="373">
        <v>0</v>
      </c>
      <c r="L131" s="373">
        <v>5</v>
      </c>
      <c r="M131" s="366">
        <v>186</v>
      </c>
      <c r="N131" s="367" t="s">
        <v>1043</v>
      </c>
      <c r="O131" s="374" t="s">
        <v>2777</v>
      </c>
      <c r="P131" s="374"/>
      <c r="Q131" s="375" t="s">
        <v>1044</v>
      </c>
      <c r="R131" s="376">
        <v>177915</v>
      </c>
      <c r="S131" s="381" t="s">
        <v>1002</v>
      </c>
      <c r="T131" s="382">
        <v>51</v>
      </c>
      <c r="U131" s="379" t="s">
        <v>1045</v>
      </c>
      <c r="AH131" s="154" t="s">
        <v>2037</v>
      </c>
      <c r="AI131" s="154" t="s">
        <v>2037</v>
      </c>
      <c r="AJ131" s="154" t="s">
        <v>2037</v>
      </c>
      <c r="AK131" s="154" t="s">
        <v>2037</v>
      </c>
      <c r="AL131" s="154" t="s">
        <v>2370</v>
      </c>
      <c r="AM131" s="154" t="s">
        <v>2370</v>
      </c>
      <c r="AN131" s="154" t="s">
        <v>2370</v>
      </c>
      <c r="AS131" s="154" t="s">
        <v>2033</v>
      </c>
      <c r="AT131" s="154" t="s">
        <v>2033</v>
      </c>
      <c r="AU131" s="154" t="s">
        <v>2033</v>
      </c>
      <c r="AV131" s="154" t="s">
        <v>2033</v>
      </c>
      <c r="AW131" s="154" t="s">
        <v>2033</v>
      </c>
      <c r="AX131" s="154" t="s">
        <v>2033</v>
      </c>
      <c r="AY131" s="154" t="s">
        <v>2033</v>
      </c>
      <c r="AZ131" s="154" t="s">
        <v>2033</v>
      </c>
      <c r="BA131" s="154" t="s">
        <v>2033</v>
      </c>
      <c r="BB131" s="154" t="s">
        <v>2033</v>
      </c>
      <c r="BC131" s="154" t="s">
        <v>2033</v>
      </c>
      <c r="BD131" s="154" t="s">
        <v>2033</v>
      </c>
      <c r="BE131" s="154" t="s">
        <v>2034</v>
      </c>
      <c r="BF131" s="154" t="s">
        <v>2034</v>
      </c>
      <c r="BG131" s="154" t="s">
        <v>2034</v>
      </c>
      <c r="BH131" s="154" t="s">
        <v>2034</v>
      </c>
      <c r="BI131" s="154" t="s">
        <v>2034</v>
      </c>
      <c r="BJ131" s="154" t="s">
        <v>2034</v>
      </c>
      <c r="BK131" s="154" t="s">
        <v>2034</v>
      </c>
      <c r="BL131" s="154" t="s">
        <v>2034</v>
      </c>
      <c r="BM131" s="154" t="s">
        <v>2034</v>
      </c>
      <c r="BN131" s="154" t="s">
        <v>2034</v>
      </c>
      <c r="BO131" s="154" t="s">
        <v>2034</v>
      </c>
      <c r="BY131" s="154" t="s">
        <v>2372</v>
      </c>
      <c r="BZ131" s="154" t="s">
        <v>2372</v>
      </c>
      <c r="CA131" s="154" t="s">
        <v>2372</v>
      </c>
      <c r="CB131" s="154" t="s">
        <v>2036</v>
      </c>
      <c r="CC131" s="154" t="s">
        <v>2036</v>
      </c>
      <c r="CD131" s="154" t="s">
        <v>2036</v>
      </c>
      <c r="CE131" s="154" t="s">
        <v>2036</v>
      </c>
      <c r="CF131" s="154" t="s">
        <v>2036</v>
      </c>
      <c r="CG131" s="154" t="s">
        <v>2359</v>
      </c>
      <c r="CH131" s="154" t="s">
        <v>2359</v>
      </c>
      <c r="CI131" s="154" t="s">
        <v>2359</v>
      </c>
      <c r="CJ131" s="154" t="s">
        <v>2359</v>
      </c>
      <c r="CK131" s="154" t="s">
        <v>2359</v>
      </c>
    </row>
    <row r="132" spans="1:92" x14ac:dyDescent="0.25">
      <c r="A132" s="373">
        <v>5</v>
      </c>
      <c r="B132" s="373">
        <v>11</v>
      </c>
      <c r="C132" s="373">
        <v>12</v>
      </c>
      <c r="D132" s="373" t="s">
        <v>2775</v>
      </c>
      <c r="E132" s="373" t="s">
        <v>2435</v>
      </c>
      <c r="F132" s="373" t="s">
        <v>2435</v>
      </c>
      <c r="G132" s="373" t="s">
        <v>2407</v>
      </c>
      <c r="H132" s="373" t="s">
        <v>2435</v>
      </c>
      <c r="I132" s="373">
        <v>0</v>
      </c>
      <c r="J132" s="373">
        <v>3</v>
      </c>
      <c r="K132" s="373">
        <v>0</v>
      </c>
      <c r="L132" s="373">
        <v>5</v>
      </c>
      <c r="M132" s="366">
        <v>226</v>
      </c>
      <c r="N132" s="367" t="s">
        <v>1046</v>
      </c>
      <c r="O132" s="374" t="s">
        <v>2777</v>
      </c>
      <c r="P132" s="374"/>
      <c r="Q132" s="375" t="s">
        <v>1047</v>
      </c>
      <c r="R132" s="376">
        <v>182601</v>
      </c>
      <c r="S132" s="381" t="s">
        <v>1002</v>
      </c>
      <c r="T132" s="382">
        <v>51</v>
      </c>
      <c r="U132" s="379" t="s">
        <v>1048</v>
      </c>
      <c r="AH132" s="154" t="s">
        <v>2037</v>
      </c>
      <c r="AI132" s="154" t="s">
        <v>2037</v>
      </c>
      <c r="AJ132" s="154" t="s">
        <v>2037</v>
      </c>
      <c r="AK132" s="154" t="s">
        <v>2037</v>
      </c>
      <c r="AL132" s="154" t="s">
        <v>2370</v>
      </c>
      <c r="AM132" s="154" t="s">
        <v>2370</v>
      </c>
      <c r="AN132" s="154" t="s">
        <v>2370</v>
      </c>
      <c r="AS132" s="154" t="s">
        <v>2033</v>
      </c>
      <c r="AT132" s="154" t="s">
        <v>2033</v>
      </c>
      <c r="AU132" s="154" t="s">
        <v>2033</v>
      </c>
      <c r="AV132" s="154" t="s">
        <v>2033</v>
      </c>
      <c r="AW132" s="154" t="s">
        <v>2033</v>
      </c>
      <c r="AX132" s="154" t="s">
        <v>2033</v>
      </c>
      <c r="AY132" s="154" t="s">
        <v>2033</v>
      </c>
      <c r="AZ132" s="154" t="s">
        <v>2033</v>
      </c>
      <c r="BA132" s="154" t="s">
        <v>2033</v>
      </c>
      <c r="BB132" s="154" t="s">
        <v>2033</v>
      </c>
      <c r="BC132" s="154" t="s">
        <v>2033</v>
      </c>
      <c r="BD132" s="154" t="s">
        <v>2033</v>
      </c>
      <c r="BE132" s="154" t="s">
        <v>2034</v>
      </c>
      <c r="BF132" s="154" t="s">
        <v>2034</v>
      </c>
      <c r="BG132" s="154" t="s">
        <v>2034</v>
      </c>
      <c r="BH132" s="154" t="s">
        <v>2034</v>
      </c>
      <c r="BI132" s="154" t="s">
        <v>2034</v>
      </c>
      <c r="BJ132" s="154" t="s">
        <v>2034</v>
      </c>
      <c r="BK132" s="154" t="s">
        <v>2034</v>
      </c>
      <c r="BL132" s="154" t="s">
        <v>2034</v>
      </c>
      <c r="BM132" s="154" t="s">
        <v>2034</v>
      </c>
      <c r="BN132" s="154" t="s">
        <v>2034</v>
      </c>
      <c r="BO132" s="154" t="s">
        <v>2034</v>
      </c>
      <c r="BY132" s="154" t="s">
        <v>2372</v>
      </c>
      <c r="BZ132" s="154" t="s">
        <v>2372</v>
      </c>
      <c r="CA132" s="154" t="s">
        <v>2372</v>
      </c>
      <c r="CB132" s="154" t="s">
        <v>2036</v>
      </c>
      <c r="CC132" s="154" t="s">
        <v>2036</v>
      </c>
      <c r="CD132" s="154" t="s">
        <v>2036</v>
      </c>
      <c r="CE132" s="154" t="s">
        <v>2036</v>
      </c>
      <c r="CF132" s="154" t="s">
        <v>2036</v>
      </c>
      <c r="CG132" s="154" t="s">
        <v>2359</v>
      </c>
      <c r="CH132" s="154" t="s">
        <v>2359</v>
      </c>
      <c r="CI132" s="154" t="s">
        <v>2359</v>
      </c>
      <c r="CJ132" s="154" t="s">
        <v>2359</v>
      </c>
      <c r="CK132" s="154" t="s">
        <v>2359</v>
      </c>
    </row>
    <row r="133" spans="1:92" x14ac:dyDescent="0.25">
      <c r="A133" s="373">
        <v>5</v>
      </c>
      <c r="B133" s="373">
        <v>11</v>
      </c>
      <c r="C133" s="373">
        <v>12</v>
      </c>
      <c r="D133" s="373" t="s">
        <v>2775</v>
      </c>
      <c r="E133" s="373" t="s">
        <v>2435</v>
      </c>
      <c r="F133" s="373" t="s">
        <v>2435</v>
      </c>
      <c r="G133" s="373" t="s">
        <v>2408</v>
      </c>
      <c r="H133" s="373" t="s">
        <v>2435</v>
      </c>
      <c r="I133" s="373">
        <v>0</v>
      </c>
      <c r="J133" s="373">
        <v>3</v>
      </c>
      <c r="K133" s="373">
        <v>0</v>
      </c>
      <c r="L133" s="373">
        <v>5</v>
      </c>
      <c r="M133" s="366">
        <v>278</v>
      </c>
      <c r="N133" s="367" t="s">
        <v>1049</v>
      </c>
      <c r="O133" s="374" t="s">
        <v>2777</v>
      </c>
      <c r="P133" s="374"/>
      <c r="Q133" s="375" t="s">
        <v>1050</v>
      </c>
      <c r="R133" s="376">
        <v>194627</v>
      </c>
      <c r="S133" s="381" t="s">
        <v>1002</v>
      </c>
      <c r="T133" s="382">
        <v>51</v>
      </c>
      <c r="U133" s="379" t="s">
        <v>1051</v>
      </c>
      <c r="AH133" s="154" t="s">
        <v>2037</v>
      </c>
      <c r="AI133" s="154" t="s">
        <v>2037</v>
      </c>
      <c r="AJ133" s="154" t="s">
        <v>2037</v>
      </c>
      <c r="AK133" s="154" t="s">
        <v>2037</v>
      </c>
      <c r="AL133" s="154" t="s">
        <v>2370</v>
      </c>
      <c r="AM133" s="154" t="s">
        <v>2370</v>
      </c>
      <c r="AN133" s="154" t="s">
        <v>2370</v>
      </c>
      <c r="AS133" s="154" t="s">
        <v>2033</v>
      </c>
      <c r="AT133" s="154" t="s">
        <v>2033</v>
      </c>
      <c r="AU133" s="154" t="s">
        <v>2033</v>
      </c>
      <c r="AV133" s="154" t="s">
        <v>2033</v>
      </c>
      <c r="AW133" s="154" t="s">
        <v>2033</v>
      </c>
      <c r="AX133" s="154" t="s">
        <v>2033</v>
      </c>
      <c r="AY133" s="154" t="s">
        <v>2033</v>
      </c>
      <c r="AZ133" s="154" t="s">
        <v>2033</v>
      </c>
      <c r="BA133" s="154" t="s">
        <v>2033</v>
      </c>
      <c r="BB133" s="154" t="s">
        <v>2033</v>
      </c>
      <c r="BC133" s="154" t="s">
        <v>2033</v>
      </c>
      <c r="BD133" s="154" t="s">
        <v>2033</v>
      </c>
      <c r="BE133" s="154" t="s">
        <v>2034</v>
      </c>
      <c r="BF133" s="154" t="s">
        <v>2034</v>
      </c>
      <c r="BG133" s="154" t="s">
        <v>2034</v>
      </c>
      <c r="BH133" s="154" t="s">
        <v>2034</v>
      </c>
      <c r="BI133" s="154" t="s">
        <v>2034</v>
      </c>
      <c r="BJ133" s="154" t="s">
        <v>2034</v>
      </c>
      <c r="BK133" s="154" t="s">
        <v>2034</v>
      </c>
      <c r="BL133" s="154" t="s">
        <v>2034</v>
      </c>
      <c r="BM133" s="154" t="s">
        <v>2034</v>
      </c>
      <c r="BN133" s="154" t="s">
        <v>2034</v>
      </c>
      <c r="BO133" s="154" t="s">
        <v>2034</v>
      </c>
      <c r="BY133" s="154" t="s">
        <v>2372</v>
      </c>
      <c r="BZ133" s="154" t="s">
        <v>2372</v>
      </c>
      <c r="CA133" s="154" t="s">
        <v>2372</v>
      </c>
      <c r="CB133" s="154" t="s">
        <v>2036</v>
      </c>
      <c r="CC133" s="154" t="s">
        <v>2036</v>
      </c>
      <c r="CD133" s="154" t="s">
        <v>2036</v>
      </c>
      <c r="CE133" s="154" t="s">
        <v>2036</v>
      </c>
      <c r="CF133" s="154" t="s">
        <v>2036</v>
      </c>
      <c r="CG133" s="154" t="s">
        <v>2359</v>
      </c>
      <c r="CH133" s="154" t="s">
        <v>2359</v>
      </c>
      <c r="CI133" s="154" t="s">
        <v>2359</v>
      </c>
      <c r="CJ133" s="154" t="s">
        <v>2359</v>
      </c>
      <c r="CK133" s="154" t="s">
        <v>2359</v>
      </c>
    </row>
    <row r="134" spans="1:92" x14ac:dyDescent="0.25">
      <c r="A134" s="372">
        <v>6</v>
      </c>
      <c r="B134" s="372">
        <v>11</v>
      </c>
      <c r="C134" s="372">
        <v>16</v>
      </c>
      <c r="D134" s="372" t="s">
        <v>2374</v>
      </c>
      <c r="E134" s="372" t="s">
        <v>2435</v>
      </c>
      <c r="F134" s="372" t="s">
        <v>2435</v>
      </c>
      <c r="G134" s="372" t="s">
        <v>2397</v>
      </c>
      <c r="H134" s="372" t="s">
        <v>2435</v>
      </c>
      <c r="I134" s="372">
        <v>0</v>
      </c>
      <c r="J134" s="372">
        <v>3</v>
      </c>
      <c r="K134" s="372">
        <v>0</v>
      </c>
      <c r="L134" s="372">
        <v>7</v>
      </c>
      <c r="M134" s="359">
        <v>89</v>
      </c>
      <c r="N134" s="383" t="s">
        <v>1052</v>
      </c>
      <c r="O134" s="374" t="s">
        <v>2777</v>
      </c>
      <c r="P134" s="237" t="s">
        <v>1497</v>
      </c>
      <c r="Q134" s="360" t="s">
        <v>2285</v>
      </c>
      <c r="R134" s="361">
        <v>157816</v>
      </c>
      <c r="S134" s="369" t="s">
        <v>578</v>
      </c>
      <c r="T134" s="380">
        <v>43</v>
      </c>
      <c r="U134" s="364" t="s">
        <v>2286</v>
      </c>
      <c r="AH134" s="154" t="s">
        <v>2037</v>
      </c>
      <c r="AI134" s="154" t="s">
        <v>2037</v>
      </c>
      <c r="AJ134" s="154" t="s">
        <v>2037</v>
      </c>
      <c r="AK134" s="154" t="s">
        <v>2037</v>
      </c>
      <c r="AL134" s="154" t="s">
        <v>2037</v>
      </c>
      <c r="AM134" s="154" t="s">
        <v>2370</v>
      </c>
      <c r="AS134" s="154" t="s">
        <v>2033</v>
      </c>
      <c r="AT134" s="154" t="s">
        <v>2033</v>
      </c>
      <c r="AU134" s="154" t="s">
        <v>2033</v>
      </c>
      <c r="AV134" s="154" t="s">
        <v>2033</v>
      </c>
      <c r="AW134" s="154" t="s">
        <v>2033</v>
      </c>
      <c r="AX134" s="154" t="s">
        <v>2033</v>
      </c>
      <c r="AY134" s="154" t="s">
        <v>2033</v>
      </c>
      <c r="AZ134" s="154" t="s">
        <v>2033</v>
      </c>
      <c r="BA134" s="154" t="s">
        <v>2033</v>
      </c>
      <c r="BB134" s="154" t="s">
        <v>2033</v>
      </c>
      <c r="BC134" s="154" t="s">
        <v>2033</v>
      </c>
      <c r="BD134" s="154" t="s">
        <v>2033</v>
      </c>
      <c r="BE134" s="154" t="s">
        <v>2033</v>
      </c>
      <c r="BF134" s="154" t="s">
        <v>2033</v>
      </c>
      <c r="BG134" s="154" t="s">
        <v>2033</v>
      </c>
      <c r="BH134" s="154" t="s">
        <v>2033</v>
      </c>
      <c r="BI134" s="154" t="s">
        <v>2034</v>
      </c>
      <c r="BJ134" s="154" t="s">
        <v>2034</v>
      </c>
      <c r="BK134" s="154" t="s">
        <v>2034</v>
      </c>
      <c r="BL134" s="154" t="s">
        <v>2034</v>
      </c>
      <c r="BM134" s="154" t="s">
        <v>2034</v>
      </c>
      <c r="BN134" s="154" t="s">
        <v>2034</v>
      </c>
      <c r="BO134" s="154" t="s">
        <v>2034</v>
      </c>
      <c r="BP134" s="154" t="s">
        <v>2034</v>
      </c>
      <c r="BQ134" s="154" t="s">
        <v>2034</v>
      </c>
      <c r="BR134" s="154" t="s">
        <v>2034</v>
      </c>
      <c r="BS134" s="154" t="s">
        <v>2034</v>
      </c>
      <c r="BY134" s="154" t="s">
        <v>2372</v>
      </c>
      <c r="BZ134" s="154" t="s">
        <v>2372</v>
      </c>
      <c r="CA134" s="154" t="s">
        <v>2372</v>
      </c>
      <c r="CB134" s="154" t="s">
        <v>2036</v>
      </c>
      <c r="CC134" s="154" t="s">
        <v>2036</v>
      </c>
      <c r="CD134" s="154" t="s">
        <v>2036</v>
      </c>
      <c r="CE134" s="154" t="s">
        <v>2036</v>
      </c>
      <c r="CF134" s="154" t="s">
        <v>2036</v>
      </c>
      <c r="CG134" s="154" t="s">
        <v>2036</v>
      </c>
      <c r="CH134" s="154" t="s">
        <v>2036</v>
      </c>
      <c r="CI134" s="154" t="s">
        <v>2359</v>
      </c>
      <c r="CJ134" s="154" t="s">
        <v>2359</v>
      </c>
      <c r="CK134" s="154" t="s">
        <v>2359</v>
      </c>
      <c r="CL134" s="154" t="s">
        <v>2359</v>
      </c>
      <c r="CM134" s="154" t="s">
        <v>2359</v>
      </c>
      <c r="CN134" s="154" t="s">
        <v>2359</v>
      </c>
    </row>
    <row r="135" spans="1:92" x14ac:dyDescent="0.25">
      <c r="A135" s="372">
        <v>6</v>
      </c>
      <c r="B135" s="372">
        <v>11</v>
      </c>
      <c r="C135" s="372">
        <v>16</v>
      </c>
      <c r="D135" s="372" t="s">
        <v>2374</v>
      </c>
      <c r="E135" s="372" t="s">
        <v>2435</v>
      </c>
      <c r="F135" s="372" t="s">
        <v>2435</v>
      </c>
      <c r="G135" s="372" t="s">
        <v>2398</v>
      </c>
      <c r="H135" s="372" t="s">
        <v>2435</v>
      </c>
      <c r="I135" s="372">
        <v>0</v>
      </c>
      <c r="J135" s="372">
        <v>3</v>
      </c>
      <c r="K135" s="372">
        <v>0</v>
      </c>
      <c r="L135" s="372">
        <v>7</v>
      </c>
      <c r="M135" s="359">
        <v>109</v>
      </c>
      <c r="N135" s="383" t="s">
        <v>1055</v>
      </c>
      <c r="O135" s="374" t="s">
        <v>2777</v>
      </c>
      <c r="P135" s="237" t="s">
        <v>1497</v>
      </c>
      <c r="Q135" s="360" t="s">
        <v>2287</v>
      </c>
      <c r="R135" s="361">
        <v>162083</v>
      </c>
      <c r="S135" s="369" t="s">
        <v>578</v>
      </c>
      <c r="T135" s="380">
        <v>43</v>
      </c>
      <c r="U135" s="364" t="s">
        <v>2288</v>
      </c>
      <c r="AH135" s="154" t="s">
        <v>2037</v>
      </c>
      <c r="AI135" s="154" t="s">
        <v>2037</v>
      </c>
      <c r="AJ135" s="154" t="s">
        <v>2037</v>
      </c>
      <c r="AK135" s="154" t="s">
        <v>2037</v>
      </c>
      <c r="AL135" s="154" t="s">
        <v>2037</v>
      </c>
      <c r="AM135" s="154" t="s">
        <v>2370</v>
      </c>
      <c r="AS135" s="154" t="s">
        <v>2033</v>
      </c>
      <c r="AT135" s="154" t="s">
        <v>2033</v>
      </c>
      <c r="AU135" s="154" t="s">
        <v>2033</v>
      </c>
      <c r="AV135" s="154" t="s">
        <v>2033</v>
      </c>
      <c r="AW135" s="154" t="s">
        <v>2033</v>
      </c>
      <c r="AX135" s="154" t="s">
        <v>2033</v>
      </c>
      <c r="AY135" s="154" t="s">
        <v>2033</v>
      </c>
      <c r="AZ135" s="154" t="s">
        <v>2033</v>
      </c>
      <c r="BA135" s="154" t="s">
        <v>2033</v>
      </c>
      <c r="BB135" s="154" t="s">
        <v>2033</v>
      </c>
      <c r="BC135" s="154" t="s">
        <v>2033</v>
      </c>
      <c r="BD135" s="154" t="s">
        <v>2033</v>
      </c>
      <c r="BE135" s="154" t="s">
        <v>2033</v>
      </c>
      <c r="BF135" s="154" t="s">
        <v>2033</v>
      </c>
      <c r="BG135" s="154" t="s">
        <v>2033</v>
      </c>
      <c r="BH135" s="154" t="s">
        <v>2033</v>
      </c>
      <c r="BI135" s="154" t="s">
        <v>2034</v>
      </c>
      <c r="BJ135" s="154" t="s">
        <v>2034</v>
      </c>
      <c r="BK135" s="154" t="s">
        <v>2034</v>
      </c>
      <c r="BL135" s="154" t="s">
        <v>2034</v>
      </c>
      <c r="BM135" s="154" t="s">
        <v>2034</v>
      </c>
      <c r="BN135" s="154" t="s">
        <v>2034</v>
      </c>
      <c r="BO135" s="154" t="s">
        <v>2034</v>
      </c>
      <c r="BP135" s="154" t="s">
        <v>2034</v>
      </c>
      <c r="BQ135" s="154" t="s">
        <v>2034</v>
      </c>
      <c r="BR135" s="154" t="s">
        <v>2034</v>
      </c>
      <c r="BS135" s="154" t="s">
        <v>2034</v>
      </c>
      <c r="BY135" s="154" t="s">
        <v>2372</v>
      </c>
      <c r="BZ135" s="154" t="s">
        <v>2372</v>
      </c>
      <c r="CA135" s="154" t="s">
        <v>2372</v>
      </c>
      <c r="CB135" s="154" t="s">
        <v>2036</v>
      </c>
      <c r="CC135" s="154" t="s">
        <v>2036</v>
      </c>
      <c r="CD135" s="154" t="s">
        <v>2036</v>
      </c>
      <c r="CE135" s="154" t="s">
        <v>2036</v>
      </c>
      <c r="CF135" s="154" t="s">
        <v>2036</v>
      </c>
      <c r="CG135" s="154" t="s">
        <v>2036</v>
      </c>
      <c r="CH135" s="154" t="s">
        <v>2036</v>
      </c>
      <c r="CI135" s="154" t="s">
        <v>2359</v>
      </c>
      <c r="CJ135" s="154" t="s">
        <v>2359</v>
      </c>
      <c r="CK135" s="154" t="s">
        <v>2359</v>
      </c>
      <c r="CL135" s="154" t="s">
        <v>2359</v>
      </c>
      <c r="CM135" s="154" t="s">
        <v>2359</v>
      </c>
      <c r="CN135" s="154" t="s">
        <v>2359</v>
      </c>
    </row>
    <row r="136" spans="1:92" x14ac:dyDescent="0.25">
      <c r="A136" s="372">
        <v>6</v>
      </c>
      <c r="B136" s="372">
        <v>11</v>
      </c>
      <c r="C136" s="372">
        <v>16</v>
      </c>
      <c r="D136" s="372" t="s">
        <v>2374</v>
      </c>
      <c r="E136" s="372" t="s">
        <v>2435</v>
      </c>
      <c r="F136" s="372" t="s">
        <v>2435</v>
      </c>
      <c r="G136" s="372" t="s">
        <v>2409</v>
      </c>
      <c r="H136" s="372" t="s">
        <v>2435</v>
      </c>
      <c r="I136" s="372">
        <v>0</v>
      </c>
      <c r="J136" s="372">
        <v>3</v>
      </c>
      <c r="K136" s="372">
        <v>0</v>
      </c>
      <c r="L136" s="372">
        <v>7</v>
      </c>
      <c r="M136" s="359">
        <v>134</v>
      </c>
      <c r="N136" s="383" t="s">
        <v>1058</v>
      </c>
      <c r="O136" s="374" t="s">
        <v>2777</v>
      </c>
      <c r="P136" s="237" t="s">
        <v>1497</v>
      </c>
      <c r="Q136" s="360" t="s">
        <v>2289</v>
      </c>
      <c r="R136" s="361">
        <v>169892</v>
      </c>
      <c r="S136" s="369" t="s">
        <v>578</v>
      </c>
      <c r="T136" s="380">
        <v>43</v>
      </c>
      <c r="U136" s="364" t="s">
        <v>2290</v>
      </c>
      <c r="AH136" s="154" t="s">
        <v>2037</v>
      </c>
      <c r="AI136" s="154" t="s">
        <v>2037</v>
      </c>
      <c r="AJ136" s="154" t="s">
        <v>2037</v>
      </c>
      <c r="AK136" s="154" t="s">
        <v>2037</v>
      </c>
      <c r="AL136" s="154" t="s">
        <v>2037</v>
      </c>
      <c r="AM136" s="154" t="s">
        <v>2370</v>
      </c>
      <c r="AS136" s="154" t="s">
        <v>2033</v>
      </c>
      <c r="AT136" s="154" t="s">
        <v>2033</v>
      </c>
      <c r="AU136" s="154" t="s">
        <v>2033</v>
      </c>
      <c r="AV136" s="154" t="s">
        <v>2033</v>
      </c>
      <c r="AW136" s="154" t="s">
        <v>2033</v>
      </c>
      <c r="AX136" s="154" t="s">
        <v>2033</v>
      </c>
      <c r="AY136" s="154" t="s">
        <v>2033</v>
      </c>
      <c r="AZ136" s="154" t="s">
        <v>2033</v>
      </c>
      <c r="BA136" s="154" t="s">
        <v>2033</v>
      </c>
      <c r="BB136" s="154" t="s">
        <v>2033</v>
      </c>
      <c r="BC136" s="154" t="s">
        <v>2033</v>
      </c>
      <c r="BD136" s="154" t="s">
        <v>2033</v>
      </c>
      <c r="BE136" s="154" t="s">
        <v>2033</v>
      </c>
      <c r="BF136" s="154" t="s">
        <v>2033</v>
      </c>
      <c r="BG136" s="154" t="s">
        <v>2033</v>
      </c>
      <c r="BH136" s="154" t="s">
        <v>2033</v>
      </c>
      <c r="BI136" s="154" t="s">
        <v>2034</v>
      </c>
      <c r="BJ136" s="154" t="s">
        <v>2034</v>
      </c>
      <c r="BK136" s="154" t="s">
        <v>2034</v>
      </c>
      <c r="BL136" s="154" t="s">
        <v>2034</v>
      </c>
      <c r="BM136" s="154" t="s">
        <v>2034</v>
      </c>
      <c r="BN136" s="154" t="s">
        <v>2034</v>
      </c>
      <c r="BO136" s="154" t="s">
        <v>2034</v>
      </c>
      <c r="BP136" s="154" t="s">
        <v>2034</v>
      </c>
      <c r="BQ136" s="154" t="s">
        <v>2034</v>
      </c>
      <c r="BR136" s="154" t="s">
        <v>2034</v>
      </c>
      <c r="BS136" s="154" t="s">
        <v>2034</v>
      </c>
      <c r="BY136" s="154" t="s">
        <v>2372</v>
      </c>
      <c r="BZ136" s="154" t="s">
        <v>2372</v>
      </c>
      <c r="CA136" s="154" t="s">
        <v>2372</v>
      </c>
      <c r="CB136" s="154" t="s">
        <v>2036</v>
      </c>
      <c r="CC136" s="154" t="s">
        <v>2036</v>
      </c>
      <c r="CD136" s="154" t="s">
        <v>2036</v>
      </c>
      <c r="CE136" s="154" t="s">
        <v>2036</v>
      </c>
      <c r="CF136" s="154" t="s">
        <v>2036</v>
      </c>
      <c r="CG136" s="154" t="s">
        <v>2036</v>
      </c>
      <c r="CH136" s="154" t="s">
        <v>2036</v>
      </c>
      <c r="CI136" s="154" t="s">
        <v>2359</v>
      </c>
      <c r="CJ136" s="154" t="s">
        <v>2359</v>
      </c>
      <c r="CK136" s="154" t="s">
        <v>2359</v>
      </c>
      <c r="CL136" s="154" t="s">
        <v>2359</v>
      </c>
      <c r="CM136" s="154" t="s">
        <v>2359</v>
      </c>
      <c r="CN136" s="154" t="s">
        <v>2359</v>
      </c>
    </row>
    <row r="137" spans="1:92" x14ac:dyDescent="0.25">
      <c r="A137" s="372">
        <v>6</v>
      </c>
      <c r="B137" s="372">
        <v>11</v>
      </c>
      <c r="C137" s="372">
        <v>16</v>
      </c>
      <c r="D137" s="372" t="s">
        <v>2374</v>
      </c>
      <c r="E137" s="372" t="s">
        <v>2435</v>
      </c>
      <c r="F137" s="372" t="s">
        <v>2435</v>
      </c>
      <c r="G137" s="372" t="s">
        <v>2410</v>
      </c>
      <c r="H137" s="372" t="s">
        <v>2435</v>
      </c>
      <c r="I137" s="372">
        <v>0</v>
      </c>
      <c r="J137" s="372">
        <v>3</v>
      </c>
      <c r="K137" s="372">
        <v>0</v>
      </c>
      <c r="L137" s="372">
        <v>7</v>
      </c>
      <c r="M137" s="359">
        <v>169</v>
      </c>
      <c r="N137" s="383" t="s">
        <v>1061</v>
      </c>
      <c r="O137" s="374" t="s">
        <v>2777</v>
      </c>
      <c r="P137" s="237" t="s">
        <v>1497</v>
      </c>
      <c r="Q137" s="360" t="s">
        <v>2291</v>
      </c>
      <c r="R137" s="361">
        <v>189670</v>
      </c>
      <c r="S137" s="369" t="s">
        <v>1002</v>
      </c>
      <c r="T137" s="380">
        <v>53</v>
      </c>
      <c r="U137" s="364" t="s">
        <v>2292</v>
      </c>
      <c r="AH137" s="154" t="s">
        <v>2037</v>
      </c>
      <c r="AI137" s="154" t="s">
        <v>2037</v>
      </c>
      <c r="AJ137" s="154" t="s">
        <v>2037</v>
      </c>
      <c r="AK137" s="154" t="s">
        <v>2037</v>
      </c>
      <c r="AL137" s="154" t="s">
        <v>2037</v>
      </c>
      <c r="AM137" s="154" t="s">
        <v>2370</v>
      </c>
      <c r="AS137" s="154" t="s">
        <v>2033</v>
      </c>
      <c r="AT137" s="154" t="s">
        <v>2033</v>
      </c>
      <c r="AU137" s="154" t="s">
        <v>2033</v>
      </c>
      <c r="AV137" s="154" t="s">
        <v>2033</v>
      </c>
      <c r="AW137" s="154" t="s">
        <v>2033</v>
      </c>
      <c r="AX137" s="154" t="s">
        <v>2033</v>
      </c>
      <c r="AY137" s="154" t="s">
        <v>2033</v>
      </c>
      <c r="AZ137" s="154" t="s">
        <v>2033</v>
      </c>
      <c r="BA137" s="154" t="s">
        <v>2033</v>
      </c>
      <c r="BB137" s="154" t="s">
        <v>2033</v>
      </c>
      <c r="BC137" s="154" t="s">
        <v>2033</v>
      </c>
      <c r="BD137" s="154" t="s">
        <v>2033</v>
      </c>
      <c r="BE137" s="154" t="s">
        <v>2033</v>
      </c>
      <c r="BF137" s="154" t="s">
        <v>2033</v>
      </c>
      <c r="BG137" s="154" t="s">
        <v>2033</v>
      </c>
      <c r="BH137" s="154" t="s">
        <v>2033</v>
      </c>
      <c r="BI137" s="154" t="s">
        <v>2034</v>
      </c>
      <c r="BJ137" s="154" t="s">
        <v>2034</v>
      </c>
      <c r="BK137" s="154" t="s">
        <v>2034</v>
      </c>
      <c r="BL137" s="154" t="s">
        <v>2034</v>
      </c>
      <c r="BM137" s="154" t="s">
        <v>2034</v>
      </c>
      <c r="BN137" s="154" t="s">
        <v>2034</v>
      </c>
      <c r="BO137" s="154" t="s">
        <v>2034</v>
      </c>
      <c r="BP137" s="154" t="s">
        <v>2034</v>
      </c>
      <c r="BQ137" s="154" t="s">
        <v>2034</v>
      </c>
      <c r="BR137" s="154" t="s">
        <v>2034</v>
      </c>
      <c r="BS137" s="154" t="s">
        <v>2034</v>
      </c>
      <c r="BY137" s="154" t="s">
        <v>2372</v>
      </c>
      <c r="BZ137" s="154" t="s">
        <v>2372</v>
      </c>
      <c r="CA137" s="154" t="s">
        <v>2372</v>
      </c>
      <c r="CB137" s="154" t="s">
        <v>2036</v>
      </c>
      <c r="CC137" s="154" t="s">
        <v>2036</v>
      </c>
      <c r="CD137" s="154" t="s">
        <v>2036</v>
      </c>
      <c r="CE137" s="154" t="s">
        <v>2036</v>
      </c>
      <c r="CF137" s="154" t="s">
        <v>2036</v>
      </c>
      <c r="CG137" s="154" t="s">
        <v>2036</v>
      </c>
      <c r="CH137" s="154" t="s">
        <v>2036</v>
      </c>
      <c r="CI137" s="154" t="s">
        <v>2359</v>
      </c>
      <c r="CJ137" s="154" t="s">
        <v>2359</v>
      </c>
      <c r="CK137" s="154" t="s">
        <v>2359</v>
      </c>
      <c r="CL137" s="154" t="s">
        <v>2359</v>
      </c>
      <c r="CM137" s="154" t="s">
        <v>2359</v>
      </c>
      <c r="CN137" s="154" t="s">
        <v>2359</v>
      </c>
    </row>
    <row r="138" spans="1:92" x14ac:dyDescent="0.25">
      <c r="A138" s="372">
        <v>6</v>
      </c>
      <c r="B138" s="372">
        <v>11</v>
      </c>
      <c r="C138" s="372">
        <v>16</v>
      </c>
      <c r="D138" s="372" t="s">
        <v>2374</v>
      </c>
      <c r="E138" s="372" t="s">
        <v>2435</v>
      </c>
      <c r="F138" s="372" t="s">
        <v>2435</v>
      </c>
      <c r="G138" s="372" t="s">
        <v>2411</v>
      </c>
      <c r="H138" s="372" t="s">
        <v>2435</v>
      </c>
      <c r="I138" s="372">
        <v>0</v>
      </c>
      <c r="J138" s="372">
        <v>3</v>
      </c>
      <c r="K138" s="372">
        <v>0</v>
      </c>
      <c r="L138" s="372">
        <v>7</v>
      </c>
      <c r="M138" s="359">
        <v>209</v>
      </c>
      <c r="N138" s="383" t="s">
        <v>1064</v>
      </c>
      <c r="O138" s="374" t="s">
        <v>2777</v>
      </c>
      <c r="P138" s="237" t="s">
        <v>1497</v>
      </c>
      <c r="Q138" s="360" t="s">
        <v>2293</v>
      </c>
      <c r="R138" s="361">
        <v>198884</v>
      </c>
      <c r="S138" s="369" t="s">
        <v>1002</v>
      </c>
      <c r="T138" s="380">
        <v>53</v>
      </c>
      <c r="U138" s="364" t="s">
        <v>2294</v>
      </c>
      <c r="AH138" s="154" t="s">
        <v>2037</v>
      </c>
      <c r="AI138" s="154" t="s">
        <v>2037</v>
      </c>
      <c r="AJ138" s="154" t="s">
        <v>2037</v>
      </c>
      <c r="AK138" s="154" t="s">
        <v>2037</v>
      </c>
      <c r="AL138" s="154" t="s">
        <v>2037</v>
      </c>
      <c r="AM138" s="154" t="s">
        <v>2370</v>
      </c>
      <c r="AS138" s="154" t="s">
        <v>2033</v>
      </c>
      <c r="AT138" s="154" t="s">
        <v>2033</v>
      </c>
      <c r="AU138" s="154" t="s">
        <v>2033</v>
      </c>
      <c r="AV138" s="154" t="s">
        <v>2033</v>
      </c>
      <c r="AW138" s="154" t="s">
        <v>2033</v>
      </c>
      <c r="AX138" s="154" t="s">
        <v>2033</v>
      </c>
      <c r="AY138" s="154" t="s">
        <v>2033</v>
      </c>
      <c r="AZ138" s="154" t="s">
        <v>2033</v>
      </c>
      <c r="BA138" s="154" t="s">
        <v>2033</v>
      </c>
      <c r="BB138" s="154" t="s">
        <v>2033</v>
      </c>
      <c r="BC138" s="154" t="s">
        <v>2033</v>
      </c>
      <c r="BD138" s="154" t="s">
        <v>2033</v>
      </c>
      <c r="BE138" s="154" t="s">
        <v>2033</v>
      </c>
      <c r="BF138" s="154" t="s">
        <v>2033</v>
      </c>
      <c r="BG138" s="154" t="s">
        <v>2033</v>
      </c>
      <c r="BH138" s="154" t="s">
        <v>2033</v>
      </c>
      <c r="BI138" s="154" t="s">
        <v>2034</v>
      </c>
      <c r="BJ138" s="154" t="s">
        <v>2034</v>
      </c>
      <c r="BK138" s="154" t="s">
        <v>2034</v>
      </c>
      <c r="BL138" s="154" t="s">
        <v>2034</v>
      </c>
      <c r="BM138" s="154" t="s">
        <v>2034</v>
      </c>
      <c r="BN138" s="154" t="s">
        <v>2034</v>
      </c>
      <c r="BO138" s="154" t="s">
        <v>2034</v>
      </c>
      <c r="BP138" s="154" t="s">
        <v>2034</v>
      </c>
      <c r="BQ138" s="154" t="s">
        <v>2034</v>
      </c>
      <c r="BR138" s="154" t="s">
        <v>2034</v>
      </c>
      <c r="BS138" s="154" t="s">
        <v>2034</v>
      </c>
      <c r="BY138" s="154" t="s">
        <v>2372</v>
      </c>
      <c r="BZ138" s="154" t="s">
        <v>2372</v>
      </c>
      <c r="CA138" s="154" t="s">
        <v>2372</v>
      </c>
      <c r="CB138" s="154" t="s">
        <v>2036</v>
      </c>
      <c r="CC138" s="154" t="s">
        <v>2036</v>
      </c>
      <c r="CD138" s="154" t="s">
        <v>2036</v>
      </c>
      <c r="CE138" s="154" t="s">
        <v>2036</v>
      </c>
      <c r="CF138" s="154" t="s">
        <v>2036</v>
      </c>
      <c r="CG138" s="154" t="s">
        <v>2036</v>
      </c>
      <c r="CH138" s="154" t="s">
        <v>2036</v>
      </c>
      <c r="CI138" s="154" t="s">
        <v>2359</v>
      </c>
      <c r="CJ138" s="154" t="s">
        <v>2359</v>
      </c>
      <c r="CK138" s="154" t="s">
        <v>2359</v>
      </c>
      <c r="CL138" s="154" t="s">
        <v>2359</v>
      </c>
      <c r="CM138" s="154" t="s">
        <v>2359</v>
      </c>
      <c r="CN138" s="154" t="s">
        <v>2359</v>
      </c>
    </row>
    <row r="139" spans="1:92" x14ac:dyDescent="0.25">
      <c r="A139" s="372">
        <v>6</v>
      </c>
      <c r="B139" s="372">
        <v>11</v>
      </c>
      <c r="C139" s="372">
        <v>16</v>
      </c>
      <c r="D139" s="372" t="s">
        <v>2374</v>
      </c>
      <c r="E139" s="372" t="s">
        <v>2435</v>
      </c>
      <c r="F139" s="372" t="s">
        <v>2435</v>
      </c>
      <c r="G139" s="372" t="s">
        <v>2412</v>
      </c>
      <c r="H139" s="372" t="s">
        <v>2435</v>
      </c>
      <c r="I139" s="372">
        <v>0</v>
      </c>
      <c r="J139" s="372">
        <v>3</v>
      </c>
      <c r="K139" s="372">
        <v>0</v>
      </c>
      <c r="L139" s="372">
        <v>7</v>
      </c>
      <c r="M139" s="359">
        <v>259</v>
      </c>
      <c r="N139" s="383" t="s">
        <v>1067</v>
      </c>
      <c r="O139" s="374" t="s">
        <v>2777</v>
      </c>
      <c r="P139" s="237" t="s">
        <v>1497</v>
      </c>
      <c r="Q139" s="360" t="s">
        <v>2295</v>
      </c>
      <c r="R139" s="361">
        <v>207049</v>
      </c>
      <c r="S139" s="369" t="s">
        <v>1002</v>
      </c>
      <c r="T139" s="380">
        <v>54</v>
      </c>
      <c r="U139" s="364" t="s">
        <v>2296</v>
      </c>
      <c r="AH139" s="154" t="s">
        <v>2037</v>
      </c>
      <c r="AI139" s="154" t="s">
        <v>2037</v>
      </c>
      <c r="AJ139" s="154" t="s">
        <v>2037</v>
      </c>
      <c r="AK139" s="154" t="s">
        <v>2037</v>
      </c>
      <c r="AL139" s="154" t="s">
        <v>2037</v>
      </c>
      <c r="AM139" s="154" t="s">
        <v>2370</v>
      </c>
      <c r="AS139" s="154" t="s">
        <v>2033</v>
      </c>
      <c r="AT139" s="154" t="s">
        <v>2033</v>
      </c>
      <c r="AU139" s="154" t="s">
        <v>2033</v>
      </c>
      <c r="AV139" s="154" t="s">
        <v>2033</v>
      </c>
      <c r="AW139" s="154" t="s">
        <v>2033</v>
      </c>
      <c r="AX139" s="154" t="s">
        <v>2033</v>
      </c>
      <c r="AY139" s="154" t="s">
        <v>2033</v>
      </c>
      <c r="AZ139" s="154" t="s">
        <v>2033</v>
      </c>
      <c r="BA139" s="154" t="s">
        <v>2033</v>
      </c>
      <c r="BB139" s="154" t="s">
        <v>2033</v>
      </c>
      <c r="BC139" s="154" t="s">
        <v>2033</v>
      </c>
      <c r="BD139" s="154" t="s">
        <v>2033</v>
      </c>
      <c r="BE139" s="154" t="s">
        <v>2033</v>
      </c>
      <c r="BF139" s="154" t="s">
        <v>2033</v>
      </c>
      <c r="BG139" s="154" t="s">
        <v>2033</v>
      </c>
      <c r="BH139" s="154" t="s">
        <v>2033</v>
      </c>
      <c r="BI139" s="154" t="s">
        <v>2034</v>
      </c>
      <c r="BJ139" s="154" t="s">
        <v>2034</v>
      </c>
      <c r="BK139" s="154" t="s">
        <v>2034</v>
      </c>
      <c r="BL139" s="154" t="s">
        <v>2034</v>
      </c>
      <c r="BM139" s="154" t="s">
        <v>2034</v>
      </c>
      <c r="BN139" s="154" t="s">
        <v>2034</v>
      </c>
      <c r="BO139" s="154" t="s">
        <v>2034</v>
      </c>
      <c r="BP139" s="154" t="s">
        <v>2034</v>
      </c>
      <c r="BQ139" s="154" t="s">
        <v>2034</v>
      </c>
      <c r="BR139" s="154" t="s">
        <v>2034</v>
      </c>
      <c r="BS139" s="154" t="s">
        <v>2034</v>
      </c>
      <c r="BY139" s="154" t="s">
        <v>2372</v>
      </c>
      <c r="BZ139" s="154" t="s">
        <v>2372</v>
      </c>
      <c r="CA139" s="154" t="s">
        <v>2372</v>
      </c>
      <c r="CB139" s="154" t="s">
        <v>2036</v>
      </c>
      <c r="CC139" s="154" t="s">
        <v>2036</v>
      </c>
      <c r="CD139" s="154" t="s">
        <v>2036</v>
      </c>
      <c r="CE139" s="154" t="s">
        <v>2036</v>
      </c>
      <c r="CF139" s="154" t="s">
        <v>2036</v>
      </c>
      <c r="CG139" s="154" t="s">
        <v>2036</v>
      </c>
      <c r="CH139" s="154" t="s">
        <v>2036</v>
      </c>
      <c r="CI139" s="154" t="s">
        <v>2359</v>
      </c>
      <c r="CJ139" s="154" t="s">
        <v>2359</v>
      </c>
      <c r="CK139" s="154" t="s">
        <v>2359</v>
      </c>
      <c r="CL139" s="154" t="s">
        <v>2359</v>
      </c>
      <c r="CM139" s="154" t="s">
        <v>2359</v>
      </c>
      <c r="CN139" s="154" t="s">
        <v>2359</v>
      </c>
    </row>
    <row r="140" spans="1:92" x14ac:dyDescent="0.25">
      <c r="A140" s="372">
        <v>6</v>
      </c>
      <c r="B140" s="372">
        <v>11</v>
      </c>
      <c r="C140" s="372">
        <v>16</v>
      </c>
      <c r="D140" s="372" t="s">
        <v>2374</v>
      </c>
      <c r="E140" s="372" t="s">
        <v>2435</v>
      </c>
      <c r="F140" s="372" t="s">
        <v>2435</v>
      </c>
      <c r="G140" s="372" t="s">
        <v>2413</v>
      </c>
      <c r="H140" s="372" t="s">
        <v>2435</v>
      </c>
      <c r="I140" s="372">
        <v>0</v>
      </c>
      <c r="J140" s="372">
        <v>3</v>
      </c>
      <c r="K140" s="372">
        <v>0</v>
      </c>
      <c r="L140" s="372">
        <v>7</v>
      </c>
      <c r="M140" s="359">
        <v>324</v>
      </c>
      <c r="N140" s="383" t="s">
        <v>1070</v>
      </c>
      <c r="O140" s="374" t="s">
        <v>2777</v>
      </c>
      <c r="P140" s="237" t="s">
        <v>1497</v>
      </c>
      <c r="Q140" s="360" t="s">
        <v>2297</v>
      </c>
      <c r="R140" s="361">
        <v>212613</v>
      </c>
      <c r="S140" s="369" t="s">
        <v>1002</v>
      </c>
      <c r="T140" s="380">
        <v>55</v>
      </c>
      <c r="U140" s="364" t="s">
        <v>2298</v>
      </c>
      <c r="AH140" s="154" t="s">
        <v>2037</v>
      </c>
      <c r="AI140" s="154" t="s">
        <v>2037</v>
      </c>
      <c r="AJ140" s="154" t="s">
        <v>2037</v>
      </c>
      <c r="AK140" s="154" t="s">
        <v>2037</v>
      </c>
      <c r="AL140" s="154" t="s">
        <v>2037</v>
      </c>
      <c r="AM140" s="154" t="s">
        <v>2370</v>
      </c>
      <c r="AS140" s="154" t="s">
        <v>2033</v>
      </c>
      <c r="AT140" s="154" t="s">
        <v>2033</v>
      </c>
      <c r="AU140" s="154" t="s">
        <v>2033</v>
      </c>
      <c r="AV140" s="154" t="s">
        <v>2033</v>
      </c>
      <c r="AW140" s="154" t="s">
        <v>2033</v>
      </c>
      <c r="AX140" s="154" t="s">
        <v>2033</v>
      </c>
      <c r="AY140" s="154" t="s">
        <v>2033</v>
      </c>
      <c r="AZ140" s="154" t="s">
        <v>2033</v>
      </c>
      <c r="BA140" s="154" t="s">
        <v>2033</v>
      </c>
      <c r="BB140" s="154" t="s">
        <v>2033</v>
      </c>
      <c r="BC140" s="154" t="s">
        <v>2033</v>
      </c>
      <c r="BD140" s="154" t="s">
        <v>2033</v>
      </c>
      <c r="BE140" s="154" t="s">
        <v>2033</v>
      </c>
      <c r="BF140" s="154" t="s">
        <v>2033</v>
      </c>
      <c r="BG140" s="154" t="s">
        <v>2033</v>
      </c>
      <c r="BH140" s="154" t="s">
        <v>2033</v>
      </c>
      <c r="BI140" s="154" t="s">
        <v>2034</v>
      </c>
      <c r="BJ140" s="154" t="s">
        <v>2034</v>
      </c>
      <c r="BK140" s="154" t="s">
        <v>2034</v>
      </c>
      <c r="BL140" s="154" t="s">
        <v>2034</v>
      </c>
      <c r="BM140" s="154" t="s">
        <v>2034</v>
      </c>
      <c r="BN140" s="154" t="s">
        <v>2034</v>
      </c>
      <c r="BO140" s="154" t="s">
        <v>2034</v>
      </c>
      <c r="BP140" s="154" t="s">
        <v>2034</v>
      </c>
      <c r="BQ140" s="154" t="s">
        <v>2034</v>
      </c>
      <c r="BR140" s="154" t="s">
        <v>2034</v>
      </c>
      <c r="BS140" s="154" t="s">
        <v>2034</v>
      </c>
      <c r="BY140" s="154" t="s">
        <v>2372</v>
      </c>
      <c r="BZ140" s="154" t="s">
        <v>2372</v>
      </c>
      <c r="CA140" s="154" t="s">
        <v>2372</v>
      </c>
      <c r="CB140" s="154" t="s">
        <v>2036</v>
      </c>
      <c r="CC140" s="154" t="s">
        <v>2036</v>
      </c>
      <c r="CD140" s="154" t="s">
        <v>2036</v>
      </c>
      <c r="CE140" s="154" t="s">
        <v>2036</v>
      </c>
      <c r="CF140" s="154" t="s">
        <v>2036</v>
      </c>
      <c r="CG140" s="154" t="s">
        <v>2036</v>
      </c>
      <c r="CH140" s="154" t="s">
        <v>2036</v>
      </c>
      <c r="CI140" s="154" t="s">
        <v>2359</v>
      </c>
      <c r="CJ140" s="154" t="s">
        <v>2359</v>
      </c>
      <c r="CK140" s="154" t="s">
        <v>2359</v>
      </c>
      <c r="CL140" s="154" t="s">
        <v>2359</v>
      </c>
      <c r="CM140" s="154" t="s">
        <v>2359</v>
      </c>
      <c r="CN140" s="154" t="s">
        <v>2359</v>
      </c>
    </row>
    <row r="141" spans="1:92" x14ac:dyDescent="0.25">
      <c r="A141" s="373">
        <v>6</v>
      </c>
      <c r="B141" s="373">
        <v>15</v>
      </c>
      <c r="C141" s="373">
        <v>16</v>
      </c>
      <c r="D141" s="373" t="s">
        <v>2774</v>
      </c>
      <c r="E141" s="373" t="s">
        <v>2435</v>
      </c>
      <c r="F141" s="373" t="s">
        <v>2435</v>
      </c>
      <c r="G141" s="373" t="s">
        <v>2397</v>
      </c>
      <c r="H141" s="373" t="s">
        <v>2435</v>
      </c>
      <c r="I141" s="373">
        <v>0</v>
      </c>
      <c r="J141" s="373">
        <v>3</v>
      </c>
      <c r="K141" s="373">
        <v>0</v>
      </c>
      <c r="L141" s="373">
        <v>7</v>
      </c>
      <c r="M141" s="366">
        <v>106</v>
      </c>
      <c r="N141" s="367" t="s">
        <v>1073</v>
      </c>
      <c r="O141" s="374" t="s">
        <v>2777</v>
      </c>
      <c r="P141" s="374" t="s">
        <v>1497</v>
      </c>
      <c r="Q141" s="375" t="s">
        <v>1074</v>
      </c>
      <c r="R141" s="376">
        <v>168464</v>
      </c>
      <c r="S141" s="381" t="s">
        <v>578</v>
      </c>
      <c r="T141" s="382">
        <v>43</v>
      </c>
      <c r="U141" s="379" t="s">
        <v>1075</v>
      </c>
      <c r="AH141" s="154" t="s">
        <v>2037</v>
      </c>
      <c r="AI141" s="154" t="s">
        <v>2037</v>
      </c>
      <c r="AJ141" s="154" t="s">
        <v>2037</v>
      </c>
      <c r="AK141" s="154" t="s">
        <v>2037</v>
      </c>
      <c r="AL141" s="154" t="s">
        <v>2037</v>
      </c>
      <c r="AM141" s="154" t="s">
        <v>2370</v>
      </c>
      <c r="AN141" s="154" t="s">
        <v>2370</v>
      </c>
      <c r="AS141" s="154" t="s">
        <v>2033</v>
      </c>
      <c r="AT141" s="154" t="s">
        <v>2033</v>
      </c>
      <c r="AU141" s="154" t="s">
        <v>2033</v>
      </c>
      <c r="AV141" s="154" t="s">
        <v>2033</v>
      </c>
      <c r="AW141" s="154" t="s">
        <v>2033</v>
      </c>
      <c r="AX141" s="154" t="s">
        <v>2033</v>
      </c>
      <c r="AY141" s="154" t="s">
        <v>2033</v>
      </c>
      <c r="AZ141" s="154" t="s">
        <v>2033</v>
      </c>
      <c r="BA141" s="154" t="s">
        <v>2033</v>
      </c>
      <c r="BB141" s="154" t="s">
        <v>2033</v>
      </c>
      <c r="BC141" s="154" t="s">
        <v>2033</v>
      </c>
      <c r="BD141" s="154" t="s">
        <v>2033</v>
      </c>
      <c r="BE141" s="154" t="s">
        <v>2033</v>
      </c>
      <c r="BF141" s="154" t="s">
        <v>2033</v>
      </c>
      <c r="BG141" s="154" t="s">
        <v>2033</v>
      </c>
      <c r="BH141" s="154" t="s">
        <v>2033</v>
      </c>
      <c r="BI141" s="154" t="s">
        <v>2034</v>
      </c>
      <c r="BJ141" s="154" t="s">
        <v>2034</v>
      </c>
      <c r="BK141" s="154" t="s">
        <v>2034</v>
      </c>
      <c r="BL141" s="154" t="s">
        <v>2034</v>
      </c>
      <c r="BM141" s="154" t="s">
        <v>2034</v>
      </c>
      <c r="BN141" s="154" t="s">
        <v>2034</v>
      </c>
      <c r="BO141" s="154" t="s">
        <v>2034</v>
      </c>
      <c r="BP141" s="154" t="s">
        <v>2034</v>
      </c>
      <c r="BQ141" s="154" t="s">
        <v>2034</v>
      </c>
      <c r="BR141" s="154" t="s">
        <v>2034</v>
      </c>
      <c r="BS141" s="154" t="s">
        <v>2034</v>
      </c>
      <c r="BT141" s="154" t="s">
        <v>2034</v>
      </c>
      <c r="BU141" s="154" t="s">
        <v>2034</v>
      </c>
      <c r="BV141" s="154" t="s">
        <v>2034</v>
      </c>
      <c r="BW141" s="154" t="s">
        <v>2034</v>
      </c>
      <c r="BY141" s="154" t="s">
        <v>2372</v>
      </c>
      <c r="BZ141" s="154" t="s">
        <v>2372</v>
      </c>
      <c r="CA141" s="154" t="s">
        <v>2372</v>
      </c>
      <c r="CB141" s="154" t="s">
        <v>2036</v>
      </c>
      <c r="CC141" s="154" t="s">
        <v>2036</v>
      </c>
      <c r="CD141" s="154" t="s">
        <v>2036</v>
      </c>
      <c r="CE141" s="154" t="s">
        <v>2036</v>
      </c>
      <c r="CF141" s="154" t="s">
        <v>2036</v>
      </c>
      <c r="CG141" s="154" t="s">
        <v>2036</v>
      </c>
      <c r="CH141" s="154" t="s">
        <v>2036</v>
      </c>
      <c r="CI141" s="154" t="s">
        <v>2359</v>
      </c>
      <c r="CJ141" s="154" t="s">
        <v>2359</v>
      </c>
      <c r="CK141" s="154" t="s">
        <v>2359</v>
      </c>
      <c r="CL141" s="154" t="s">
        <v>2359</v>
      </c>
      <c r="CM141" s="154" t="s">
        <v>2359</v>
      </c>
      <c r="CN141" s="154" t="s">
        <v>2359</v>
      </c>
    </row>
    <row r="142" spans="1:92" x14ac:dyDescent="0.25">
      <c r="A142" s="373">
        <v>6</v>
      </c>
      <c r="B142" s="373">
        <v>15</v>
      </c>
      <c r="C142" s="373">
        <v>16</v>
      </c>
      <c r="D142" s="373" t="s">
        <v>2774</v>
      </c>
      <c r="E142" s="373" t="s">
        <v>2435</v>
      </c>
      <c r="F142" s="373" t="s">
        <v>2435</v>
      </c>
      <c r="G142" s="373" t="s">
        <v>2398</v>
      </c>
      <c r="H142" s="373" t="s">
        <v>2435</v>
      </c>
      <c r="I142" s="373">
        <v>0</v>
      </c>
      <c r="J142" s="373">
        <v>3</v>
      </c>
      <c r="K142" s="373">
        <v>0</v>
      </c>
      <c r="L142" s="373">
        <v>7</v>
      </c>
      <c r="M142" s="366">
        <v>126</v>
      </c>
      <c r="N142" s="367" t="s">
        <v>1076</v>
      </c>
      <c r="O142" s="374" t="s">
        <v>2777</v>
      </c>
      <c r="P142" s="374" t="s">
        <v>1497</v>
      </c>
      <c r="Q142" s="375" t="s">
        <v>1077</v>
      </c>
      <c r="R142" s="376">
        <v>165541</v>
      </c>
      <c r="S142" s="381" t="s">
        <v>578</v>
      </c>
      <c r="T142" s="382">
        <v>43</v>
      </c>
      <c r="U142" s="379" t="s">
        <v>1078</v>
      </c>
      <c r="AH142" s="154" t="s">
        <v>2037</v>
      </c>
      <c r="AI142" s="154" t="s">
        <v>2037</v>
      </c>
      <c r="AJ142" s="154" t="s">
        <v>2037</v>
      </c>
      <c r="AK142" s="154" t="s">
        <v>2037</v>
      </c>
      <c r="AL142" s="154" t="s">
        <v>2037</v>
      </c>
      <c r="AM142" s="154" t="s">
        <v>2370</v>
      </c>
      <c r="AN142" s="154" t="s">
        <v>2370</v>
      </c>
      <c r="AS142" s="154" t="s">
        <v>2033</v>
      </c>
      <c r="AT142" s="154" t="s">
        <v>2033</v>
      </c>
      <c r="AU142" s="154" t="s">
        <v>2033</v>
      </c>
      <c r="AV142" s="154" t="s">
        <v>2033</v>
      </c>
      <c r="AW142" s="154" t="s">
        <v>2033</v>
      </c>
      <c r="AX142" s="154" t="s">
        <v>2033</v>
      </c>
      <c r="AY142" s="154" t="s">
        <v>2033</v>
      </c>
      <c r="AZ142" s="154" t="s">
        <v>2033</v>
      </c>
      <c r="BA142" s="154" t="s">
        <v>2033</v>
      </c>
      <c r="BB142" s="154" t="s">
        <v>2033</v>
      </c>
      <c r="BC142" s="154" t="s">
        <v>2033</v>
      </c>
      <c r="BD142" s="154" t="s">
        <v>2033</v>
      </c>
      <c r="BE142" s="154" t="s">
        <v>2033</v>
      </c>
      <c r="BF142" s="154" t="s">
        <v>2033</v>
      </c>
      <c r="BG142" s="154" t="s">
        <v>2033</v>
      </c>
      <c r="BH142" s="154" t="s">
        <v>2033</v>
      </c>
      <c r="BI142" s="154" t="s">
        <v>2034</v>
      </c>
      <c r="BJ142" s="154" t="s">
        <v>2034</v>
      </c>
      <c r="BK142" s="154" t="s">
        <v>2034</v>
      </c>
      <c r="BL142" s="154" t="s">
        <v>2034</v>
      </c>
      <c r="BM142" s="154" t="s">
        <v>2034</v>
      </c>
      <c r="BN142" s="154" t="s">
        <v>2034</v>
      </c>
      <c r="BO142" s="154" t="s">
        <v>2034</v>
      </c>
      <c r="BP142" s="154" t="s">
        <v>2034</v>
      </c>
      <c r="BQ142" s="154" t="s">
        <v>2034</v>
      </c>
      <c r="BR142" s="154" t="s">
        <v>2034</v>
      </c>
      <c r="BS142" s="154" t="s">
        <v>2034</v>
      </c>
      <c r="BT142" s="154" t="s">
        <v>2034</v>
      </c>
      <c r="BU142" s="154" t="s">
        <v>2034</v>
      </c>
      <c r="BV142" s="154" t="s">
        <v>2034</v>
      </c>
      <c r="BW142" s="154" t="s">
        <v>2034</v>
      </c>
      <c r="BY142" s="154" t="s">
        <v>2372</v>
      </c>
      <c r="BZ142" s="154" t="s">
        <v>2372</v>
      </c>
      <c r="CA142" s="154" t="s">
        <v>2372</v>
      </c>
      <c r="CB142" s="154" t="s">
        <v>2036</v>
      </c>
      <c r="CC142" s="154" t="s">
        <v>2036</v>
      </c>
      <c r="CD142" s="154" t="s">
        <v>2036</v>
      </c>
      <c r="CE142" s="154" t="s">
        <v>2036</v>
      </c>
      <c r="CF142" s="154" t="s">
        <v>2036</v>
      </c>
      <c r="CG142" s="154" t="s">
        <v>2036</v>
      </c>
      <c r="CH142" s="154" t="s">
        <v>2036</v>
      </c>
      <c r="CI142" s="154" t="s">
        <v>2359</v>
      </c>
      <c r="CJ142" s="154" t="s">
        <v>2359</v>
      </c>
      <c r="CK142" s="154" t="s">
        <v>2359</v>
      </c>
      <c r="CL142" s="154" t="s">
        <v>2359</v>
      </c>
      <c r="CM142" s="154" t="s">
        <v>2359</v>
      </c>
      <c r="CN142" s="154" t="s">
        <v>2359</v>
      </c>
    </row>
    <row r="143" spans="1:92" x14ac:dyDescent="0.25">
      <c r="A143" s="373">
        <v>6</v>
      </c>
      <c r="B143" s="373">
        <v>15</v>
      </c>
      <c r="C143" s="373">
        <v>16</v>
      </c>
      <c r="D143" s="373" t="s">
        <v>2774</v>
      </c>
      <c r="E143" s="373" t="s">
        <v>2435</v>
      </c>
      <c r="F143" s="373" t="s">
        <v>2435</v>
      </c>
      <c r="G143" s="373" t="s">
        <v>2409</v>
      </c>
      <c r="H143" s="373" t="s">
        <v>2435</v>
      </c>
      <c r="I143" s="373">
        <v>0</v>
      </c>
      <c r="J143" s="373">
        <v>3</v>
      </c>
      <c r="K143" s="373">
        <v>0</v>
      </c>
      <c r="L143" s="373">
        <v>7</v>
      </c>
      <c r="M143" s="366">
        <v>151</v>
      </c>
      <c r="N143" s="367" t="s">
        <v>1079</v>
      </c>
      <c r="O143" s="374" t="s">
        <v>2777</v>
      </c>
      <c r="P143" s="374" t="s">
        <v>1497</v>
      </c>
      <c r="Q143" s="375" t="s">
        <v>1080</v>
      </c>
      <c r="R143" s="376">
        <v>173303</v>
      </c>
      <c r="S143" s="381" t="s">
        <v>578</v>
      </c>
      <c r="T143" s="382">
        <v>43</v>
      </c>
      <c r="U143" s="379" t="s">
        <v>1081</v>
      </c>
      <c r="AH143" s="154" t="s">
        <v>2037</v>
      </c>
      <c r="AI143" s="154" t="s">
        <v>2037</v>
      </c>
      <c r="AJ143" s="154" t="s">
        <v>2037</v>
      </c>
      <c r="AK143" s="154" t="s">
        <v>2037</v>
      </c>
      <c r="AL143" s="154" t="s">
        <v>2037</v>
      </c>
      <c r="AM143" s="154" t="s">
        <v>2370</v>
      </c>
      <c r="AN143" s="154" t="s">
        <v>2370</v>
      </c>
      <c r="AS143" s="154" t="s">
        <v>2033</v>
      </c>
      <c r="AT143" s="154" t="s">
        <v>2033</v>
      </c>
      <c r="AU143" s="154" t="s">
        <v>2033</v>
      </c>
      <c r="AV143" s="154" t="s">
        <v>2033</v>
      </c>
      <c r="AW143" s="154" t="s">
        <v>2033</v>
      </c>
      <c r="AX143" s="154" t="s">
        <v>2033</v>
      </c>
      <c r="AY143" s="154" t="s">
        <v>2033</v>
      </c>
      <c r="AZ143" s="154" t="s">
        <v>2033</v>
      </c>
      <c r="BA143" s="154" t="s">
        <v>2033</v>
      </c>
      <c r="BB143" s="154" t="s">
        <v>2033</v>
      </c>
      <c r="BC143" s="154" t="s">
        <v>2033</v>
      </c>
      <c r="BD143" s="154" t="s">
        <v>2033</v>
      </c>
      <c r="BE143" s="154" t="s">
        <v>2033</v>
      </c>
      <c r="BF143" s="154" t="s">
        <v>2033</v>
      </c>
      <c r="BG143" s="154" t="s">
        <v>2033</v>
      </c>
      <c r="BH143" s="154" t="s">
        <v>2033</v>
      </c>
      <c r="BI143" s="154" t="s">
        <v>2034</v>
      </c>
      <c r="BJ143" s="154" t="s">
        <v>2034</v>
      </c>
      <c r="BK143" s="154" t="s">
        <v>2034</v>
      </c>
      <c r="BL143" s="154" t="s">
        <v>2034</v>
      </c>
      <c r="BM143" s="154" t="s">
        <v>2034</v>
      </c>
      <c r="BN143" s="154" t="s">
        <v>2034</v>
      </c>
      <c r="BO143" s="154" t="s">
        <v>2034</v>
      </c>
      <c r="BP143" s="154" t="s">
        <v>2034</v>
      </c>
      <c r="BQ143" s="154" t="s">
        <v>2034</v>
      </c>
      <c r="BR143" s="154" t="s">
        <v>2034</v>
      </c>
      <c r="BS143" s="154" t="s">
        <v>2034</v>
      </c>
      <c r="BT143" s="154" t="s">
        <v>2034</v>
      </c>
      <c r="BU143" s="154" t="s">
        <v>2034</v>
      </c>
      <c r="BV143" s="154" t="s">
        <v>2034</v>
      </c>
      <c r="BW143" s="154" t="s">
        <v>2034</v>
      </c>
      <c r="BY143" s="154" t="s">
        <v>2372</v>
      </c>
      <c r="BZ143" s="154" t="s">
        <v>2372</v>
      </c>
      <c r="CA143" s="154" t="s">
        <v>2372</v>
      </c>
      <c r="CB143" s="154" t="s">
        <v>2036</v>
      </c>
      <c r="CC143" s="154" t="s">
        <v>2036</v>
      </c>
      <c r="CD143" s="154" t="s">
        <v>2036</v>
      </c>
      <c r="CE143" s="154" t="s">
        <v>2036</v>
      </c>
      <c r="CF143" s="154" t="s">
        <v>2036</v>
      </c>
      <c r="CG143" s="154" t="s">
        <v>2036</v>
      </c>
      <c r="CH143" s="154" t="s">
        <v>2036</v>
      </c>
      <c r="CI143" s="154" t="s">
        <v>2359</v>
      </c>
      <c r="CJ143" s="154" t="s">
        <v>2359</v>
      </c>
      <c r="CK143" s="154" t="s">
        <v>2359</v>
      </c>
      <c r="CL143" s="154" t="s">
        <v>2359</v>
      </c>
      <c r="CM143" s="154" t="s">
        <v>2359</v>
      </c>
      <c r="CN143" s="154" t="s">
        <v>2359</v>
      </c>
    </row>
    <row r="144" spans="1:92" x14ac:dyDescent="0.25">
      <c r="A144" s="373">
        <v>6</v>
      </c>
      <c r="B144" s="373">
        <v>15</v>
      </c>
      <c r="C144" s="373">
        <v>16</v>
      </c>
      <c r="D144" s="373" t="s">
        <v>2774</v>
      </c>
      <c r="E144" s="373" t="s">
        <v>2435</v>
      </c>
      <c r="F144" s="373" t="s">
        <v>2435</v>
      </c>
      <c r="G144" s="373" t="s">
        <v>2410</v>
      </c>
      <c r="H144" s="373" t="s">
        <v>2435</v>
      </c>
      <c r="I144" s="373">
        <v>0</v>
      </c>
      <c r="J144" s="373">
        <v>3</v>
      </c>
      <c r="K144" s="373">
        <v>0</v>
      </c>
      <c r="L144" s="373">
        <v>7</v>
      </c>
      <c r="M144" s="366">
        <v>186</v>
      </c>
      <c r="N144" s="367" t="s">
        <v>1082</v>
      </c>
      <c r="O144" s="374" t="s">
        <v>2777</v>
      </c>
      <c r="P144" s="374" t="s">
        <v>1497</v>
      </c>
      <c r="Q144" s="375" t="s">
        <v>1083</v>
      </c>
      <c r="R144" s="376">
        <v>192608</v>
      </c>
      <c r="S144" s="381" t="s">
        <v>1002</v>
      </c>
      <c r="T144" s="382">
        <v>53</v>
      </c>
      <c r="U144" s="379" t="s">
        <v>1084</v>
      </c>
      <c r="AH144" s="154" t="s">
        <v>2037</v>
      </c>
      <c r="AI144" s="154" t="s">
        <v>2037</v>
      </c>
      <c r="AJ144" s="154" t="s">
        <v>2037</v>
      </c>
      <c r="AK144" s="154" t="s">
        <v>2037</v>
      </c>
      <c r="AL144" s="154" t="s">
        <v>2037</v>
      </c>
      <c r="AM144" s="154" t="s">
        <v>2370</v>
      </c>
      <c r="AN144" s="154" t="s">
        <v>2370</v>
      </c>
      <c r="AS144" s="154" t="s">
        <v>2033</v>
      </c>
      <c r="AT144" s="154" t="s">
        <v>2033</v>
      </c>
      <c r="AU144" s="154" t="s">
        <v>2033</v>
      </c>
      <c r="AV144" s="154" t="s">
        <v>2033</v>
      </c>
      <c r="AW144" s="154" t="s">
        <v>2033</v>
      </c>
      <c r="AX144" s="154" t="s">
        <v>2033</v>
      </c>
      <c r="AY144" s="154" t="s">
        <v>2033</v>
      </c>
      <c r="AZ144" s="154" t="s">
        <v>2033</v>
      </c>
      <c r="BA144" s="154" t="s">
        <v>2033</v>
      </c>
      <c r="BB144" s="154" t="s">
        <v>2033</v>
      </c>
      <c r="BC144" s="154" t="s">
        <v>2033</v>
      </c>
      <c r="BD144" s="154" t="s">
        <v>2033</v>
      </c>
      <c r="BE144" s="154" t="s">
        <v>2033</v>
      </c>
      <c r="BF144" s="154" t="s">
        <v>2033</v>
      </c>
      <c r="BG144" s="154" t="s">
        <v>2033</v>
      </c>
      <c r="BH144" s="154" t="s">
        <v>2033</v>
      </c>
      <c r="BI144" s="154" t="s">
        <v>2034</v>
      </c>
      <c r="BJ144" s="154" t="s">
        <v>2034</v>
      </c>
      <c r="BK144" s="154" t="s">
        <v>2034</v>
      </c>
      <c r="BL144" s="154" t="s">
        <v>2034</v>
      </c>
      <c r="BM144" s="154" t="s">
        <v>2034</v>
      </c>
      <c r="BN144" s="154" t="s">
        <v>2034</v>
      </c>
      <c r="BO144" s="154" t="s">
        <v>2034</v>
      </c>
      <c r="BP144" s="154" t="s">
        <v>2034</v>
      </c>
      <c r="BQ144" s="154" t="s">
        <v>2034</v>
      </c>
      <c r="BR144" s="154" t="s">
        <v>2034</v>
      </c>
      <c r="BS144" s="154" t="s">
        <v>2034</v>
      </c>
      <c r="BT144" s="154" t="s">
        <v>2034</v>
      </c>
      <c r="BU144" s="154" t="s">
        <v>2034</v>
      </c>
      <c r="BV144" s="154" t="s">
        <v>2034</v>
      </c>
      <c r="BW144" s="154" t="s">
        <v>2034</v>
      </c>
      <c r="BY144" s="154" t="s">
        <v>2372</v>
      </c>
      <c r="BZ144" s="154" t="s">
        <v>2372</v>
      </c>
      <c r="CA144" s="154" t="s">
        <v>2372</v>
      </c>
      <c r="CB144" s="154" t="s">
        <v>2036</v>
      </c>
      <c r="CC144" s="154" t="s">
        <v>2036</v>
      </c>
      <c r="CD144" s="154" t="s">
        <v>2036</v>
      </c>
      <c r="CE144" s="154" t="s">
        <v>2036</v>
      </c>
      <c r="CF144" s="154" t="s">
        <v>2036</v>
      </c>
      <c r="CG144" s="154" t="s">
        <v>2036</v>
      </c>
      <c r="CH144" s="154" t="s">
        <v>2036</v>
      </c>
      <c r="CI144" s="154" t="s">
        <v>2359</v>
      </c>
      <c r="CJ144" s="154" t="s">
        <v>2359</v>
      </c>
      <c r="CK144" s="154" t="s">
        <v>2359</v>
      </c>
      <c r="CL144" s="154" t="s">
        <v>2359</v>
      </c>
      <c r="CM144" s="154" t="s">
        <v>2359</v>
      </c>
      <c r="CN144" s="154" t="s">
        <v>2359</v>
      </c>
    </row>
    <row r="145" spans="1:92" x14ac:dyDescent="0.25">
      <c r="A145" s="373">
        <v>6</v>
      </c>
      <c r="B145" s="373">
        <v>15</v>
      </c>
      <c r="C145" s="373">
        <v>16</v>
      </c>
      <c r="D145" s="373" t="s">
        <v>2774</v>
      </c>
      <c r="E145" s="373" t="s">
        <v>2435</v>
      </c>
      <c r="F145" s="373" t="s">
        <v>2435</v>
      </c>
      <c r="G145" s="373" t="s">
        <v>2411</v>
      </c>
      <c r="H145" s="373" t="s">
        <v>2435</v>
      </c>
      <c r="I145" s="373">
        <v>0</v>
      </c>
      <c r="J145" s="373">
        <v>3</v>
      </c>
      <c r="K145" s="373">
        <v>0</v>
      </c>
      <c r="L145" s="373">
        <v>7</v>
      </c>
      <c r="M145" s="366">
        <v>226</v>
      </c>
      <c r="N145" s="367" t="s">
        <v>1085</v>
      </c>
      <c r="O145" s="374" t="s">
        <v>2777</v>
      </c>
      <c r="P145" s="374" t="s">
        <v>1497</v>
      </c>
      <c r="Q145" s="375" t="s">
        <v>1086</v>
      </c>
      <c r="R145" s="376">
        <v>202039</v>
      </c>
      <c r="S145" s="381" t="s">
        <v>1002</v>
      </c>
      <c r="T145" s="382">
        <v>53</v>
      </c>
      <c r="U145" s="379" t="s">
        <v>1087</v>
      </c>
      <c r="AH145" s="154" t="s">
        <v>2037</v>
      </c>
      <c r="AI145" s="154" t="s">
        <v>2037</v>
      </c>
      <c r="AJ145" s="154" t="s">
        <v>2037</v>
      </c>
      <c r="AK145" s="154" t="s">
        <v>2037</v>
      </c>
      <c r="AL145" s="154" t="s">
        <v>2037</v>
      </c>
      <c r="AM145" s="154" t="s">
        <v>2370</v>
      </c>
      <c r="AN145" s="154" t="s">
        <v>2370</v>
      </c>
      <c r="AS145" s="154" t="s">
        <v>2033</v>
      </c>
      <c r="AT145" s="154" t="s">
        <v>2033</v>
      </c>
      <c r="AU145" s="154" t="s">
        <v>2033</v>
      </c>
      <c r="AV145" s="154" t="s">
        <v>2033</v>
      </c>
      <c r="AW145" s="154" t="s">
        <v>2033</v>
      </c>
      <c r="AX145" s="154" t="s">
        <v>2033</v>
      </c>
      <c r="AY145" s="154" t="s">
        <v>2033</v>
      </c>
      <c r="AZ145" s="154" t="s">
        <v>2033</v>
      </c>
      <c r="BA145" s="154" t="s">
        <v>2033</v>
      </c>
      <c r="BB145" s="154" t="s">
        <v>2033</v>
      </c>
      <c r="BC145" s="154" t="s">
        <v>2033</v>
      </c>
      <c r="BD145" s="154" t="s">
        <v>2033</v>
      </c>
      <c r="BE145" s="154" t="s">
        <v>2033</v>
      </c>
      <c r="BF145" s="154" t="s">
        <v>2033</v>
      </c>
      <c r="BG145" s="154" t="s">
        <v>2033</v>
      </c>
      <c r="BH145" s="154" t="s">
        <v>2033</v>
      </c>
      <c r="BI145" s="154" t="s">
        <v>2034</v>
      </c>
      <c r="BJ145" s="154" t="s">
        <v>2034</v>
      </c>
      <c r="BK145" s="154" t="s">
        <v>2034</v>
      </c>
      <c r="BL145" s="154" t="s">
        <v>2034</v>
      </c>
      <c r="BM145" s="154" t="s">
        <v>2034</v>
      </c>
      <c r="BN145" s="154" t="s">
        <v>2034</v>
      </c>
      <c r="BO145" s="154" t="s">
        <v>2034</v>
      </c>
      <c r="BP145" s="154" t="s">
        <v>2034</v>
      </c>
      <c r="BQ145" s="154" t="s">
        <v>2034</v>
      </c>
      <c r="BR145" s="154" t="s">
        <v>2034</v>
      </c>
      <c r="BS145" s="154" t="s">
        <v>2034</v>
      </c>
      <c r="BT145" s="154" t="s">
        <v>2034</v>
      </c>
      <c r="BU145" s="154" t="s">
        <v>2034</v>
      </c>
      <c r="BV145" s="154" t="s">
        <v>2034</v>
      </c>
      <c r="BW145" s="154" t="s">
        <v>2034</v>
      </c>
      <c r="BY145" s="154" t="s">
        <v>2372</v>
      </c>
      <c r="BZ145" s="154" t="s">
        <v>2372</v>
      </c>
      <c r="CA145" s="154" t="s">
        <v>2372</v>
      </c>
      <c r="CB145" s="154" t="s">
        <v>2036</v>
      </c>
      <c r="CC145" s="154" t="s">
        <v>2036</v>
      </c>
      <c r="CD145" s="154" t="s">
        <v>2036</v>
      </c>
      <c r="CE145" s="154" t="s">
        <v>2036</v>
      </c>
      <c r="CF145" s="154" t="s">
        <v>2036</v>
      </c>
      <c r="CG145" s="154" t="s">
        <v>2036</v>
      </c>
      <c r="CH145" s="154" t="s">
        <v>2036</v>
      </c>
      <c r="CI145" s="154" t="s">
        <v>2359</v>
      </c>
      <c r="CJ145" s="154" t="s">
        <v>2359</v>
      </c>
      <c r="CK145" s="154" t="s">
        <v>2359</v>
      </c>
      <c r="CL145" s="154" t="s">
        <v>2359</v>
      </c>
      <c r="CM145" s="154" t="s">
        <v>2359</v>
      </c>
      <c r="CN145" s="154" t="s">
        <v>2359</v>
      </c>
    </row>
    <row r="146" spans="1:92" x14ac:dyDescent="0.25">
      <c r="A146" s="373">
        <v>6</v>
      </c>
      <c r="B146" s="373">
        <v>15</v>
      </c>
      <c r="C146" s="373">
        <v>16</v>
      </c>
      <c r="D146" s="373" t="s">
        <v>2774</v>
      </c>
      <c r="E146" s="373" t="s">
        <v>2435</v>
      </c>
      <c r="F146" s="373" t="s">
        <v>2435</v>
      </c>
      <c r="G146" s="373" t="s">
        <v>2412</v>
      </c>
      <c r="H146" s="373" t="s">
        <v>2435</v>
      </c>
      <c r="I146" s="373">
        <v>0</v>
      </c>
      <c r="J146" s="373">
        <v>3</v>
      </c>
      <c r="K146" s="373">
        <v>0</v>
      </c>
      <c r="L146" s="373">
        <v>7</v>
      </c>
      <c r="M146" s="366">
        <v>276</v>
      </c>
      <c r="N146" s="367" t="s">
        <v>1088</v>
      </c>
      <c r="O146" s="374" t="s">
        <v>2777</v>
      </c>
      <c r="P146" s="374" t="s">
        <v>1497</v>
      </c>
      <c r="Q146" s="375" t="s">
        <v>1089</v>
      </c>
      <c r="R146" s="376">
        <v>209753</v>
      </c>
      <c r="S146" s="381" t="s">
        <v>1002</v>
      </c>
      <c r="T146" s="382">
        <v>54</v>
      </c>
      <c r="U146" s="379" t="s">
        <v>1090</v>
      </c>
      <c r="AH146" s="154" t="s">
        <v>2037</v>
      </c>
      <c r="AI146" s="154" t="s">
        <v>2037</v>
      </c>
      <c r="AJ146" s="154" t="s">
        <v>2037</v>
      </c>
      <c r="AK146" s="154" t="s">
        <v>2037</v>
      </c>
      <c r="AL146" s="154" t="s">
        <v>2037</v>
      </c>
      <c r="AM146" s="154" t="s">
        <v>2370</v>
      </c>
      <c r="AN146" s="154" t="s">
        <v>2370</v>
      </c>
      <c r="AS146" s="154" t="s">
        <v>2033</v>
      </c>
      <c r="AT146" s="154" t="s">
        <v>2033</v>
      </c>
      <c r="AU146" s="154" t="s">
        <v>2033</v>
      </c>
      <c r="AV146" s="154" t="s">
        <v>2033</v>
      </c>
      <c r="AW146" s="154" t="s">
        <v>2033</v>
      </c>
      <c r="AX146" s="154" t="s">
        <v>2033</v>
      </c>
      <c r="AY146" s="154" t="s">
        <v>2033</v>
      </c>
      <c r="AZ146" s="154" t="s">
        <v>2033</v>
      </c>
      <c r="BA146" s="154" t="s">
        <v>2033</v>
      </c>
      <c r="BB146" s="154" t="s">
        <v>2033</v>
      </c>
      <c r="BC146" s="154" t="s">
        <v>2033</v>
      </c>
      <c r="BD146" s="154" t="s">
        <v>2033</v>
      </c>
      <c r="BE146" s="154" t="s">
        <v>2033</v>
      </c>
      <c r="BF146" s="154" t="s">
        <v>2033</v>
      </c>
      <c r="BG146" s="154" t="s">
        <v>2033</v>
      </c>
      <c r="BH146" s="154" t="s">
        <v>2033</v>
      </c>
      <c r="BI146" s="154" t="s">
        <v>2034</v>
      </c>
      <c r="BJ146" s="154" t="s">
        <v>2034</v>
      </c>
      <c r="BK146" s="154" t="s">
        <v>2034</v>
      </c>
      <c r="BL146" s="154" t="s">
        <v>2034</v>
      </c>
      <c r="BM146" s="154" t="s">
        <v>2034</v>
      </c>
      <c r="BN146" s="154" t="s">
        <v>2034</v>
      </c>
      <c r="BO146" s="154" t="s">
        <v>2034</v>
      </c>
      <c r="BP146" s="154" t="s">
        <v>2034</v>
      </c>
      <c r="BQ146" s="154" t="s">
        <v>2034</v>
      </c>
      <c r="BR146" s="154" t="s">
        <v>2034</v>
      </c>
      <c r="BS146" s="154" t="s">
        <v>2034</v>
      </c>
      <c r="BT146" s="154" t="s">
        <v>2034</v>
      </c>
      <c r="BU146" s="154" t="s">
        <v>2034</v>
      </c>
      <c r="BV146" s="154" t="s">
        <v>2034</v>
      </c>
      <c r="BW146" s="154" t="s">
        <v>2034</v>
      </c>
      <c r="BY146" s="154" t="s">
        <v>2372</v>
      </c>
      <c r="BZ146" s="154" t="s">
        <v>2372</v>
      </c>
      <c r="CA146" s="154" t="s">
        <v>2372</v>
      </c>
      <c r="CB146" s="154" t="s">
        <v>2036</v>
      </c>
      <c r="CC146" s="154" t="s">
        <v>2036</v>
      </c>
      <c r="CD146" s="154" t="s">
        <v>2036</v>
      </c>
      <c r="CE146" s="154" t="s">
        <v>2036</v>
      </c>
      <c r="CF146" s="154" t="s">
        <v>2036</v>
      </c>
      <c r="CG146" s="154" t="s">
        <v>2036</v>
      </c>
      <c r="CH146" s="154" t="s">
        <v>2036</v>
      </c>
      <c r="CI146" s="154" t="s">
        <v>2359</v>
      </c>
      <c r="CJ146" s="154" t="s">
        <v>2359</v>
      </c>
      <c r="CK146" s="154" t="s">
        <v>2359</v>
      </c>
      <c r="CL146" s="154" t="s">
        <v>2359</v>
      </c>
      <c r="CM146" s="154" t="s">
        <v>2359</v>
      </c>
      <c r="CN146" s="154" t="s">
        <v>2359</v>
      </c>
    </row>
    <row r="147" spans="1:92" x14ac:dyDescent="0.25">
      <c r="A147" s="373">
        <v>6</v>
      </c>
      <c r="B147" s="373">
        <v>15</v>
      </c>
      <c r="C147" s="373">
        <v>16</v>
      </c>
      <c r="D147" s="373" t="s">
        <v>2774</v>
      </c>
      <c r="E147" s="373" t="s">
        <v>2435</v>
      </c>
      <c r="F147" s="373" t="s">
        <v>2435</v>
      </c>
      <c r="G147" s="373" t="s">
        <v>2413</v>
      </c>
      <c r="H147" s="373" t="s">
        <v>2435</v>
      </c>
      <c r="I147" s="373">
        <v>0</v>
      </c>
      <c r="J147" s="373">
        <v>3</v>
      </c>
      <c r="K147" s="373">
        <v>0</v>
      </c>
      <c r="L147" s="373">
        <v>7</v>
      </c>
      <c r="M147" s="366">
        <v>341</v>
      </c>
      <c r="N147" s="367" t="s">
        <v>1091</v>
      </c>
      <c r="O147" s="374" t="s">
        <v>2777</v>
      </c>
      <c r="P147" s="374" t="s">
        <v>1497</v>
      </c>
      <c r="Q147" s="375" t="s">
        <v>1092</v>
      </c>
      <c r="R147" s="376">
        <v>215483</v>
      </c>
      <c r="S147" s="381" t="s">
        <v>1002</v>
      </c>
      <c r="T147" s="382">
        <v>55</v>
      </c>
      <c r="U147" s="379" t="s">
        <v>1093</v>
      </c>
      <c r="AH147" s="154" t="s">
        <v>2037</v>
      </c>
      <c r="AI147" s="154" t="s">
        <v>2037</v>
      </c>
      <c r="AJ147" s="154" t="s">
        <v>2037</v>
      </c>
      <c r="AK147" s="154" t="s">
        <v>2037</v>
      </c>
      <c r="AL147" s="154" t="s">
        <v>2037</v>
      </c>
      <c r="AM147" s="154" t="s">
        <v>2370</v>
      </c>
      <c r="AN147" s="154" t="s">
        <v>2370</v>
      </c>
      <c r="AS147" s="154" t="s">
        <v>2033</v>
      </c>
      <c r="AT147" s="154" t="s">
        <v>2033</v>
      </c>
      <c r="AU147" s="154" t="s">
        <v>2033</v>
      </c>
      <c r="AV147" s="154" t="s">
        <v>2033</v>
      </c>
      <c r="AW147" s="154" t="s">
        <v>2033</v>
      </c>
      <c r="AX147" s="154" t="s">
        <v>2033</v>
      </c>
      <c r="AY147" s="154" t="s">
        <v>2033</v>
      </c>
      <c r="AZ147" s="154" t="s">
        <v>2033</v>
      </c>
      <c r="BA147" s="154" t="s">
        <v>2033</v>
      </c>
      <c r="BB147" s="154" t="s">
        <v>2033</v>
      </c>
      <c r="BC147" s="154" t="s">
        <v>2033</v>
      </c>
      <c r="BD147" s="154" t="s">
        <v>2033</v>
      </c>
      <c r="BE147" s="154" t="s">
        <v>2033</v>
      </c>
      <c r="BF147" s="154" t="s">
        <v>2033</v>
      </c>
      <c r="BG147" s="154" t="s">
        <v>2033</v>
      </c>
      <c r="BH147" s="154" t="s">
        <v>2033</v>
      </c>
      <c r="BI147" s="154" t="s">
        <v>2034</v>
      </c>
      <c r="BJ147" s="154" t="s">
        <v>2034</v>
      </c>
      <c r="BK147" s="154" t="s">
        <v>2034</v>
      </c>
      <c r="BL147" s="154" t="s">
        <v>2034</v>
      </c>
      <c r="BM147" s="154" t="s">
        <v>2034</v>
      </c>
      <c r="BN147" s="154" t="s">
        <v>2034</v>
      </c>
      <c r="BO147" s="154" t="s">
        <v>2034</v>
      </c>
      <c r="BP147" s="154" t="s">
        <v>2034</v>
      </c>
      <c r="BQ147" s="154" t="s">
        <v>2034</v>
      </c>
      <c r="BR147" s="154" t="s">
        <v>2034</v>
      </c>
      <c r="BS147" s="154" t="s">
        <v>2034</v>
      </c>
      <c r="BT147" s="154" t="s">
        <v>2034</v>
      </c>
      <c r="BU147" s="154" t="s">
        <v>2034</v>
      </c>
      <c r="BV147" s="154" t="s">
        <v>2034</v>
      </c>
      <c r="BW147" s="154" t="s">
        <v>2034</v>
      </c>
      <c r="BY147" s="154" t="s">
        <v>2372</v>
      </c>
      <c r="BZ147" s="154" t="s">
        <v>2372</v>
      </c>
      <c r="CA147" s="154" t="s">
        <v>2372</v>
      </c>
      <c r="CB147" s="154" t="s">
        <v>2036</v>
      </c>
      <c r="CC147" s="154" t="s">
        <v>2036</v>
      </c>
      <c r="CD147" s="154" t="s">
        <v>2036</v>
      </c>
      <c r="CE147" s="154" t="s">
        <v>2036</v>
      </c>
      <c r="CF147" s="154" t="s">
        <v>2036</v>
      </c>
      <c r="CG147" s="154" t="s">
        <v>2036</v>
      </c>
      <c r="CH147" s="154" t="s">
        <v>2036</v>
      </c>
      <c r="CI147" s="154" t="s">
        <v>2359</v>
      </c>
      <c r="CJ147" s="154" t="s">
        <v>2359</v>
      </c>
      <c r="CK147" s="154" t="s">
        <v>2359</v>
      </c>
      <c r="CL147" s="154" t="s">
        <v>2359</v>
      </c>
      <c r="CM147" s="154" t="s">
        <v>2359</v>
      </c>
      <c r="CN147" s="154" t="s">
        <v>2359</v>
      </c>
    </row>
    <row r="148" spans="1:92" x14ac:dyDescent="0.25">
      <c r="A148" s="373">
        <v>6</v>
      </c>
      <c r="B148" s="373">
        <v>15</v>
      </c>
      <c r="C148" s="373">
        <v>16</v>
      </c>
      <c r="D148" s="373" t="s">
        <v>2775</v>
      </c>
      <c r="E148" s="373" t="s">
        <v>2435</v>
      </c>
      <c r="F148" s="373" t="s">
        <v>2435</v>
      </c>
      <c r="G148" s="373" t="s">
        <v>2397</v>
      </c>
      <c r="H148" s="373" t="s">
        <v>2435</v>
      </c>
      <c r="I148" s="373">
        <v>0</v>
      </c>
      <c r="J148" s="373">
        <v>3</v>
      </c>
      <c r="K148" s="373">
        <v>0</v>
      </c>
      <c r="L148" s="373">
        <v>5</v>
      </c>
      <c r="M148" s="366">
        <v>116</v>
      </c>
      <c r="N148" s="367" t="s">
        <v>1094</v>
      </c>
      <c r="O148" s="374" t="s">
        <v>2777</v>
      </c>
      <c r="P148" s="374" t="s">
        <v>1497</v>
      </c>
      <c r="Q148" s="375" t="s">
        <v>1095</v>
      </c>
      <c r="R148" s="376">
        <v>171356</v>
      </c>
      <c r="S148" s="381" t="s">
        <v>578</v>
      </c>
      <c r="T148" s="382">
        <v>43</v>
      </c>
      <c r="U148" s="379" t="s">
        <v>1096</v>
      </c>
      <c r="AH148" s="154" t="s">
        <v>2037</v>
      </c>
      <c r="AI148" s="154" t="s">
        <v>2037</v>
      </c>
      <c r="AJ148" s="154" t="s">
        <v>2037</v>
      </c>
      <c r="AK148" s="154" t="s">
        <v>2037</v>
      </c>
      <c r="AL148" s="154" t="s">
        <v>2037</v>
      </c>
      <c r="AM148" s="154" t="s">
        <v>2370</v>
      </c>
      <c r="AN148" s="154" t="s">
        <v>2370</v>
      </c>
      <c r="AS148" s="154" t="s">
        <v>2033</v>
      </c>
      <c r="AT148" s="154" t="s">
        <v>2033</v>
      </c>
      <c r="AU148" s="154" t="s">
        <v>2033</v>
      </c>
      <c r="AV148" s="154" t="s">
        <v>2033</v>
      </c>
      <c r="AW148" s="154" t="s">
        <v>2033</v>
      </c>
      <c r="AX148" s="154" t="s">
        <v>2033</v>
      </c>
      <c r="AY148" s="154" t="s">
        <v>2033</v>
      </c>
      <c r="AZ148" s="154" t="s">
        <v>2033</v>
      </c>
      <c r="BA148" s="154" t="s">
        <v>2033</v>
      </c>
      <c r="BB148" s="154" t="s">
        <v>2033</v>
      </c>
      <c r="BC148" s="154" t="s">
        <v>2033</v>
      </c>
      <c r="BD148" s="154" t="s">
        <v>2033</v>
      </c>
      <c r="BE148" s="154" t="s">
        <v>2033</v>
      </c>
      <c r="BF148" s="154" t="s">
        <v>2033</v>
      </c>
      <c r="BG148" s="154" t="s">
        <v>2033</v>
      </c>
      <c r="BH148" s="154" t="s">
        <v>2033</v>
      </c>
      <c r="BI148" s="154" t="s">
        <v>2034</v>
      </c>
      <c r="BJ148" s="154" t="s">
        <v>2034</v>
      </c>
      <c r="BK148" s="154" t="s">
        <v>2034</v>
      </c>
      <c r="BL148" s="154" t="s">
        <v>2034</v>
      </c>
      <c r="BM148" s="154" t="s">
        <v>2034</v>
      </c>
      <c r="BN148" s="154" t="s">
        <v>2034</v>
      </c>
      <c r="BO148" s="154" t="s">
        <v>2034</v>
      </c>
      <c r="BP148" s="154" t="s">
        <v>2034</v>
      </c>
      <c r="BQ148" s="154" t="s">
        <v>2034</v>
      </c>
      <c r="BR148" s="154" t="s">
        <v>2034</v>
      </c>
      <c r="BS148" s="154" t="s">
        <v>2034</v>
      </c>
      <c r="BT148" s="154" t="s">
        <v>2034</v>
      </c>
      <c r="BU148" s="154" t="s">
        <v>2034</v>
      </c>
      <c r="BV148" s="154" t="s">
        <v>2034</v>
      </c>
      <c r="BW148" s="154" t="s">
        <v>2034</v>
      </c>
      <c r="BY148" s="154" t="s">
        <v>2372</v>
      </c>
      <c r="BZ148" s="154" t="s">
        <v>2372</v>
      </c>
      <c r="CA148" s="154" t="s">
        <v>2372</v>
      </c>
      <c r="CB148" s="154" t="s">
        <v>2036</v>
      </c>
      <c r="CC148" s="154" t="s">
        <v>2036</v>
      </c>
      <c r="CD148" s="154" t="s">
        <v>2036</v>
      </c>
      <c r="CE148" s="154" t="s">
        <v>2036</v>
      </c>
      <c r="CF148" s="154" t="s">
        <v>2036</v>
      </c>
      <c r="CG148" s="154" t="s">
        <v>2359</v>
      </c>
      <c r="CH148" s="154" t="s">
        <v>2359</v>
      </c>
      <c r="CI148" s="154" t="s">
        <v>2359</v>
      </c>
      <c r="CJ148" s="154" t="s">
        <v>2359</v>
      </c>
      <c r="CK148" s="154" t="s">
        <v>2359</v>
      </c>
      <c r="CL148" s="154" t="s">
        <v>2359</v>
      </c>
    </row>
    <row r="149" spans="1:92" x14ac:dyDescent="0.25">
      <c r="A149" s="373">
        <v>6</v>
      </c>
      <c r="B149" s="373">
        <v>15</v>
      </c>
      <c r="C149" s="373">
        <v>16</v>
      </c>
      <c r="D149" s="373" t="s">
        <v>2775</v>
      </c>
      <c r="E149" s="373" t="s">
        <v>2435</v>
      </c>
      <c r="F149" s="373" t="s">
        <v>2435</v>
      </c>
      <c r="G149" s="373" t="s">
        <v>2398</v>
      </c>
      <c r="H149" s="373" t="s">
        <v>2435</v>
      </c>
      <c r="I149" s="373">
        <v>0</v>
      </c>
      <c r="J149" s="373">
        <v>3</v>
      </c>
      <c r="K149" s="373">
        <v>0</v>
      </c>
      <c r="L149" s="373">
        <v>5</v>
      </c>
      <c r="M149" s="366">
        <v>136</v>
      </c>
      <c r="N149" s="367" t="s">
        <v>1097</v>
      </c>
      <c r="O149" s="374" t="s">
        <v>2777</v>
      </c>
      <c r="P149" s="374" t="s">
        <v>1497</v>
      </c>
      <c r="Q149" s="375" t="s">
        <v>1098</v>
      </c>
      <c r="R149" s="376">
        <v>168483</v>
      </c>
      <c r="S149" s="381" t="s">
        <v>578</v>
      </c>
      <c r="T149" s="382">
        <v>43</v>
      </c>
      <c r="U149" s="379" t="s">
        <v>1099</v>
      </c>
      <c r="AH149" s="154" t="s">
        <v>2037</v>
      </c>
      <c r="AI149" s="154" t="s">
        <v>2037</v>
      </c>
      <c r="AJ149" s="154" t="s">
        <v>2037</v>
      </c>
      <c r="AK149" s="154" t="s">
        <v>2037</v>
      </c>
      <c r="AL149" s="154" t="s">
        <v>2037</v>
      </c>
      <c r="AM149" s="154" t="s">
        <v>2370</v>
      </c>
      <c r="AN149" s="154" t="s">
        <v>2370</v>
      </c>
      <c r="AS149" s="154" t="s">
        <v>2033</v>
      </c>
      <c r="AT149" s="154" t="s">
        <v>2033</v>
      </c>
      <c r="AU149" s="154" t="s">
        <v>2033</v>
      </c>
      <c r="AV149" s="154" t="s">
        <v>2033</v>
      </c>
      <c r="AW149" s="154" t="s">
        <v>2033</v>
      </c>
      <c r="AX149" s="154" t="s">
        <v>2033</v>
      </c>
      <c r="AY149" s="154" t="s">
        <v>2033</v>
      </c>
      <c r="AZ149" s="154" t="s">
        <v>2033</v>
      </c>
      <c r="BA149" s="154" t="s">
        <v>2033</v>
      </c>
      <c r="BB149" s="154" t="s">
        <v>2033</v>
      </c>
      <c r="BC149" s="154" t="s">
        <v>2033</v>
      </c>
      <c r="BD149" s="154" t="s">
        <v>2033</v>
      </c>
      <c r="BE149" s="154" t="s">
        <v>2033</v>
      </c>
      <c r="BF149" s="154" t="s">
        <v>2033</v>
      </c>
      <c r="BG149" s="154" t="s">
        <v>2033</v>
      </c>
      <c r="BH149" s="154" t="s">
        <v>2033</v>
      </c>
      <c r="BI149" s="154" t="s">
        <v>2034</v>
      </c>
      <c r="BJ149" s="154" t="s">
        <v>2034</v>
      </c>
      <c r="BK149" s="154" t="s">
        <v>2034</v>
      </c>
      <c r="BL149" s="154" t="s">
        <v>2034</v>
      </c>
      <c r="BM149" s="154" t="s">
        <v>2034</v>
      </c>
      <c r="BN149" s="154" t="s">
        <v>2034</v>
      </c>
      <c r="BO149" s="154" t="s">
        <v>2034</v>
      </c>
      <c r="BP149" s="154" t="s">
        <v>2034</v>
      </c>
      <c r="BQ149" s="154" t="s">
        <v>2034</v>
      </c>
      <c r="BR149" s="154" t="s">
        <v>2034</v>
      </c>
      <c r="BS149" s="154" t="s">
        <v>2034</v>
      </c>
      <c r="BT149" s="154" t="s">
        <v>2034</v>
      </c>
      <c r="BU149" s="154" t="s">
        <v>2034</v>
      </c>
      <c r="BV149" s="154" t="s">
        <v>2034</v>
      </c>
      <c r="BW149" s="154" t="s">
        <v>2034</v>
      </c>
      <c r="BY149" s="154" t="s">
        <v>2372</v>
      </c>
      <c r="BZ149" s="154" t="s">
        <v>2372</v>
      </c>
      <c r="CA149" s="154" t="s">
        <v>2372</v>
      </c>
      <c r="CB149" s="154" t="s">
        <v>2036</v>
      </c>
      <c r="CC149" s="154" t="s">
        <v>2036</v>
      </c>
      <c r="CD149" s="154" t="s">
        <v>2036</v>
      </c>
      <c r="CE149" s="154" t="s">
        <v>2036</v>
      </c>
      <c r="CF149" s="154" t="s">
        <v>2036</v>
      </c>
      <c r="CG149" s="154" t="s">
        <v>2359</v>
      </c>
      <c r="CH149" s="154" t="s">
        <v>2359</v>
      </c>
      <c r="CI149" s="154" t="s">
        <v>2359</v>
      </c>
      <c r="CJ149" s="154" t="s">
        <v>2359</v>
      </c>
      <c r="CK149" s="154" t="s">
        <v>2359</v>
      </c>
      <c r="CL149" s="154" t="s">
        <v>2359</v>
      </c>
    </row>
    <row r="150" spans="1:92" x14ac:dyDescent="0.25">
      <c r="A150" s="373">
        <v>6</v>
      </c>
      <c r="B150" s="373">
        <v>15</v>
      </c>
      <c r="C150" s="373">
        <v>16</v>
      </c>
      <c r="D150" s="373" t="s">
        <v>2775</v>
      </c>
      <c r="E150" s="373" t="s">
        <v>2435</v>
      </c>
      <c r="F150" s="373" t="s">
        <v>2435</v>
      </c>
      <c r="G150" s="373" t="s">
        <v>2409</v>
      </c>
      <c r="H150" s="373" t="s">
        <v>2435</v>
      </c>
      <c r="I150" s="373">
        <v>0</v>
      </c>
      <c r="J150" s="373">
        <v>3</v>
      </c>
      <c r="K150" s="373">
        <v>0</v>
      </c>
      <c r="L150" s="373">
        <v>5</v>
      </c>
      <c r="M150" s="366">
        <v>161</v>
      </c>
      <c r="N150" s="367" t="s">
        <v>1100</v>
      </c>
      <c r="O150" s="374" t="s">
        <v>2777</v>
      </c>
      <c r="P150" s="374" t="s">
        <v>1497</v>
      </c>
      <c r="Q150" s="375" t="s">
        <v>1101</v>
      </c>
      <c r="R150" s="376">
        <v>176293</v>
      </c>
      <c r="S150" s="381" t="s">
        <v>578</v>
      </c>
      <c r="T150" s="382">
        <v>43</v>
      </c>
      <c r="U150" s="379" t="s">
        <v>1102</v>
      </c>
      <c r="AH150" s="154" t="s">
        <v>2037</v>
      </c>
      <c r="AI150" s="154" t="s">
        <v>2037</v>
      </c>
      <c r="AJ150" s="154" t="s">
        <v>2037</v>
      </c>
      <c r="AK150" s="154" t="s">
        <v>2037</v>
      </c>
      <c r="AL150" s="154" t="s">
        <v>2037</v>
      </c>
      <c r="AM150" s="154" t="s">
        <v>2370</v>
      </c>
      <c r="AN150" s="154" t="s">
        <v>2370</v>
      </c>
      <c r="AS150" s="154" t="s">
        <v>2033</v>
      </c>
      <c r="AT150" s="154" t="s">
        <v>2033</v>
      </c>
      <c r="AU150" s="154" t="s">
        <v>2033</v>
      </c>
      <c r="AV150" s="154" t="s">
        <v>2033</v>
      </c>
      <c r="AW150" s="154" t="s">
        <v>2033</v>
      </c>
      <c r="AX150" s="154" t="s">
        <v>2033</v>
      </c>
      <c r="AY150" s="154" t="s">
        <v>2033</v>
      </c>
      <c r="AZ150" s="154" t="s">
        <v>2033</v>
      </c>
      <c r="BA150" s="154" t="s">
        <v>2033</v>
      </c>
      <c r="BB150" s="154" t="s">
        <v>2033</v>
      </c>
      <c r="BC150" s="154" t="s">
        <v>2033</v>
      </c>
      <c r="BD150" s="154" t="s">
        <v>2033</v>
      </c>
      <c r="BE150" s="154" t="s">
        <v>2033</v>
      </c>
      <c r="BF150" s="154" t="s">
        <v>2033</v>
      </c>
      <c r="BG150" s="154" t="s">
        <v>2033</v>
      </c>
      <c r="BH150" s="154" t="s">
        <v>2033</v>
      </c>
      <c r="BI150" s="154" t="s">
        <v>2034</v>
      </c>
      <c r="BJ150" s="154" t="s">
        <v>2034</v>
      </c>
      <c r="BK150" s="154" t="s">
        <v>2034</v>
      </c>
      <c r="BL150" s="154" t="s">
        <v>2034</v>
      </c>
      <c r="BM150" s="154" t="s">
        <v>2034</v>
      </c>
      <c r="BN150" s="154" t="s">
        <v>2034</v>
      </c>
      <c r="BO150" s="154" t="s">
        <v>2034</v>
      </c>
      <c r="BP150" s="154" t="s">
        <v>2034</v>
      </c>
      <c r="BQ150" s="154" t="s">
        <v>2034</v>
      </c>
      <c r="BR150" s="154" t="s">
        <v>2034</v>
      </c>
      <c r="BS150" s="154" t="s">
        <v>2034</v>
      </c>
      <c r="BT150" s="154" t="s">
        <v>2034</v>
      </c>
      <c r="BU150" s="154" t="s">
        <v>2034</v>
      </c>
      <c r="BV150" s="154" t="s">
        <v>2034</v>
      </c>
      <c r="BW150" s="154" t="s">
        <v>2034</v>
      </c>
      <c r="BY150" s="154" t="s">
        <v>2372</v>
      </c>
      <c r="BZ150" s="154" t="s">
        <v>2372</v>
      </c>
      <c r="CA150" s="154" t="s">
        <v>2372</v>
      </c>
      <c r="CB150" s="154" t="s">
        <v>2036</v>
      </c>
      <c r="CC150" s="154" t="s">
        <v>2036</v>
      </c>
      <c r="CD150" s="154" t="s">
        <v>2036</v>
      </c>
      <c r="CE150" s="154" t="s">
        <v>2036</v>
      </c>
      <c r="CF150" s="154" t="s">
        <v>2036</v>
      </c>
      <c r="CG150" s="154" t="s">
        <v>2359</v>
      </c>
      <c r="CH150" s="154" t="s">
        <v>2359</v>
      </c>
      <c r="CI150" s="154" t="s">
        <v>2359</v>
      </c>
      <c r="CJ150" s="154" t="s">
        <v>2359</v>
      </c>
      <c r="CK150" s="154" t="s">
        <v>2359</v>
      </c>
      <c r="CL150" s="154" t="s">
        <v>2359</v>
      </c>
    </row>
    <row r="151" spans="1:92" x14ac:dyDescent="0.25">
      <c r="A151" s="373">
        <v>6</v>
      </c>
      <c r="B151" s="373">
        <v>15</v>
      </c>
      <c r="C151" s="373">
        <v>16</v>
      </c>
      <c r="D151" s="373" t="s">
        <v>2775</v>
      </c>
      <c r="E151" s="373" t="s">
        <v>2435</v>
      </c>
      <c r="F151" s="373" t="s">
        <v>2435</v>
      </c>
      <c r="G151" s="373" t="s">
        <v>2410</v>
      </c>
      <c r="H151" s="373" t="s">
        <v>2435</v>
      </c>
      <c r="I151" s="373">
        <v>0</v>
      </c>
      <c r="J151" s="373">
        <v>3</v>
      </c>
      <c r="K151" s="373">
        <v>0</v>
      </c>
      <c r="L151" s="373">
        <v>5</v>
      </c>
      <c r="M151" s="366">
        <v>196</v>
      </c>
      <c r="N151" s="367" t="s">
        <v>1103</v>
      </c>
      <c r="O151" s="374" t="s">
        <v>2777</v>
      </c>
      <c r="P151" s="374" t="s">
        <v>1497</v>
      </c>
      <c r="Q151" s="375" t="s">
        <v>1104</v>
      </c>
      <c r="R151" s="376">
        <v>198685</v>
      </c>
      <c r="S151" s="381" t="s">
        <v>1002</v>
      </c>
      <c r="T151" s="382">
        <v>53</v>
      </c>
      <c r="U151" s="379" t="s">
        <v>1105</v>
      </c>
      <c r="AH151" s="154" t="s">
        <v>2037</v>
      </c>
      <c r="AI151" s="154" t="s">
        <v>2037</v>
      </c>
      <c r="AJ151" s="154" t="s">
        <v>2037</v>
      </c>
      <c r="AK151" s="154" t="s">
        <v>2037</v>
      </c>
      <c r="AL151" s="154" t="s">
        <v>2037</v>
      </c>
      <c r="AM151" s="154" t="s">
        <v>2370</v>
      </c>
      <c r="AN151" s="154" t="s">
        <v>2370</v>
      </c>
      <c r="AS151" s="154" t="s">
        <v>2033</v>
      </c>
      <c r="AT151" s="154" t="s">
        <v>2033</v>
      </c>
      <c r="AU151" s="154" t="s">
        <v>2033</v>
      </c>
      <c r="AV151" s="154" t="s">
        <v>2033</v>
      </c>
      <c r="AW151" s="154" t="s">
        <v>2033</v>
      </c>
      <c r="AX151" s="154" t="s">
        <v>2033</v>
      </c>
      <c r="AY151" s="154" t="s">
        <v>2033</v>
      </c>
      <c r="AZ151" s="154" t="s">
        <v>2033</v>
      </c>
      <c r="BA151" s="154" t="s">
        <v>2033</v>
      </c>
      <c r="BB151" s="154" t="s">
        <v>2033</v>
      </c>
      <c r="BC151" s="154" t="s">
        <v>2033</v>
      </c>
      <c r="BD151" s="154" t="s">
        <v>2033</v>
      </c>
      <c r="BE151" s="154" t="s">
        <v>2033</v>
      </c>
      <c r="BF151" s="154" t="s">
        <v>2033</v>
      </c>
      <c r="BG151" s="154" t="s">
        <v>2033</v>
      </c>
      <c r="BH151" s="154" t="s">
        <v>2033</v>
      </c>
      <c r="BI151" s="154" t="s">
        <v>2034</v>
      </c>
      <c r="BJ151" s="154" t="s">
        <v>2034</v>
      </c>
      <c r="BK151" s="154" t="s">
        <v>2034</v>
      </c>
      <c r="BL151" s="154" t="s">
        <v>2034</v>
      </c>
      <c r="BM151" s="154" t="s">
        <v>2034</v>
      </c>
      <c r="BN151" s="154" t="s">
        <v>2034</v>
      </c>
      <c r="BO151" s="154" t="s">
        <v>2034</v>
      </c>
      <c r="BP151" s="154" t="s">
        <v>2034</v>
      </c>
      <c r="BQ151" s="154" t="s">
        <v>2034</v>
      </c>
      <c r="BR151" s="154" t="s">
        <v>2034</v>
      </c>
      <c r="BS151" s="154" t="s">
        <v>2034</v>
      </c>
      <c r="BT151" s="154" t="s">
        <v>2034</v>
      </c>
      <c r="BU151" s="154" t="s">
        <v>2034</v>
      </c>
      <c r="BV151" s="154" t="s">
        <v>2034</v>
      </c>
      <c r="BW151" s="154" t="s">
        <v>2034</v>
      </c>
      <c r="BY151" s="154" t="s">
        <v>2372</v>
      </c>
      <c r="BZ151" s="154" t="s">
        <v>2372</v>
      </c>
      <c r="CA151" s="154" t="s">
        <v>2372</v>
      </c>
      <c r="CB151" s="154" t="s">
        <v>2036</v>
      </c>
      <c r="CC151" s="154" t="s">
        <v>2036</v>
      </c>
      <c r="CD151" s="154" t="s">
        <v>2036</v>
      </c>
      <c r="CE151" s="154" t="s">
        <v>2036</v>
      </c>
      <c r="CF151" s="154" t="s">
        <v>2036</v>
      </c>
      <c r="CG151" s="154" t="s">
        <v>2359</v>
      </c>
      <c r="CH151" s="154" t="s">
        <v>2359</v>
      </c>
      <c r="CI151" s="154" t="s">
        <v>2359</v>
      </c>
      <c r="CJ151" s="154" t="s">
        <v>2359</v>
      </c>
      <c r="CK151" s="154" t="s">
        <v>2359</v>
      </c>
      <c r="CL151" s="154" t="s">
        <v>2359</v>
      </c>
    </row>
    <row r="152" spans="1:92" x14ac:dyDescent="0.25">
      <c r="A152" s="373">
        <v>6</v>
      </c>
      <c r="B152" s="373">
        <v>15</v>
      </c>
      <c r="C152" s="373">
        <v>16</v>
      </c>
      <c r="D152" s="373" t="s">
        <v>2775</v>
      </c>
      <c r="E152" s="373" t="s">
        <v>2435</v>
      </c>
      <c r="F152" s="373" t="s">
        <v>2435</v>
      </c>
      <c r="G152" s="373" t="s">
        <v>2411</v>
      </c>
      <c r="H152" s="373" t="s">
        <v>2435</v>
      </c>
      <c r="I152" s="373">
        <v>0</v>
      </c>
      <c r="J152" s="373">
        <v>3</v>
      </c>
      <c r="K152" s="373">
        <v>0</v>
      </c>
      <c r="L152" s="373">
        <v>5</v>
      </c>
      <c r="M152" s="366">
        <v>236</v>
      </c>
      <c r="N152" s="367" t="s">
        <v>1106</v>
      </c>
      <c r="O152" s="374" t="s">
        <v>2777</v>
      </c>
      <c r="P152" s="374" t="s">
        <v>1497</v>
      </c>
      <c r="Q152" s="375" t="s">
        <v>1107</v>
      </c>
      <c r="R152" s="376">
        <v>208116</v>
      </c>
      <c r="S152" s="381" t="s">
        <v>1002</v>
      </c>
      <c r="T152" s="382">
        <v>53</v>
      </c>
      <c r="U152" s="379" t="s">
        <v>1108</v>
      </c>
      <c r="AH152" s="154" t="s">
        <v>2037</v>
      </c>
      <c r="AI152" s="154" t="s">
        <v>2037</v>
      </c>
      <c r="AJ152" s="154" t="s">
        <v>2037</v>
      </c>
      <c r="AK152" s="154" t="s">
        <v>2037</v>
      </c>
      <c r="AL152" s="154" t="s">
        <v>2037</v>
      </c>
      <c r="AM152" s="154" t="s">
        <v>2370</v>
      </c>
      <c r="AN152" s="154" t="s">
        <v>2370</v>
      </c>
      <c r="AS152" s="154" t="s">
        <v>2033</v>
      </c>
      <c r="AT152" s="154" t="s">
        <v>2033</v>
      </c>
      <c r="AU152" s="154" t="s">
        <v>2033</v>
      </c>
      <c r="AV152" s="154" t="s">
        <v>2033</v>
      </c>
      <c r="AW152" s="154" t="s">
        <v>2033</v>
      </c>
      <c r="AX152" s="154" t="s">
        <v>2033</v>
      </c>
      <c r="AY152" s="154" t="s">
        <v>2033</v>
      </c>
      <c r="AZ152" s="154" t="s">
        <v>2033</v>
      </c>
      <c r="BA152" s="154" t="s">
        <v>2033</v>
      </c>
      <c r="BB152" s="154" t="s">
        <v>2033</v>
      </c>
      <c r="BC152" s="154" t="s">
        <v>2033</v>
      </c>
      <c r="BD152" s="154" t="s">
        <v>2033</v>
      </c>
      <c r="BE152" s="154" t="s">
        <v>2033</v>
      </c>
      <c r="BF152" s="154" t="s">
        <v>2033</v>
      </c>
      <c r="BG152" s="154" t="s">
        <v>2033</v>
      </c>
      <c r="BH152" s="154" t="s">
        <v>2033</v>
      </c>
      <c r="BI152" s="154" t="s">
        <v>2034</v>
      </c>
      <c r="BJ152" s="154" t="s">
        <v>2034</v>
      </c>
      <c r="BK152" s="154" t="s">
        <v>2034</v>
      </c>
      <c r="BL152" s="154" t="s">
        <v>2034</v>
      </c>
      <c r="BM152" s="154" t="s">
        <v>2034</v>
      </c>
      <c r="BN152" s="154" t="s">
        <v>2034</v>
      </c>
      <c r="BO152" s="154" t="s">
        <v>2034</v>
      </c>
      <c r="BP152" s="154" t="s">
        <v>2034</v>
      </c>
      <c r="BQ152" s="154" t="s">
        <v>2034</v>
      </c>
      <c r="BR152" s="154" t="s">
        <v>2034</v>
      </c>
      <c r="BS152" s="154" t="s">
        <v>2034</v>
      </c>
      <c r="BT152" s="154" t="s">
        <v>2034</v>
      </c>
      <c r="BU152" s="154" t="s">
        <v>2034</v>
      </c>
      <c r="BV152" s="154" t="s">
        <v>2034</v>
      </c>
      <c r="BW152" s="154" t="s">
        <v>2034</v>
      </c>
      <c r="BY152" s="154" t="s">
        <v>2372</v>
      </c>
      <c r="BZ152" s="154" t="s">
        <v>2372</v>
      </c>
      <c r="CA152" s="154" t="s">
        <v>2372</v>
      </c>
      <c r="CB152" s="154" t="s">
        <v>2036</v>
      </c>
      <c r="CC152" s="154" t="s">
        <v>2036</v>
      </c>
      <c r="CD152" s="154" t="s">
        <v>2036</v>
      </c>
      <c r="CE152" s="154" t="s">
        <v>2036</v>
      </c>
      <c r="CF152" s="154" t="s">
        <v>2036</v>
      </c>
      <c r="CG152" s="154" t="s">
        <v>2359</v>
      </c>
      <c r="CH152" s="154" t="s">
        <v>2359</v>
      </c>
      <c r="CI152" s="154" t="s">
        <v>2359</v>
      </c>
      <c r="CJ152" s="154" t="s">
        <v>2359</v>
      </c>
      <c r="CK152" s="154" t="s">
        <v>2359</v>
      </c>
      <c r="CL152" s="154" t="s">
        <v>2359</v>
      </c>
    </row>
    <row r="153" spans="1:92" x14ac:dyDescent="0.25">
      <c r="A153" s="373">
        <v>6</v>
      </c>
      <c r="B153" s="373">
        <v>15</v>
      </c>
      <c r="C153" s="373">
        <v>16</v>
      </c>
      <c r="D153" s="373" t="s">
        <v>2775</v>
      </c>
      <c r="E153" s="373" t="s">
        <v>2435</v>
      </c>
      <c r="F153" s="373" t="s">
        <v>2435</v>
      </c>
      <c r="G153" s="373" t="s">
        <v>2412</v>
      </c>
      <c r="H153" s="373" t="s">
        <v>2435</v>
      </c>
      <c r="I153" s="373">
        <v>0</v>
      </c>
      <c r="J153" s="373">
        <v>3</v>
      </c>
      <c r="K153" s="373">
        <v>0</v>
      </c>
      <c r="L153" s="373">
        <v>5</v>
      </c>
      <c r="M153" s="366">
        <v>281</v>
      </c>
      <c r="N153" s="367" t="s">
        <v>1109</v>
      </c>
      <c r="O153" s="374" t="s">
        <v>2777</v>
      </c>
      <c r="P153" s="374" t="s">
        <v>1497</v>
      </c>
      <c r="Q153" s="375" t="s">
        <v>1110</v>
      </c>
      <c r="R153" s="376">
        <v>215830</v>
      </c>
      <c r="S153" s="381" t="s">
        <v>1002</v>
      </c>
      <c r="T153" s="382">
        <v>54</v>
      </c>
      <c r="U153" s="379" t="s">
        <v>1111</v>
      </c>
      <c r="AH153" s="154" t="s">
        <v>2037</v>
      </c>
      <c r="AI153" s="154" t="s">
        <v>2037</v>
      </c>
      <c r="AJ153" s="154" t="s">
        <v>2037</v>
      </c>
      <c r="AK153" s="154" t="s">
        <v>2037</v>
      </c>
      <c r="AL153" s="154" t="s">
        <v>2037</v>
      </c>
      <c r="AM153" s="154" t="s">
        <v>2370</v>
      </c>
      <c r="AN153" s="154" t="s">
        <v>2370</v>
      </c>
      <c r="AS153" s="154" t="s">
        <v>2033</v>
      </c>
      <c r="AT153" s="154" t="s">
        <v>2033</v>
      </c>
      <c r="AU153" s="154" t="s">
        <v>2033</v>
      </c>
      <c r="AV153" s="154" t="s">
        <v>2033</v>
      </c>
      <c r="AW153" s="154" t="s">
        <v>2033</v>
      </c>
      <c r="AX153" s="154" t="s">
        <v>2033</v>
      </c>
      <c r="AY153" s="154" t="s">
        <v>2033</v>
      </c>
      <c r="AZ153" s="154" t="s">
        <v>2033</v>
      </c>
      <c r="BA153" s="154" t="s">
        <v>2033</v>
      </c>
      <c r="BB153" s="154" t="s">
        <v>2033</v>
      </c>
      <c r="BC153" s="154" t="s">
        <v>2033</v>
      </c>
      <c r="BD153" s="154" t="s">
        <v>2033</v>
      </c>
      <c r="BE153" s="154" t="s">
        <v>2033</v>
      </c>
      <c r="BF153" s="154" t="s">
        <v>2033</v>
      </c>
      <c r="BG153" s="154" t="s">
        <v>2033</v>
      </c>
      <c r="BH153" s="154" t="s">
        <v>2033</v>
      </c>
      <c r="BI153" s="154" t="s">
        <v>2034</v>
      </c>
      <c r="BJ153" s="154" t="s">
        <v>2034</v>
      </c>
      <c r="BK153" s="154" t="s">
        <v>2034</v>
      </c>
      <c r="BL153" s="154" t="s">
        <v>2034</v>
      </c>
      <c r="BM153" s="154" t="s">
        <v>2034</v>
      </c>
      <c r="BN153" s="154" t="s">
        <v>2034</v>
      </c>
      <c r="BO153" s="154" t="s">
        <v>2034</v>
      </c>
      <c r="BP153" s="154" t="s">
        <v>2034</v>
      </c>
      <c r="BQ153" s="154" t="s">
        <v>2034</v>
      </c>
      <c r="BR153" s="154" t="s">
        <v>2034</v>
      </c>
      <c r="BS153" s="154" t="s">
        <v>2034</v>
      </c>
      <c r="BT153" s="154" t="s">
        <v>2034</v>
      </c>
      <c r="BU153" s="154" t="s">
        <v>2034</v>
      </c>
      <c r="BV153" s="154" t="s">
        <v>2034</v>
      </c>
      <c r="BW153" s="154" t="s">
        <v>2034</v>
      </c>
      <c r="BY153" s="154" t="s">
        <v>2372</v>
      </c>
      <c r="BZ153" s="154" t="s">
        <v>2372</v>
      </c>
      <c r="CA153" s="154" t="s">
        <v>2372</v>
      </c>
      <c r="CB153" s="154" t="s">
        <v>2036</v>
      </c>
      <c r="CC153" s="154" t="s">
        <v>2036</v>
      </c>
      <c r="CD153" s="154" t="s">
        <v>2036</v>
      </c>
      <c r="CE153" s="154" t="s">
        <v>2036</v>
      </c>
      <c r="CF153" s="154" t="s">
        <v>2036</v>
      </c>
      <c r="CG153" s="154" t="s">
        <v>2359</v>
      </c>
      <c r="CH153" s="154" t="s">
        <v>2359</v>
      </c>
      <c r="CI153" s="154" t="s">
        <v>2359</v>
      </c>
      <c r="CJ153" s="154" t="s">
        <v>2359</v>
      </c>
      <c r="CK153" s="154" t="s">
        <v>2359</v>
      </c>
      <c r="CL153" s="154" t="s">
        <v>2359</v>
      </c>
    </row>
    <row r="154" spans="1:92" x14ac:dyDescent="0.25">
      <c r="A154" s="373">
        <v>6</v>
      </c>
      <c r="B154" s="373">
        <v>15</v>
      </c>
      <c r="C154" s="373">
        <v>16</v>
      </c>
      <c r="D154" s="373" t="s">
        <v>2775</v>
      </c>
      <c r="E154" s="373" t="s">
        <v>2435</v>
      </c>
      <c r="F154" s="373" t="s">
        <v>2435</v>
      </c>
      <c r="G154" s="373" t="s">
        <v>2413</v>
      </c>
      <c r="H154" s="373" t="s">
        <v>2435</v>
      </c>
      <c r="I154" s="373">
        <v>0</v>
      </c>
      <c r="J154" s="373">
        <v>3</v>
      </c>
      <c r="K154" s="373">
        <v>0</v>
      </c>
      <c r="L154" s="373">
        <v>5</v>
      </c>
      <c r="M154" s="366">
        <v>351</v>
      </c>
      <c r="N154" s="367" t="s">
        <v>1112</v>
      </c>
      <c r="O154" s="374" t="s">
        <v>2777</v>
      </c>
      <c r="P154" s="374" t="s">
        <v>1497</v>
      </c>
      <c r="Q154" s="375" t="s">
        <v>1113</v>
      </c>
      <c r="R154" s="376">
        <v>221560</v>
      </c>
      <c r="S154" s="381" t="s">
        <v>1002</v>
      </c>
      <c r="T154" s="382">
        <v>55</v>
      </c>
      <c r="U154" s="379" t="s">
        <v>1114</v>
      </c>
      <c r="AH154" s="154" t="s">
        <v>2037</v>
      </c>
      <c r="AI154" s="154" t="s">
        <v>2037</v>
      </c>
      <c r="AJ154" s="154" t="s">
        <v>2037</v>
      </c>
      <c r="AK154" s="154" t="s">
        <v>2037</v>
      </c>
      <c r="AL154" s="154" t="s">
        <v>2037</v>
      </c>
      <c r="AM154" s="154" t="s">
        <v>2370</v>
      </c>
      <c r="AN154" s="154" t="s">
        <v>2370</v>
      </c>
      <c r="AS154" s="154" t="s">
        <v>2033</v>
      </c>
      <c r="AT154" s="154" t="s">
        <v>2033</v>
      </c>
      <c r="AU154" s="154" t="s">
        <v>2033</v>
      </c>
      <c r="AV154" s="154" t="s">
        <v>2033</v>
      </c>
      <c r="AW154" s="154" t="s">
        <v>2033</v>
      </c>
      <c r="AX154" s="154" t="s">
        <v>2033</v>
      </c>
      <c r="AY154" s="154" t="s">
        <v>2033</v>
      </c>
      <c r="AZ154" s="154" t="s">
        <v>2033</v>
      </c>
      <c r="BA154" s="154" t="s">
        <v>2033</v>
      </c>
      <c r="BB154" s="154" t="s">
        <v>2033</v>
      </c>
      <c r="BC154" s="154" t="s">
        <v>2033</v>
      </c>
      <c r="BD154" s="154" t="s">
        <v>2033</v>
      </c>
      <c r="BE154" s="154" t="s">
        <v>2033</v>
      </c>
      <c r="BF154" s="154" t="s">
        <v>2033</v>
      </c>
      <c r="BG154" s="154" t="s">
        <v>2033</v>
      </c>
      <c r="BH154" s="154" t="s">
        <v>2033</v>
      </c>
      <c r="BI154" s="154" t="s">
        <v>2034</v>
      </c>
      <c r="BJ154" s="154" t="s">
        <v>2034</v>
      </c>
      <c r="BK154" s="154" t="s">
        <v>2034</v>
      </c>
      <c r="BL154" s="154" t="s">
        <v>2034</v>
      </c>
      <c r="BM154" s="154" t="s">
        <v>2034</v>
      </c>
      <c r="BN154" s="154" t="s">
        <v>2034</v>
      </c>
      <c r="BO154" s="154" t="s">
        <v>2034</v>
      </c>
      <c r="BP154" s="154" t="s">
        <v>2034</v>
      </c>
      <c r="BQ154" s="154" t="s">
        <v>2034</v>
      </c>
      <c r="BR154" s="154" t="s">
        <v>2034</v>
      </c>
      <c r="BS154" s="154" t="s">
        <v>2034</v>
      </c>
      <c r="BT154" s="154" t="s">
        <v>2034</v>
      </c>
      <c r="BU154" s="154" t="s">
        <v>2034</v>
      </c>
      <c r="BV154" s="154" t="s">
        <v>2034</v>
      </c>
      <c r="BW154" s="154" t="s">
        <v>2034</v>
      </c>
      <c r="BY154" s="154" t="s">
        <v>2372</v>
      </c>
      <c r="BZ154" s="154" t="s">
        <v>2372</v>
      </c>
      <c r="CA154" s="154" t="s">
        <v>2372</v>
      </c>
      <c r="CB154" s="154" t="s">
        <v>2036</v>
      </c>
      <c r="CC154" s="154" t="s">
        <v>2036</v>
      </c>
      <c r="CD154" s="154" t="s">
        <v>2036</v>
      </c>
      <c r="CE154" s="154" t="s">
        <v>2036</v>
      </c>
      <c r="CF154" s="154" t="s">
        <v>2036</v>
      </c>
      <c r="CG154" s="154" t="s">
        <v>2359</v>
      </c>
      <c r="CH154" s="154" t="s">
        <v>2359</v>
      </c>
      <c r="CI154" s="154" t="s">
        <v>2359</v>
      </c>
      <c r="CJ154" s="154" t="s">
        <v>2359</v>
      </c>
      <c r="CK154" s="154" t="s">
        <v>2359</v>
      </c>
      <c r="CL154" s="154" t="s">
        <v>2359</v>
      </c>
    </row>
    <row r="155" spans="1:92" x14ac:dyDescent="0.25">
      <c r="A155" s="372">
        <v>4</v>
      </c>
      <c r="B155" s="372">
        <v>7</v>
      </c>
      <c r="C155" s="372">
        <v>8</v>
      </c>
      <c r="D155" s="372" t="s">
        <v>2399</v>
      </c>
      <c r="E155" s="372" t="s">
        <v>2435</v>
      </c>
      <c r="F155" s="372" t="s">
        <v>2435</v>
      </c>
      <c r="G155" s="372" t="s">
        <v>2435</v>
      </c>
      <c r="H155" s="372" t="s">
        <v>2435</v>
      </c>
      <c r="I155" s="372">
        <v>4</v>
      </c>
      <c r="J155" s="372">
        <v>0</v>
      </c>
      <c r="K155" s="372">
        <v>0</v>
      </c>
      <c r="L155" s="372">
        <v>0</v>
      </c>
      <c r="M155" s="359">
        <v>68</v>
      </c>
      <c r="N155" s="383" t="s">
        <v>1115</v>
      </c>
      <c r="O155" s="237" t="s">
        <v>2776</v>
      </c>
      <c r="P155" s="237"/>
      <c r="Q155" s="360" t="s">
        <v>2299</v>
      </c>
      <c r="R155" s="361">
        <v>127496</v>
      </c>
      <c r="S155" s="369" t="s">
        <v>578</v>
      </c>
      <c r="T155" s="380">
        <v>44</v>
      </c>
      <c r="U155" s="364" t="s">
        <v>2300</v>
      </c>
      <c r="AH155" s="154" t="s">
        <v>2370</v>
      </c>
      <c r="AI155" s="154" t="s">
        <v>2370</v>
      </c>
      <c r="AJ155" s="154" t="s">
        <v>2370</v>
      </c>
      <c r="AK155" s="154" t="s">
        <v>2370</v>
      </c>
      <c r="AS155" s="154" t="s">
        <v>2033</v>
      </c>
      <c r="AT155" s="154" t="s">
        <v>2033</v>
      </c>
      <c r="AU155" s="154" t="s">
        <v>2033</v>
      </c>
      <c r="AV155" s="154" t="s">
        <v>2033</v>
      </c>
      <c r="AW155" s="154" t="s">
        <v>2033</v>
      </c>
      <c r="AX155" s="154" t="s">
        <v>2033</v>
      </c>
      <c r="AY155" s="154" t="s">
        <v>2033</v>
      </c>
      <c r="AZ155" s="154" t="s">
        <v>2033</v>
      </c>
      <c r="BA155" s="154" t="s">
        <v>2034</v>
      </c>
      <c r="BB155" s="154" t="s">
        <v>2034</v>
      </c>
      <c r="BC155" s="154" t="s">
        <v>2034</v>
      </c>
      <c r="BD155" s="154" t="s">
        <v>2034</v>
      </c>
      <c r="BE155" s="154" t="s">
        <v>2034</v>
      </c>
      <c r="BF155" s="154" t="s">
        <v>2034</v>
      </c>
      <c r="BG155" s="154" t="s">
        <v>2034</v>
      </c>
      <c r="BY155" s="154" t="s">
        <v>2361</v>
      </c>
      <c r="BZ155" s="154" t="s">
        <v>2361</v>
      </c>
      <c r="CA155" s="154" t="s">
        <v>2361</v>
      </c>
      <c r="CB155" s="154" t="s">
        <v>2361</v>
      </c>
      <c r="CC155" s="154" t="s">
        <v>2359</v>
      </c>
      <c r="CD155" s="154" t="s">
        <v>2359</v>
      </c>
      <c r="CE155" s="154" t="s">
        <v>2359</v>
      </c>
      <c r="CF155" s="154" t="s">
        <v>2359</v>
      </c>
    </row>
    <row r="156" spans="1:92" x14ac:dyDescent="0.25">
      <c r="A156" s="372">
        <v>4</v>
      </c>
      <c r="B156" s="372">
        <v>7</v>
      </c>
      <c r="C156" s="372">
        <v>8</v>
      </c>
      <c r="D156" s="372" t="s">
        <v>2400</v>
      </c>
      <c r="E156" s="372" t="s">
        <v>2435</v>
      </c>
      <c r="F156" s="372" t="s">
        <v>2435</v>
      </c>
      <c r="G156" s="372" t="s">
        <v>2435</v>
      </c>
      <c r="H156" s="372" t="s">
        <v>2435</v>
      </c>
      <c r="I156" s="372">
        <v>4</v>
      </c>
      <c r="J156" s="372">
        <v>0</v>
      </c>
      <c r="K156" s="372">
        <v>0</v>
      </c>
      <c r="L156" s="372">
        <v>0</v>
      </c>
      <c r="M156" s="359">
        <v>92</v>
      </c>
      <c r="N156" s="383" t="s">
        <v>1118</v>
      </c>
      <c r="O156" s="237" t="s">
        <v>2776</v>
      </c>
      <c r="P156" s="237"/>
      <c r="Q156" s="360" t="s">
        <v>2301</v>
      </c>
      <c r="R156" s="361">
        <v>132087</v>
      </c>
      <c r="S156" s="369" t="s">
        <v>578</v>
      </c>
      <c r="T156" s="380">
        <v>44</v>
      </c>
      <c r="U156" s="364" t="s">
        <v>2302</v>
      </c>
      <c r="AH156" s="154" t="s">
        <v>2370</v>
      </c>
      <c r="AI156" s="154" t="s">
        <v>2370</v>
      </c>
      <c r="AJ156" s="154" t="s">
        <v>2370</v>
      </c>
      <c r="AK156" s="154" t="s">
        <v>2370</v>
      </c>
      <c r="AS156" s="154" t="s">
        <v>2033</v>
      </c>
      <c r="AT156" s="154" t="s">
        <v>2033</v>
      </c>
      <c r="AU156" s="154" t="s">
        <v>2033</v>
      </c>
      <c r="AV156" s="154" t="s">
        <v>2033</v>
      </c>
      <c r="AW156" s="154" t="s">
        <v>2033</v>
      </c>
      <c r="AX156" s="154" t="s">
        <v>2033</v>
      </c>
      <c r="AY156" s="154" t="s">
        <v>2033</v>
      </c>
      <c r="AZ156" s="154" t="s">
        <v>2033</v>
      </c>
      <c r="BA156" s="154" t="s">
        <v>2034</v>
      </c>
      <c r="BB156" s="154" t="s">
        <v>2034</v>
      </c>
      <c r="BC156" s="154" t="s">
        <v>2034</v>
      </c>
      <c r="BD156" s="154" t="s">
        <v>2034</v>
      </c>
      <c r="BE156" s="154" t="s">
        <v>2034</v>
      </c>
      <c r="BF156" s="154" t="s">
        <v>2034</v>
      </c>
      <c r="BG156" s="154" t="s">
        <v>2034</v>
      </c>
      <c r="BY156" s="154" t="s">
        <v>2361</v>
      </c>
      <c r="BZ156" s="154" t="s">
        <v>2361</v>
      </c>
      <c r="CA156" s="154" t="s">
        <v>2361</v>
      </c>
      <c r="CB156" s="154" t="s">
        <v>2361</v>
      </c>
      <c r="CC156" s="154" t="s">
        <v>2359</v>
      </c>
      <c r="CD156" s="154" t="s">
        <v>2359</v>
      </c>
      <c r="CE156" s="154" t="s">
        <v>2359</v>
      </c>
      <c r="CF156" s="154" t="s">
        <v>2359</v>
      </c>
    </row>
    <row r="157" spans="1:92" x14ac:dyDescent="0.25">
      <c r="A157" s="372">
        <v>4</v>
      </c>
      <c r="B157" s="372">
        <v>7</v>
      </c>
      <c r="C157" s="372">
        <v>8</v>
      </c>
      <c r="D157" s="372" t="s">
        <v>2395</v>
      </c>
      <c r="E157" s="372" t="s">
        <v>2435</v>
      </c>
      <c r="F157" s="372" t="s">
        <v>2435</v>
      </c>
      <c r="G157" s="372" t="s">
        <v>2435</v>
      </c>
      <c r="H157" s="372" t="s">
        <v>2435</v>
      </c>
      <c r="I157" s="372">
        <v>4</v>
      </c>
      <c r="J157" s="372">
        <v>0</v>
      </c>
      <c r="K157" s="372">
        <v>0</v>
      </c>
      <c r="L157" s="372">
        <v>0</v>
      </c>
      <c r="M157" s="359">
        <v>120</v>
      </c>
      <c r="N157" s="383" t="s">
        <v>1121</v>
      </c>
      <c r="O157" s="237" t="s">
        <v>2776</v>
      </c>
      <c r="P157" s="237"/>
      <c r="Q157" s="360" t="s">
        <v>2303</v>
      </c>
      <c r="R157" s="361">
        <v>145425</v>
      </c>
      <c r="S157" s="369" t="s">
        <v>1002</v>
      </c>
      <c r="T157" s="380">
        <v>56</v>
      </c>
      <c r="U157" s="364" t="s">
        <v>2304</v>
      </c>
      <c r="AH157" s="154" t="s">
        <v>2370</v>
      </c>
      <c r="AI157" s="154" t="s">
        <v>2370</v>
      </c>
      <c r="AJ157" s="154" t="s">
        <v>2370</v>
      </c>
      <c r="AK157" s="154" t="s">
        <v>2370</v>
      </c>
      <c r="AS157" s="154" t="s">
        <v>2033</v>
      </c>
      <c r="AT157" s="154" t="s">
        <v>2033</v>
      </c>
      <c r="AU157" s="154" t="s">
        <v>2033</v>
      </c>
      <c r="AV157" s="154" t="s">
        <v>2033</v>
      </c>
      <c r="AW157" s="154" t="s">
        <v>2033</v>
      </c>
      <c r="AX157" s="154" t="s">
        <v>2033</v>
      </c>
      <c r="AY157" s="154" t="s">
        <v>2033</v>
      </c>
      <c r="AZ157" s="154" t="s">
        <v>2033</v>
      </c>
      <c r="BA157" s="154" t="s">
        <v>2034</v>
      </c>
      <c r="BB157" s="154" t="s">
        <v>2034</v>
      </c>
      <c r="BC157" s="154" t="s">
        <v>2034</v>
      </c>
      <c r="BD157" s="154" t="s">
        <v>2034</v>
      </c>
      <c r="BE157" s="154" t="s">
        <v>2034</v>
      </c>
      <c r="BF157" s="154" t="s">
        <v>2034</v>
      </c>
      <c r="BG157" s="154" t="s">
        <v>2034</v>
      </c>
      <c r="BY157" s="154" t="s">
        <v>2361</v>
      </c>
      <c r="BZ157" s="154" t="s">
        <v>2361</v>
      </c>
      <c r="CA157" s="154" t="s">
        <v>2361</v>
      </c>
      <c r="CB157" s="154" t="s">
        <v>2361</v>
      </c>
      <c r="CC157" s="154" t="s">
        <v>2359</v>
      </c>
      <c r="CD157" s="154" t="s">
        <v>2359</v>
      </c>
      <c r="CE157" s="154" t="s">
        <v>2359</v>
      </c>
      <c r="CF157" s="154" t="s">
        <v>2359</v>
      </c>
    </row>
    <row r="158" spans="1:92" x14ac:dyDescent="0.25">
      <c r="A158" s="372">
        <v>4</v>
      </c>
      <c r="B158" s="372">
        <v>7</v>
      </c>
      <c r="C158" s="372">
        <v>8</v>
      </c>
      <c r="D158" s="372" t="s">
        <v>2396</v>
      </c>
      <c r="E158" s="372" t="s">
        <v>2435</v>
      </c>
      <c r="F158" s="372" t="s">
        <v>2435</v>
      </c>
      <c r="G158" s="372" t="s">
        <v>2435</v>
      </c>
      <c r="H158" s="372" t="s">
        <v>2435</v>
      </c>
      <c r="I158" s="372">
        <v>4</v>
      </c>
      <c r="J158" s="372">
        <v>0</v>
      </c>
      <c r="K158" s="372">
        <v>0</v>
      </c>
      <c r="L158" s="372">
        <v>0</v>
      </c>
      <c r="M158" s="359">
        <v>148</v>
      </c>
      <c r="N158" s="383" t="s">
        <v>1124</v>
      </c>
      <c r="O158" s="237" t="s">
        <v>2776</v>
      </c>
      <c r="P158" s="237"/>
      <c r="Q158" s="360" t="s">
        <v>2305</v>
      </c>
      <c r="R158" s="361">
        <v>169257</v>
      </c>
      <c r="S158" s="369" t="s">
        <v>1002</v>
      </c>
      <c r="T158" s="380">
        <v>56</v>
      </c>
      <c r="U158" s="364" t="s">
        <v>2306</v>
      </c>
      <c r="AH158" s="154" t="s">
        <v>2370</v>
      </c>
      <c r="AI158" s="154" t="s">
        <v>2370</v>
      </c>
      <c r="AJ158" s="154" t="s">
        <v>2370</v>
      </c>
      <c r="AK158" s="154" t="s">
        <v>2370</v>
      </c>
      <c r="AS158" s="154" t="s">
        <v>2033</v>
      </c>
      <c r="AT158" s="154" t="s">
        <v>2033</v>
      </c>
      <c r="AU158" s="154" t="s">
        <v>2033</v>
      </c>
      <c r="AV158" s="154" t="s">
        <v>2033</v>
      </c>
      <c r="AW158" s="154" t="s">
        <v>2033</v>
      </c>
      <c r="AX158" s="154" t="s">
        <v>2033</v>
      </c>
      <c r="AY158" s="154" t="s">
        <v>2033</v>
      </c>
      <c r="AZ158" s="154" t="s">
        <v>2033</v>
      </c>
      <c r="BA158" s="154" t="s">
        <v>2034</v>
      </c>
      <c r="BB158" s="154" t="s">
        <v>2034</v>
      </c>
      <c r="BC158" s="154" t="s">
        <v>2034</v>
      </c>
      <c r="BD158" s="154" t="s">
        <v>2034</v>
      </c>
      <c r="BE158" s="154" t="s">
        <v>2034</v>
      </c>
      <c r="BF158" s="154" t="s">
        <v>2034</v>
      </c>
      <c r="BG158" s="154" t="s">
        <v>2034</v>
      </c>
      <c r="BY158" s="154" t="s">
        <v>2361</v>
      </c>
      <c r="BZ158" s="154" t="s">
        <v>2361</v>
      </c>
      <c r="CA158" s="154" t="s">
        <v>2361</v>
      </c>
      <c r="CB158" s="154" t="s">
        <v>2361</v>
      </c>
      <c r="CC158" s="154" t="s">
        <v>2359</v>
      </c>
      <c r="CD158" s="154" t="s">
        <v>2359</v>
      </c>
      <c r="CE158" s="154" t="s">
        <v>2359</v>
      </c>
      <c r="CF158" s="154" t="s">
        <v>2359</v>
      </c>
    </row>
    <row r="159" spans="1:92" x14ac:dyDescent="0.25">
      <c r="A159" s="372">
        <v>4</v>
      </c>
      <c r="B159" s="372">
        <v>7</v>
      </c>
      <c r="C159" s="372">
        <v>8</v>
      </c>
      <c r="D159" s="372" t="s">
        <v>2406</v>
      </c>
      <c r="E159" s="372" t="s">
        <v>2435</v>
      </c>
      <c r="F159" s="372" t="s">
        <v>2435</v>
      </c>
      <c r="G159" s="372" t="s">
        <v>2435</v>
      </c>
      <c r="H159" s="372" t="s">
        <v>2435</v>
      </c>
      <c r="I159" s="372">
        <v>4</v>
      </c>
      <c r="J159" s="372">
        <v>0</v>
      </c>
      <c r="K159" s="372">
        <v>0</v>
      </c>
      <c r="L159" s="372">
        <v>0</v>
      </c>
      <c r="M159" s="359">
        <v>180</v>
      </c>
      <c r="N159" s="383" t="s">
        <v>1127</v>
      </c>
      <c r="O159" s="237" t="s">
        <v>2776</v>
      </c>
      <c r="P159" s="237"/>
      <c r="Q159" s="360" t="s">
        <v>2307</v>
      </c>
      <c r="R159" s="361">
        <v>181755</v>
      </c>
      <c r="S159" s="369" t="s">
        <v>1002</v>
      </c>
      <c r="T159" s="380">
        <v>56</v>
      </c>
      <c r="U159" s="364" t="s">
        <v>2308</v>
      </c>
      <c r="AH159" s="154" t="s">
        <v>2370</v>
      </c>
      <c r="AI159" s="154" t="s">
        <v>2370</v>
      </c>
      <c r="AJ159" s="154" t="s">
        <v>2370</v>
      </c>
      <c r="AK159" s="154" t="s">
        <v>2370</v>
      </c>
      <c r="AS159" s="154" t="s">
        <v>2033</v>
      </c>
      <c r="AT159" s="154" t="s">
        <v>2033</v>
      </c>
      <c r="AU159" s="154" t="s">
        <v>2033</v>
      </c>
      <c r="AV159" s="154" t="s">
        <v>2033</v>
      </c>
      <c r="AW159" s="154" t="s">
        <v>2033</v>
      </c>
      <c r="AX159" s="154" t="s">
        <v>2033</v>
      </c>
      <c r="AY159" s="154" t="s">
        <v>2033</v>
      </c>
      <c r="AZ159" s="154" t="s">
        <v>2033</v>
      </c>
      <c r="BA159" s="154" t="s">
        <v>2034</v>
      </c>
      <c r="BB159" s="154" t="s">
        <v>2034</v>
      </c>
      <c r="BC159" s="154" t="s">
        <v>2034</v>
      </c>
      <c r="BD159" s="154" t="s">
        <v>2034</v>
      </c>
      <c r="BE159" s="154" t="s">
        <v>2034</v>
      </c>
      <c r="BF159" s="154" t="s">
        <v>2034</v>
      </c>
      <c r="BG159" s="154" t="s">
        <v>2034</v>
      </c>
      <c r="BY159" s="154" t="s">
        <v>2361</v>
      </c>
      <c r="BZ159" s="154" t="s">
        <v>2361</v>
      </c>
      <c r="CA159" s="154" t="s">
        <v>2361</v>
      </c>
      <c r="CB159" s="154" t="s">
        <v>2361</v>
      </c>
      <c r="CC159" s="154" t="s">
        <v>2359</v>
      </c>
      <c r="CD159" s="154" t="s">
        <v>2359</v>
      </c>
      <c r="CE159" s="154" t="s">
        <v>2359</v>
      </c>
      <c r="CF159" s="154" t="s">
        <v>2359</v>
      </c>
    </row>
    <row r="160" spans="1:92" x14ac:dyDescent="0.25">
      <c r="A160" s="372">
        <v>4</v>
      </c>
      <c r="B160" s="372">
        <v>7</v>
      </c>
      <c r="C160" s="372">
        <v>8</v>
      </c>
      <c r="D160" s="372" t="s">
        <v>2407</v>
      </c>
      <c r="E160" s="372" t="s">
        <v>2435</v>
      </c>
      <c r="F160" s="372" t="s">
        <v>2435</v>
      </c>
      <c r="G160" s="372" t="s">
        <v>2435</v>
      </c>
      <c r="H160" s="372" t="s">
        <v>2435</v>
      </c>
      <c r="I160" s="372">
        <v>4</v>
      </c>
      <c r="J160" s="372">
        <v>0</v>
      </c>
      <c r="K160" s="372">
        <v>0</v>
      </c>
      <c r="L160" s="372">
        <v>0</v>
      </c>
      <c r="M160" s="359">
        <v>220</v>
      </c>
      <c r="N160" s="383" t="s">
        <v>1130</v>
      </c>
      <c r="O160" s="237" t="s">
        <v>2776</v>
      </c>
      <c r="P160" s="237"/>
      <c r="Q160" s="360" t="s">
        <v>2309</v>
      </c>
      <c r="R160" s="361">
        <v>192952</v>
      </c>
      <c r="S160" s="369" t="s">
        <v>1002</v>
      </c>
      <c r="T160" s="380">
        <v>58</v>
      </c>
      <c r="U160" s="364" t="s">
        <v>2310</v>
      </c>
      <c r="AH160" s="154" t="s">
        <v>2370</v>
      </c>
      <c r="AI160" s="154" t="s">
        <v>2370</v>
      </c>
      <c r="AJ160" s="154" t="s">
        <v>2370</v>
      </c>
      <c r="AK160" s="154" t="s">
        <v>2370</v>
      </c>
      <c r="AS160" s="154" t="s">
        <v>2033</v>
      </c>
      <c r="AT160" s="154" t="s">
        <v>2033</v>
      </c>
      <c r="AU160" s="154" t="s">
        <v>2033</v>
      </c>
      <c r="AV160" s="154" t="s">
        <v>2033</v>
      </c>
      <c r="AW160" s="154" t="s">
        <v>2033</v>
      </c>
      <c r="AX160" s="154" t="s">
        <v>2033</v>
      </c>
      <c r="AY160" s="154" t="s">
        <v>2033</v>
      </c>
      <c r="AZ160" s="154" t="s">
        <v>2033</v>
      </c>
      <c r="BA160" s="154" t="s">
        <v>2034</v>
      </c>
      <c r="BB160" s="154" t="s">
        <v>2034</v>
      </c>
      <c r="BC160" s="154" t="s">
        <v>2034</v>
      </c>
      <c r="BD160" s="154" t="s">
        <v>2034</v>
      </c>
      <c r="BE160" s="154" t="s">
        <v>2034</v>
      </c>
      <c r="BF160" s="154" t="s">
        <v>2034</v>
      </c>
      <c r="BG160" s="154" t="s">
        <v>2034</v>
      </c>
      <c r="BY160" s="154" t="s">
        <v>2361</v>
      </c>
      <c r="BZ160" s="154" t="s">
        <v>2361</v>
      </c>
      <c r="CA160" s="154" t="s">
        <v>2361</v>
      </c>
      <c r="CB160" s="154" t="s">
        <v>2361</v>
      </c>
      <c r="CC160" s="154" t="s">
        <v>2359</v>
      </c>
      <c r="CD160" s="154" t="s">
        <v>2359</v>
      </c>
      <c r="CE160" s="154" t="s">
        <v>2359</v>
      </c>
      <c r="CF160" s="154" t="s">
        <v>2359</v>
      </c>
    </row>
    <row r="161" spans="1:90 1590:1613" x14ac:dyDescent="0.25">
      <c r="A161" s="372">
        <v>4</v>
      </c>
      <c r="B161" s="372">
        <v>7</v>
      </c>
      <c r="C161" s="372">
        <v>8</v>
      </c>
      <c r="D161" s="372" t="s">
        <v>2408</v>
      </c>
      <c r="E161" s="372" t="s">
        <v>2435</v>
      </c>
      <c r="F161" s="372" t="s">
        <v>2435</v>
      </c>
      <c r="G161" s="372" t="s">
        <v>2435</v>
      </c>
      <c r="H161" s="372" t="s">
        <v>2435</v>
      </c>
      <c r="I161" s="372">
        <v>4</v>
      </c>
      <c r="J161" s="372">
        <v>0</v>
      </c>
      <c r="K161" s="372">
        <v>0</v>
      </c>
      <c r="L161" s="372">
        <v>0</v>
      </c>
      <c r="M161" s="359">
        <v>272</v>
      </c>
      <c r="N161" s="383" t="s">
        <v>1133</v>
      </c>
      <c r="O161" s="237" t="s">
        <v>2776</v>
      </c>
      <c r="P161" s="237"/>
      <c r="Q161" s="360" t="s">
        <v>2311</v>
      </c>
      <c r="R161" s="361">
        <v>286277</v>
      </c>
      <c r="S161" s="369" t="s">
        <v>1135</v>
      </c>
      <c r="T161" s="380">
        <v>109</v>
      </c>
      <c r="U161" s="364" t="s">
        <v>2312</v>
      </c>
      <c r="AH161" s="154" t="s">
        <v>2370</v>
      </c>
      <c r="AI161" s="154" t="s">
        <v>2370</v>
      </c>
      <c r="AJ161" s="154" t="s">
        <v>2370</v>
      </c>
      <c r="AK161" s="154" t="s">
        <v>2370</v>
      </c>
      <c r="AS161" s="154" t="s">
        <v>2033</v>
      </c>
      <c r="AT161" s="154" t="s">
        <v>2033</v>
      </c>
      <c r="AU161" s="154" t="s">
        <v>2033</v>
      </c>
      <c r="AV161" s="154" t="s">
        <v>2033</v>
      </c>
      <c r="AW161" s="154" t="s">
        <v>2033</v>
      </c>
      <c r="AX161" s="154" t="s">
        <v>2033</v>
      </c>
      <c r="AY161" s="154" t="s">
        <v>2033</v>
      </c>
      <c r="AZ161" s="154" t="s">
        <v>2033</v>
      </c>
      <c r="BA161" s="154" t="s">
        <v>2034</v>
      </c>
      <c r="BB161" s="154" t="s">
        <v>2034</v>
      </c>
      <c r="BC161" s="154" t="s">
        <v>2034</v>
      </c>
      <c r="BD161" s="154" t="s">
        <v>2034</v>
      </c>
      <c r="BE161" s="154" t="s">
        <v>2034</v>
      </c>
      <c r="BF161" s="154" t="s">
        <v>2034</v>
      </c>
      <c r="BG161" s="154" t="s">
        <v>2034</v>
      </c>
      <c r="BY161" s="154" t="s">
        <v>2361</v>
      </c>
      <c r="BZ161" s="154" t="s">
        <v>2361</v>
      </c>
      <c r="CA161" s="154" t="s">
        <v>2361</v>
      </c>
      <c r="CB161" s="154" t="s">
        <v>2361</v>
      </c>
      <c r="CC161" s="154" t="s">
        <v>2359</v>
      </c>
      <c r="CD161" s="154" t="s">
        <v>2359</v>
      </c>
      <c r="CE161" s="154" t="s">
        <v>2359</v>
      </c>
      <c r="CF161" s="154" t="s">
        <v>2359</v>
      </c>
    </row>
    <row r="162" spans="1:90 1590:1613" x14ac:dyDescent="0.25">
      <c r="A162" s="372">
        <v>5</v>
      </c>
      <c r="B162" s="372">
        <v>7</v>
      </c>
      <c r="C162" s="372">
        <v>12</v>
      </c>
      <c r="D162" s="372" t="s">
        <v>2401</v>
      </c>
      <c r="E162" s="372" t="s">
        <v>2435</v>
      </c>
      <c r="F162" s="372" t="s">
        <v>2435</v>
      </c>
      <c r="G162" s="372" t="s">
        <v>2435</v>
      </c>
      <c r="H162" s="372" t="s">
        <v>2435</v>
      </c>
      <c r="I162" s="372">
        <v>5</v>
      </c>
      <c r="J162" s="372">
        <v>0</v>
      </c>
      <c r="K162" s="372">
        <v>0</v>
      </c>
      <c r="L162" s="372">
        <v>0</v>
      </c>
      <c r="M162" s="359">
        <v>85</v>
      </c>
      <c r="N162" s="383" t="s">
        <v>1137</v>
      </c>
      <c r="O162" s="237" t="s">
        <v>2777</v>
      </c>
      <c r="P162" s="237"/>
      <c r="Q162" s="360" t="s">
        <v>2313</v>
      </c>
      <c r="R162" s="361">
        <v>162512</v>
      </c>
      <c r="S162" s="369" t="s">
        <v>1002</v>
      </c>
      <c r="T162" s="380">
        <v>61</v>
      </c>
      <c r="U162" s="364" t="s">
        <v>2314</v>
      </c>
      <c r="AH162" s="154" t="s">
        <v>2370</v>
      </c>
      <c r="AI162" s="154" t="s">
        <v>2370</v>
      </c>
      <c r="AJ162" s="154" t="s">
        <v>2370</v>
      </c>
      <c r="AK162" s="154" t="s">
        <v>2370</v>
      </c>
      <c r="AL162" s="154" t="s">
        <v>2370</v>
      </c>
      <c r="AS162" s="154" t="s">
        <v>2033</v>
      </c>
      <c r="AT162" s="154" t="s">
        <v>2033</v>
      </c>
      <c r="AU162" s="154" t="s">
        <v>2033</v>
      </c>
      <c r="AV162" s="154" t="s">
        <v>2033</v>
      </c>
      <c r="AW162" s="154" t="s">
        <v>2033</v>
      </c>
      <c r="AX162" s="154" t="s">
        <v>2033</v>
      </c>
      <c r="AY162" s="154" t="s">
        <v>2033</v>
      </c>
      <c r="AZ162" s="154" t="s">
        <v>2033</v>
      </c>
      <c r="BA162" s="154" t="s">
        <v>2033</v>
      </c>
      <c r="BB162" s="154" t="s">
        <v>2033</v>
      </c>
      <c r="BC162" s="154" t="s">
        <v>2033</v>
      </c>
      <c r="BD162" s="154" t="s">
        <v>2033</v>
      </c>
      <c r="BE162" s="154" t="s">
        <v>2034</v>
      </c>
      <c r="BF162" s="154" t="s">
        <v>2034</v>
      </c>
      <c r="BG162" s="154" t="s">
        <v>2034</v>
      </c>
      <c r="BH162" s="154" t="s">
        <v>2034</v>
      </c>
      <c r="BI162" s="154" t="s">
        <v>2034</v>
      </c>
      <c r="BJ162" s="154" t="s">
        <v>2034</v>
      </c>
      <c r="BK162" s="154" t="s">
        <v>2034</v>
      </c>
      <c r="BY162" s="154" t="s">
        <v>2361</v>
      </c>
      <c r="BZ162" s="154" t="s">
        <v>2361</v>
      </c>
      <c r="CA162" s="154" t="s">
        <v>2361</v>
      </c>
      <c r="CB162" s="154" t="s">
        <v>2361</v>
      </c>
      <c r="CC162" s="154" t="s">
        <v>2361</v>
      </c>
      <c r="CD162" s="154" t="s">
        <v>2359</v>
      </c>
      <c r="CE162" s="154" t="s">
        <v>2359</v>
      </c>
      <c r="CF162" s="154" t="s">
        <v>2359</v>
      </c>
      <c r="CG162" s="154" t="s">
        <v>2359</v>
      </c>
      <c r="CH162" s="154" t="s">
        <v>2359</v>
      </c>
    </row>
    <row r="163" spans="1:90 1590:1613" x14ac:dyDescent="0.25">
      <c r="A163" s="372">
        <v>5</v>
      </c>
      <c r="B163" s="372">
        <v>7</v>
      </c>
      <c r="C163" s="372">
        <v>12</v>
      </c>
      <c r="D163" s="372" t="s">
        <v>2402</v>
      </c>
      <c r="E163" s="372" t="s">
        <v>2435</v>
      </c>
      <c r="F163" s="372" t="s">
        <v>2435</v>
      </c>
      <c r="G163" s="372" t="s">
        <v>2435</v>
      </c>
      <c r="H163" s="372" t="s">
        <v>2435</v>
      </c>
      <c r="I163" s="372">
        <v>5</v>
      </c>
      <c r="J163" s="372">
        <v>0</v>
      </c>
      <c r="K163" s="372">
        <v>0</v>
      </c>
      <c r="L163" s="372">
        <v>0</v>
      </c>
      <c r="M163" s="359">
        <v>115</v>
      </c>
      <c r="N163" s="383" t="s">
        <v>1140</v>
      </c>
      <c r="O163" s="237" t="s">
        <v>2777</v>
      </c>
      <c r="P163" s="237"/>
      <c r="Q163" s="360" t="s">
        <v>2315</v>
      </c>
      <c r="R163" s="361">
        <v>166774</v>
      </c>
      <c r="S163" s="369" t="s">
        <v>1002</v>
      </c>
      <c r="T163" s="380">
        <v>61</v>
      </c>
      <c r="U163" s="364" t="s">
        <v>2316</v>
      </c>
      <c r="AH163" s="154" t="s">
        <v>2370</v>
      </c>
      <c r="AI163" s="154" t="s">
        <v>2370</v>
      </c>
      <c r="AJ163" s="154" t="s">
        <v>2370</v>
      </c>
      <c r="AK163" s="154" t="s">
        <v>2370</v>
      </c>
      <c r="AL163" s="154" t="s">
        <v>2370</v>
      </c>
      <c r="AS163" s="154" t="s">
        <v>2033</v>
      </c>
      <c r="AT163" s="154" t="s">
        <v>2033</v>
      </c>
      <c r="AU163" s="154" t="s">
        <v>2033</v>
      </c>
      <c r="AV163" s="154" t="s">
        <v>2033</v>
      </c>
      <c r="AW163" s="154" t="s">
        <v>2033</v>
      </c>
      <c r="AX163" s="154" t="s">
        <v>2033</v>
      </c>
      <c r="AY163" s="154" t="s">
        <v>2033</v>
      </c>
      <c r="AZ163" s="154" t="s">
        <v>2033</v>
      </c>
      <c r="BA163" s="154" t="s">
        <v>2033</v>
      </c>
      <c r="BB163" s="154" t="s">
        <v>2033</v>
      </c>
      <c r="BC163" s="154" t="s">
        <v>2033</v>
      </c>
      <c r="BD163" s="154" t="s">
        <v>2033</v>
      </c>
      <c r="BE163" s="154" t="s">
        <v>2034</v>
      </c>
      <c r="BF163" s="154" t="s">
        <v>2034</v>
      </c>
      <c r="BG163" s="154" t="s">
        <v>2034</v>
      </c>
      <c r="BH163" s="154" t="s">
        <v>2034</v>
      </c>
      <c r="BI163" s="154" t="s">
        <v>2034</v>
      </c>
      <c r="BJ163" s="154" t="s">
        <v>2034</v>
      </c>
      <c r="BK163" s="154" t="s">
        <v>2034</v>
      </c>
      <c r="BY163" s="154" t="s">
        <v>2361</v>
      </c>
      <c r="BZ163" s="154" t="s">
        <v>2361</v>
      </c>
      <c r="CA163" s="154" t="s">
        <v>2361</v>
      </c>
      <c r="CB163" s="154" t="s">
        <v>2361</v>
      </c>
      <c r="CC163" s="154" t="s">
        <v>2361</v>
      </c>
      <c r="CD163" s="154" t="s">
        <v>2359</v>
      </c>
      <c r="CE163" s="154" t="s">
        <v>2359</v>
      </c>
      <c r="CF163" s="154" t="s">
        <v>2359</v>
      </c>
      <c r="CG163" s="154" t="s">
        <v>2359</v>
      </c>
      <c r="CH163" s="154" t="s">
        <v>2359</v>
      </c>
    </row>
    <row r="164" spans="1:90 1590:1613" x14ac:dyDescent="0.25">
      <c r="A164" s="372">
        <v>5</v>
      </c>
      <c r="B164" s="372">
        <v>7</v>
      </c>
      <c r="C164" s="372">
        <v>12</v>
      </c>
      <c r="D164" s="372" t="s">
        <v>2409</v>
      </c>
      <c r="E164" s="372" t="s">
        <v>2435</v>
      </c>
      <c r="F164" s="372" t="s">
        <v>2435</v>
      </c>
      <c r="G164" s="372" t="s">
        <v>2435</v>
      </c>
      <c r="H164" s="372" t="s">
        <v>2435</v>
      </c>
      <c r="I164" s="372">
        <v>5</v>
      </c>
      <c r="J164" s="372">
        <v>0</v>
      </c>
      <c r="K164" s="372">
        <v>0</v>
      </c>
      <c r="L164" s="372">
        <v>0</v>
      </c>
      <c r="M164" s="359">
        <v>150</v>
      </c>
      <c r="N164" s="383" t="s">
        <v>1143</v>
      </c>
      <c r="O164" s="237" t="s">
        <v>2777</v>
      </c>
      <c r="P164" s="237"/>
      <c r="Q164" s="360" t="s">
        <v>2317</v>
      </c>
      <c r="R164" s="361">
        <v>193140</v>
      </c>
      <c r="S164" s="369" t="s">
        <v>1002</v>
      </c>
      <c r="T164" s="380">
        <v>61</v>
      </c>
      <c r="U164" s="364" t="s">
        <v>2318</v>
      </c>
      <c r="AH164" s="154" t="s">
        <v>2370</v>
      </c>
      <c r="AI164" s="154" t="s">
        <v>2370</v>
      </c>
      <c r="AJ164" s="154" t="s">
        <v>2370</v>
      </c>
      <c r="AK164" s="154" t="s">
        <v>2370</v>
      </c>
      <c r="AL164" s="154" t="s">
        <v>2370</v>
      </c>
      <c r="AS164" s="154" t="s">
        <v>2033</v>
      </c>
      <c r="AT164" s="154" t="s">
        <v>2033</v>
      </c>
      <c r="AU164" s="154" t="s">
        <v>2033</v>
      </c>
      <c r="AV164" s="154" t="s">
        <v>2033</v>
      </c>
      <c r="AW164" s="154" t="s">
        <v>2033</v>
      </c>
      <c r="AX164" s="154" t="s">
        <v>2033</v>
      </c>
      <c r="AY164" s="154" t="s">
        <v>2033</v>
      </c>
      <c r="AZ164" s="154" t="s">
        <v>2033</v>
      </c>
      <c r="BA164" s="154" t="s">
        <v>2033</v>
      </c>
      <c r="BB164" s="154" t="s">
        <v>2033</v>
      </c>
      <c r="BC164" s="154" t="s">
        <v>2033</v>
      </c>
      <c r="BD164" s="154" t="s">
        <v>2033</v>
      </c>
      <c r="BE164" s="154" t="s">
        <v>2034</v>
      </c>
      <c r="BF164" s="154" t="s">
        <v>2034</v>
      </c>
      <c r="BG164" s="154" t="s">
        <v>2034</v>
      </c>
      <c r="BH164" s="154" t="s">
        <v>2034</v>
      </c>
      <c r="BI164" s="154" t="s">
        <v>2034</v>
      </c>
      <c r="BJ164" s="154" t="s">
        <v>2034</v>
      </c>
      <c r="BK164" s="154" t="s">
        <v>2034</v>
      </c>
      <c r="BY164" s="154" t="s">
        <v>2361</v>
      </c>
      <c r="BZ164" s="154" t="s">
        <v>2361</v>
      </c>
      <c r="CA164" s="154" t="s">
        <v>2361</v>
      </c>
      <c r="CB164" s="154" t="s">
        <v>2361</v>
      </c>
      <c r="CC164" s="154" t="s">
        <v>2361</v>
      </c>
      <c r="CD164" s="154" t="s">
        <v>2359</v>
      </c>
      <c r="CE164" s="154" t="s">
        <v>2359</v>
      </c>
      <c r="CF164" s="154" t="s">
        <v>2359</v>
      </c>
      <c r="CG164" s="154" t="s">
        <v>2359</v>
      </c>
      <c r="CH164" s="154" t="s">
        <v>2359</v>
      </c>
    </row>
    <row r="165" spans="1:90 1590:1613" x14ac:dyDescent="0.25">
      <c r="A165" s="372">
        <v>5</v>
      </c>
      <c r="B165" s="372">
        <v>7</v>
      </c>
      <c r="C165" s="372">
        <v>12</v>
      </c>
      <c r="D165" s="372" t="s">
        <v>2410</v>
      </c>
      <c r="E165" s="372" t="s">
        <v>2435</v>
      </c>
      <c r="F165" s="372" t="s">
        <v>2435</v>
      </c>
      <c r="G165" s="372" t="s">
        <v>2435</v>
      </c>
      <c r="H165" s="372" t="s">
        <v>2435</v>
      </c>
      <c r="I165" s="372">
        <v>5</v>
      </c>
      <c r="J165" s="372">
        <v>0</v>
      </c>
      <c r="K165" s="372">
        <v>0</v>
      </c>
      <c r="L165" s="372">
        <v>0</v>
      </c>
      <c r="M165" s="359">
        <v>185</v>
      </c>
      <c r="N165" s="383" t="s">
        <v>1146</v>
      </c>
      <c r="O165" s="237" t="s">
        <v>2777</v>
      </c>
      <c r="P165" s="237"/>
      <c r="Q165" s="360" t="s">
        <v>2319</v>
      </c>
      <c r="R165" s="361">
        <v>203990</v>
      </c>
      <c r="S165" s="369" t="s">
        <v>1002</v>
      </c>
      <c r="T165" s="380">
        <v>63</v>
      </c>
      <c r="U165" s="364" t="s">
        <v>2320</v>
      </c>
      <c r="AH165" s="154" t="s">
        <v>2370</v>
      </c>
      <c r="AI165" s="154" t="s">
        <v>2370</v>
      </c>
      <c r="AJ165" s="154" t="s">
        <v>2370</v>
      </c>
      <c r="AK165" s="154" t="s">
        <v>2370</v>
      </c>
      <c r="AL165" s="154" t="s">
        <v>2370</v>
      </c>
      <c r="AS165" s="154" t="s">
        <v>2033</v>
      </c>
      <c r="AT165" s="154" t="s">
        <v>2033</v>
      </c>
      <c r="AU165" s="154" t="s">
        <v>2033</v>
      </c>
      <c r="AV165" s="154" t="s">
        <v>2033</v>
      </c>
      <c r="AW165" s="154" t="s">
        <v>2033</v>
      </c>
      <c r="AX165" s="154" t="s">
        <v>2033</v>
      </c>
      <c r="AY165" s="154" t="s">
        <v>2033</v>
      </c>
      <c r="AZ165" s="154" t="s">
        <v>2033</v>
      </c>
      <c r="BA165" s="154" t="s">
        <v>2033</v>
      </c>
      <c r="BB165" s="154" t="s">
        <v>2033</v>
      </c>
      <c r="BC165" s="154" t="s">
        <v>2033</v>
      </c>
      <c r="BD165" s="154" t="s">
        <v>2033</v>
      </c>
      <c r="BE165" s="154" t="s">
        <v>2034</v>
      </c>
      <c r="BF165" s="154" t="s">
        <v>2034</v>
      </c>
      <c r="BG165" s="154" t="s">
        <v>2034</v>
      </c>
      <c r="BH165" s="154" t="s">
        <v>2034</v>
      </c>
      <c r="BI165" s="154" t="s">
        <v>2034</v>
      </c>
      <c r="BJ165" s="154" t="s">
        <v>2034</v>
      </c>
      <c r="BK165" s="154" t="s">
        <v>2034</v>
      </c>
      <c r="BY165" s="154" t="s">
        <v>2361</v>
      </c>
      <c r="BZ165" s="154" t="s">
        <v>2361</v>
      </c>
      <c r="CA165" s="154" t="s">
        <v>2361</v>
      </c>
      <c r="CB165" s="154" t="s">
        <v>2361</v>
      </c>
      <c r="CC165" s="154" t="s">
        <v>2361</v>
      </c>
      <c r="CD165" s="154" t="s">
        <v>2359</v>
      </c>
      <c r="CE165" s="154" t="s">
        <v>2359</v>
      </c>
      <c r="CF165" s="154" t="s">
        <v>2359</v>
      </c>
      <c r="CG165" s="154" t="s">
        <v>2359</v>
      </c>
      <c r="CH165" s="154" t="s">
        <v>2359</v>
      </c>
    </row>
    <row r="166" spans="1:90 1590:1613" x14ac:dyDescent="0.25">
      <c r="A166" s="372">
        <v>5</v>
      </c>
      <c r="B166" s="372">
        <v>7</v>
      </c>
      <c r="C166" s="372">
        <v>12</v>
      </c>
      <c r="D166" s="372" t="s">
        <v>2411</v>
      </c>
      <c r="E166" s="372" t="s">
        <v>2435</v>
      </c>
      <c r="F166" s="372" t="s">
        <v>2435</v>
      </c>
      <c r="G166" s="372" t="s">
        <v>2435</v>
      </c>
      <c r="H166" s="372" t="s">
        <v>2435</v>
      </c>
      <c r="I166" s="372">
        <v>5</v>
      </c>
      <c r="J166" s="372">
        <v>0</v>
      </c>
      <c r="K166" s="372">
        <v>0</v>
      </c>
      <c r="L166" s="372">
        <v>0</v>
      </c>
      <c r="M166" s="359">
        <v>225</v>
      </c>
      <c r="N166" s="383" t="s">
        <v>1149</v>
      </c>
      <c r="O166" s="237" t="s">
        <v>2777</v>
      </c>
      <c r="P166" s="237"/>
      <c r="Q166" s="360" t="s">
        <v>2321</v>
      </c>
      <c r="R166" s="361">
        <v>222651</v>
      </c>
      <c r="S166" s="369" t="s">
        <v>1002</v>
      </c>
      <c r="T166" s="380">
        <v>65</v>
      </c>
      <c r="U166" s="364" t="s">
        <v>2322</v>
      </c>
      <c r="AH166" s="154" t="s">
        <v>2370</v>
      </c>
      <c r="AI166" s="154" t="s">
        <v>2370</v>
      </c>
      <c r="AJ166" s="154" t="s">
        <v>2370</v>
      </c>
      <c r="AK166" s="154" t="s">
        <v>2370</v>
      </c>
      <c r="AL166" s="154" t="s">
        <v>2370</v>
      </c>
      <c r="AS166" s="154" t="s">
        <v>2033</v>
      </c>
      <c r="AT166" s="154" t="s">
        <v>2033</v>
      </c>
      <c r="AU166" s="154" t="s">
        <v>2033</v>
      </c>
      <c r="AV166" s="154" t="s">
        <v>2033</v>
      </c>
      <c r="AW166" s="154" t="s">
        <v>2033</v>
      </c>
      <c r="AX166" s="154" t="s">
        <v>2033</v>
      </c>
      <c r="AY166" s="154" t="s">
        <v>2033</v>
      </c>
      <c r="AZ166" s="154" t="s">
        <v>2033</v>
      </c>
      <c r="BA166" s="154" t="s">
        <v>2033</v>
      </c>
      <c r="BB166" s="154" t="s">
        <v>2033</v>
      </c>
      <c r="BC166" s="154" t="s">
        <v>2033</v>
      </c>
      <c r="BD166" s="154" t="s">
        <v>2033</v>
      </c>
      <c r="BE166" s="154" t="s">
        <v>2034</v>
      </c>
      <c r="BF166" s="154" t="s">
        <v>2034</v>
      </c>
      <c r="BG166" s="154" t="s">
        <v>2034</v>
      </c>
      <c r="BH166" s="154" t="s">
        <v>2034</v>
      </c>
      <c r="BI166" s="154" t="s">
        <v>2034</v>
      </c>
      <c r="BJ166" s="154" t="s">
        <v>2034</v>
      </c>
      <c r="BK166" s="154" t="s">
        <v>2034</v>
      </c>
      <c r="BY166" s="154" t="s">
        <v>2361</v>
      </c>
      <c r="BZ166" s="154" t="s">
        <v>2361</v>
      </c>
      <c r="CA166" s="154" t="s">
        <v>2361</v>
      </c>
      <c r="CB166" s="154" t="s">
        <v>2361</v>
      </c>
      <c r="CC166" s="154" t="s">
        <v>2361</v>
      </c>
      <c r="CD166" s="154" t="s">
        <v>2359</v>
      </c>
      <c r="CE166" s="154" t="s">
        <v>2359</v>
      </c>
      <c r="CF166" s="154" t="s">
        <v>2359</v>
      </c>
      <c r="CG166" s="154" t="s">
        <v>2359</v>
      </c>
      <c r="CH166" s="154" t="s">
        <v>2359</v>
      </c>
    </row>
    <row r="167" spans="1:90 1590:1613" x14ac:dyDescent="0.25">
      <c r="A167" s="372">
        <v>5</v>
      </c>
      <c r="B167" s="372">
        <v>7</v>
      </c>
      <c r="C167" s="372">
        <v>12</v>
      </c>
      <c r="D167" s="372" t="s">
        <v>2412</v>
      </c>
      <c r="E167" s="372" t="s">
        <v>2435</v>
      </c>
      <c r="F167" s="372" t="s">
        <v>2435</v>
      </c>
      <c r="G167" s="372" t="s">
        <v>2435</v>
      </c>
      <c r="H167" s="372" t="s">
        <v>2435</v>
      </c>
      <c r="I167" s="372">
        <v>5</v>
      </c>
      <c r="J167" s="372">
        <v>0</v>
      </c>
      <c r="K167" s="372">
        <v>0</v>
      </c>
      <c r="L167" s="372">
        <v>0</v>
      </c>
      <c r="M167" s="359">
        <v>275</v>
      </c>
      <c r="N167" s="383" t="s">
        <v>1152</v>
      </c>
      <c r="O167" s="237" t="s">
        <v>2777</v>
      </c>
      <c r="P167" s="237"/>
      <c r="Q167" s="360" t="s">
        <v>2323</v>
      </c>
      <c r="R167" s="361">
        <v>313948</v>
      </c>
      <c r="S167" s="369" t="s">
        <v>1135</v>
      </c>
      <c r="T167" s="380">
        <v>113</v>
      </c>
      <c r="U167" s="364" t="s">
        <v>2324</v>
      </c>
      <c r="AH167" s="154" t="s">
        <v>2370</v>
      </c>
      <c r="AI167" s="154" t="s">
        <v>2370</v>
      </c>
      <c r="AJ167" s="154" t="s">
        <v>2370</v>
      </c>
      <c r="AK167" s="154" t="s">
        <v>2370</v>
      </c>
      <c r="AL167" s="154" t="s">
        <v>2370</v>
      </c>
      <c r="AS167" s="154" t="s">
        <v>2033</v>
      </c>
      <c r="AT167" s="154" t="s">
        <v>2033</v>
      </c>
      <c r="AU167" s="154" t="s">
        <v>2033</v>
      </c>
      <c r="AV167" s="154" t="s">
        <v>2033</v>
      </c>
      <c r="AW167" s="154" t="s">
        <v>2033</v>
      </c>
      <c r="AX167" s="154" t="s">
        <v>2033</v>
      </c>
      <c r="AY167" s="154" t="s">
        <v>2033</v>
      </c>
      <c r="AZ167" s="154" t="s">
        <v>2033</v>
      </c>
      <c r="BA167" s="154" t="s">
        <v>2033</v>
      </c>
      <c r="BB167" s="154" t="s">
        <v>2033</v>
      </c>
      <c r="BC167" s="154" t="s">
        <v>2033</v>
      </c>
      <c r="BD167" s="154" t="s">
        <v>2033</v>
      </c>
      <c r="BE167" s="154" t="s">
        <v>2034</v>
      </c>
      <c r="BF167" s="154" t="s">
        <v>2034</v>
      </c>
      <c r="BG167" s="154" t="s">
        <v>2034</v>
      </c>
      <c r="BH167" s="154" t="s">
        <v>2034</v>
      </c>
      <c r="BI167" s="154" t="s">
        <v>2034</v>
      </c>
      <c r="BJ167" s="154" t="s">
        <v>2034</v>
      </c>
      <c r="BK167" s="154" t="s">
        <v>2034</v>
      </c>
      <c r="BY167" s="154" t="s">
        <v>2361</v>
      </c>
      <c r="BZ167" s="154" t="s">
        <v>2361</v>
      </c>
      <c r="CA167" s="154" t="s">
        <v>2361</v>
      </c>
      <c r="CB167" s="154" t="s">
        <v>2361</v>
      </c>
      <c r="CC167" s="154" t="s">
        <v>2361</v>
      </c>
      <c r="CD167" s="154" t="s">
        <v>2359</v>
      </c>
      <c r="CE167" s="154" t="s">
        <v>2359</v>
      </c>
      <c r="CF167" s="154" t="s">
        <v>2359</v>
      </c>
      <c r="CG167" s="154" t="s">
        <v>2359</v>
      </c>
      <c r="CH167" s="154" t="s">
        <v>2359</v>
      </c>
    </row>
    <row r="168" spans="1:90 1590:1613" x14ac:dyDescent="0.25">
      <c r="A168" s="372">
        <v>5</v>
      </c>
      <c r="B168" s="372">
        <v>7</v>
      </c>
      <c r="C168" s="372">
        <v>12</v>
      </c>
      <c r="D168" s="372" t="s">
        <v>2413</v>
      </c>
      <c r="E168" s="372" t="s">
        <v>2435</v>
      </c>
      <c r="F168" s="372" t="s">
        <v>2435</v>
      </c>
      <c r="G168" s="372" t="s">
        <v>2435</v>
      </c>
      <c r="H168" s="372" t="s">
        <v>2435</v>
      </c>
      <c r="I168" s="372">
        <v>5</v>
      </c>
      <c r="J168" s="372">
        <v>0</v>
      </c>
      <c r="K168" s="372">
        <v>0</v>
      </c>
      <c r="L168" s="372">
        <v>0</v>
      </c>
      <c r="M168" s="359">
        <v>340</v>
      </c>
      <c r="N168" s="383" t="s">
        <v>1155</v>
      </c>
      <c r="O168" s="237" t="s">
        <v>2777</v>
      </c>
      <c r="P168" s="237"/>
      <c r="Q168" s="360" t="s">
        <v>2325</v>
      </c>
      <c r="R168" s="361">
        <v>328899</v>
      </c>
      <c r="S168" s="369" t="s">
        <v>1135</v>
      </c>
      <c r="T168" s="380">
        <v>115</v>
      </c>
      <c r="U168" s="364" t="s">
        <v>2326</v>
      </c>
      <c r="AH168" s="154" t="s">
        <v>2370</v>
      </c>
      <c r="AI168" s="154" t="s">
        <v>2370</v>
      </c>
      <c r="AJ168" s="154" t="s">
        <v>2370</v>
      </c>
      <c r="AK168" s="154" t="s">
        <v>2370</v>
      </c>
      <c r="AL168" s="154" t="s">
        <v>2370</v>
      </c>
      <c r="AS168" s="154" t="s">
        <v>2033</v>
      </c>
      <c r="AT168" s="154" t="s">
        <v>2033</v>
      </c>
      <c r="AU168" s="154" t="s">
        <v>2033</v>
      </c>
      <c r="AV168" s="154" t="s">
        <v>2033</v>
      </c>
      <c r="AW168" s="154" t="s">
        <v>2033</v>
      </c>
      <c r="AX168" s="154" t="s">
        <v>2033</v>
      </c>
      <c r="AY168" s="154" t="s">
        <v>2033</v>
      </c>
      <c r="AZ168" s="154" t="s">
        <v>2033</v>
      </c>
      <c r="BA168" s="154" t="s">
        <v>2033</v>
      </c>
      <c r="BB168" s="154" t="s">
        <v>2033</v>
      </c>
      <c r="BC168" s="154" t="s">
        <v>2033</v>
      </c>
      <c r="BD168" s="154" t="s">
        <v>2033</v>
      </c>
      <c r="BE168" s="154" t="s">
        <v>2034</v>
      </c>
      <c r="BF168" s="154" t="s">
        <v>2034</v>
      </c>
      <c r="BG168" s="154" t="s">
        <v>2034</v>
      </c>
      <c r="BH168" s="154" t="s">
        <v>2034</v>
      </c>
      <c r="BI168" s="154" t="s">
        <v>2034</v>
      </c>
      <c r="BJ168" s="154" t="s">
        <v>2034</v>
      </c>
      <c r="BK168" s="154" t="s">
        <v>2034</v>
      </c>
      <c r="BY168" s="154" t="s">
        <v>2361</v>
      </c>
      <c r="BZ168" s="154" t="s">
        <v>2361</v>
      </c>
      <c r="CA168" s="154" t="s">
        <v>2361</v>
      </c>
      <c r="CB168" s="154" t="s">
        <v>2361</v>
      </c>
      <c r="CC168" s="154" t="s">
        <v>2361</v>
      </c>
      <c r="CD168" s="154" t="s">
        <v>2359</v>
      </c>
      <c r="CE168" s="154" t="s">
        <v>2359</v>
      </c>
      <c r="CF168" s="154" t="s">
        <v>2359</v>
      </c>
      <c r="CG168" s="154" t="s">
        <v>2359</v>
      </c>
      <c r="CH168" s="154" t="s">
        <v>2359</v>
      </c>
    </row>
    <row r="169" spans="1:90 1590:1613" x14ac:dyDescent="0.25">
      <c r="A169" s="372">
        <v>6</v>
      </c>
      <c r="B169" s="372">
        <v>15</v>
      </c>
      <c r="C169" s="372">
        <v>16</v>
      </c>
      <c r="D169" s="372" t="s">
        <v>2414</v>
      </c>
      <c r="E169" s="372" t="s">
        <v>2435</v>
      </c>
      <c r="F169" s="372" t="s">
        <v>2435</v>
      </c>
      <c r="G169" s="372" t="s">
        <v>2435</v>
      </c>
      <c r="H169" s="372" t="s">
        <v>2435</v>
      </c>
      <c r="I169" s="372">
        <v>8</v>
      </c>
      <c r="J169" s="372">
        <v>0</v>
      </c>
      <c r="K169" s="372">
        <v>0</v>
      </c>
      <c r="L169" s="372">
        <v>0</v>
      </c>
      <c r="M169" s="359">
        <v>112</v>
      </c>
      <c r="N169" s="383" t="s">
        <v>1158</v>
      </c>
      <c r="O169" s="237" t="s">
        <v>2777</v>
      </c>
      <c r="P169" s="237" t="s">
        <v>1497</v>
      </c>
      <c r="Q169" s="360" t="s">
        <v>2327</v>
      </c>
      <c r="R169" s="361">
        <v>194682</v>
      </c>
      <c r="S169" s="369" t="s">
        <v>1002</v>
      </c>
      <c r="T169" s="380">
        <v>69</v>
      </c>
      <c r="U169" s="364" t="s">
        <v>2314</v>
      </c>
      <c r="AH169" s="154" t="s">
        <v>2370</v>
      </c>
      <c r="AI169" s="154" t="s">
        <v>2370</v>
      </c>
      <c r="AJ169" s="154" t="s">
        <v>2370</v>
      </c>
      <c r="AK169" s="154" t="s">
        <v>2370</v>
      </c>
      <c r="AL169" s="154" t="s">
        <v>2370</v>
      </c>
      <c r="AM169" s="154" t="s">
        <v>2370</v>
      </c>
      <c r="AS169" s="154" t="s">
        <v>2033</v>
      </c>
      <c r="AT169" s="154" t="s">
        <v>2033</v>
      </c>
      <c r="AU169" s="154" t="s">
        <v>2033</v>
      </c>
      <c r="AV169" s="154" t="s">
        <v>2033</v>
      </c>
      <c r="AW169" s="154" t="s">
        <v>2033</v>
      </c>
      <c r="AX169" s="154" t="s">
        <v>2033</v>
      </c>
      <c r="AY169" s="154" t="s">
        <v>2033</v>
      </c>
      <c r="AZ169" s="154" t="s">
        <v>2033</v>
      </c>
      <c r="BA169" s="154" t="s">
        <v>2033</v>
      </c>
      <c r="BB169" s="154" t="s">
        <v>2033</v>
      </c>
      <c r="BC169" s="154" t="s">
        <v>2033</v>
      </c>
      <c r="BD169" s="154" t="s">
        <v>2033</v>
      </c>
      <c r="BE169" s="154" t="s">
        <v>2033</v>
      </c>
      <c r="BF169" s="154" t="s">
        <v>2033</v>
      </c>
      <c r="BG169" s="154" t="s">
        <v>2033</v>
      </c>
      <c r="BH169" s="154" t="s">
        <v>2033</v>
      </c>
      <c r="BI169" s="154" t="s">
        <v>2034</v>
      </c>
      <c r="BJ169" s="154" t="s">
        <v>2034</v>
      </c>
      <c r="BK169" s="154" t="s">
        <v>2034</v>
      </c>
      <c r="BL169" s="154" t="s">
        <v>2034</v>
      </c>
      <c r="BM169" s="154" t="s">
        <v>2034</v>
      </c>
      <c r="BN169" s="154" t="s">
        <v>2034</v>
      </c>
      <c r="BO169" s="154" t="s">
        <v>2034</v>
      </c>
      <c r="BP169" s="154" t="s">
        <v>2034</v>
      </c>
      <c r="BQ169" s="154" t="s">
        <v>2034</v>
      </c>
      <c r="BR169" s="154" t="s">
        <v>2034</v>
      </c>
      <c r="BS169" s="154" t="s">
        <v>2034</v>
      </c>
      <c r="BT169" s="154" t="s">
        <v>2034</v>
      </c>
      <c r="BU169" s="154" t="s">
        <v>2034</v>
      </c>
      <c r="BV169" s="154" t="s">
        <v>2034</v>
      </c>
      <c r="BW169" s="154" t="s">
        <v>2034</v>
      </c>
      <c r="BY169" s="154" t="s">
        <v>2361</v>
      </c>
      <c r="BZ169" s="154" t="s">
        <v>2361</v>
      </c>
      <c r="CA169" s="154" t="s">
        <v>2361</v>
      </c>
      <c r="CB169" s="154" t="s">
        <v>2361</v>
      </c>
      <c r="CC169" s="154" t="s">
        <v>2361</v>
      </c>
      <c r="CD169" s="154" t="s">
        <v>2361</v>
      </c>
      <c r="CE169" s="154" t="s">
        <v>2361</v>
      </c>
      <c r="CF169" s="154" t="s">
        <v>2361</v>
      </c>
      <c r="CG169" s="154" t="s">
        <v>2359</v>
      </c>
      <c r="CH169" s="154" t="s">
        <v>2359</v>
      </c>
      <c r="CI169" s="154" t="s">
        <v>2359</v>
      </c>
      <c r="CJ169" s="154" t="s">
        <v>2359</v>
      </c>
      <c r="CK169" s="154" t="s">
        <v>2359</v>
      </c>
      <c r="CL169" s="154" t="s">
        <v>2359</v>
      </c>
    </row>
    <row r="170" spans="1:90 1590:1613" x14ac:dyDescent="0.25">
      <c r="A170" s="372">
        <v>6</v>
      </c>
      <c r="B170" s="372">
        <v>15</v>
      </c>
      <c r="C170" s="372">
        <v>16</v>
      </c>
      <c r="D170" s="372" t="s">
        <v>2415</v>
      </c>
      <c r="E170" s="372" t="s">
        <v>2435</v>
      </c>
      <c r="F170" s="372" t="s">
        <v>2435</v>
      </c>
      <c r="G170" s="372" t="s">
        <v>2435</v>
      </c>
      <c r="H170" s="372" t="s">
        <v>2435</v>
      </c>
      <c r="I170" s="372">
        <v>8</v>
      </c>
      <c r="J170" s="372">
        <v>0</v>
      </c>
      <c r="K170" s="372">
        <v>0</v>
      </c>
      <c r="L170" s="372">
        <v>0</v>
      </c>
      <c r="M170" s="359">
        <v>148</v>
      </c>
      <c r="N170" s="383" t="s">
        <v>1161</v>
      </c>
      <c r="O170" s="237" t="s">
        <v>2777</v>
      </c>
      <c r="P170" s="237" t="s">
        <v>1497</v>
      </c>
      <c r="Q170" s="360" t="s">
        <v>2328</v>
      </c>
      <c r="R170" s="361">
        <v>214810</v>
      </c>
      <c r="S170" s="369" t="s">
        <v>1163</v>
      </c>
      <c r="T170" s="380">
        <v>75</v>
      </c>
      <c r="U170" s="364" t="s">
        <v>2329</v>
      </c>
      <c r="AH170" s="154" t="s">
        <v>2370</v>
      </c>
      <c r="AI170" s="154" t="s">
        <v>2370</v>
      </c>
      <c r="AJ170" s="154" t="s">
        <v>2370</v>
      </c>
      <c r="AK170" s="154" t="s">
        <v>2370</v>
      </c>
      <c r="AL170" s="154" t="s">
        <v>2370</v>
      </c>
      <c r="AM170" s="154" t="s">
        <v>2370</v>
      </c>
      <c r="AS170" s="154" t="s">
        <v>2033</v>
      </c>
      <c r="AT170" s="154" t="s">
        <v>2033</v>
      </c>
      <c r="AU170" s="154" t="s">
        <v>2033</v>
      </c>
      <c r="AV170" s="154" t="s">
        <v>2033</v>
      </c>
      <c r="AW170" s="154" t="s">
        <v>2033</v>
      </c>
      <c r="AX170" s="154" t="s">
        <v>2033</v>
      </c>
      <c r="AY170" s="154" t="s">
        <v>2033</v>
      </c>
      <c r="AZ170" s="154" t="s">
        <v>2033</v>
      </c>
      <c r="BA170" s="154" t="s">
        <v>2033</v>
      </c>
      <c r="BB170" s="154" t="s">
        <v>2033</v>
      </c>
      <c r="BC170" s="154" t="s">
        <v>2033</v>
      </c>
      <c r="BD170" s="154" t="s">
        <v>2033</v>
      </c>
      <c r="BE170" s="154" t="s">
        <v>2033</v>
      </c>
      <c r="BF170" s="154" t="s">
        <v>2033</v>
      </c>
      <c r="BG170" s="154" t="s">
        <v>2033</v>
      </c>
      <c r="BH170" s="154" t="s">
        <v>2033</v>
      </c>
      <c r="BI170" s="154" t="s">
        <v>2034</v>
      </c>
      <c r="BJ170" s="154" t="s">
        <v>2034</v>
      </c>
      <c r="BK170" s="154" t="s">
        <v>2034</v>
      </c>
      <c r="BL170" s="154" t="s">
        <v>2034</v>
      </c>
      <c r="BM170" s="154" t="s">
        <v>2034</v>
      </c>
      <c r="BN170" s="154" t="s">
        <v>2034</v>
      </c>
      <c r="BO170" s="154" t="s">
        <v>2034</v>
      </c>
      <c r="BP170" s="154" t="s">
        <v>2034</v>
      </c>
      <c r="BQ170" s="154" t="s">
        <v>2034</v>
      </c>
      <c r="BR170" s="154" t="s">
        <v>2034</v>
      </c>
      <c r="BS170" s="154" t="s">
        <v>2034</v>
      </c>
      <c r="BT170" s="154" t="s">
        <v>2034</v>
      </c>
      <c r="BU170" s="154" t="s">
        <v>2034</v>
      </c>
      <c r="BV170" s="154" t="s">
        <v>2034</v>
      </c>
      <c r="BW170" s="154" t="s">
        <v>2034</v>
      </c>
      <c r="BY170" s="154" t="s">
        <v>2361</v>
      </c>
      <c r="BZ170" s="154" t="s">
        <v>2361</v>
      </c>
      <c r="CA170" s="154" t="s">
        <v>2361</v>
      </c>
      <c r="CB170" s="154" t="s">
        <v>2361</v>
      </c>
      <c r="CC170" s="154" t="s">
        <v>2361</v>
      </c>
      <c r="CD170" s="154" t="s">
        <v>2361</v>
      </c>
      <c r="CE170" s="154" t="s">
        <v>2361</v>
      </c>
      <c r="CF170" s="154" t="s">
        <v>2361</v>
      </c>
      <c r="CG170" s="154" t="s">
        <v>2359</v>
      </c>
      <c r="CH170" s="154" t="s">
        <v>2359</v>
      </c>
      <c r="CI170" s="154" t="s">
        <v>2359</v>
      </c>
      <c r="CJ170" s="154" t="s">
        <v>2359</v>
      </c>
      <c r="CK170" s="154" t="s">
        <v>2359</v>
      </c>
      <c r="CL170" s="154" t="s">
        <v>2359</v>
      </c>
    </row>
    <row r="171" spans="1:90 1590:1613" x14ac:dyDescent="0.25">
      <c r="A171" s="372">
        <v>6</v>
      </c>
      <c r="B171" s="372">
        <v>15</v>
      </c>
      <c r="C171" s="372">
        <v>16</v>
      </c>
      <c r="D171" s="372" t="s">
        <v>2416</v>
      </c>
      <c r="E171" s="372" t="s">
        <v>2435</v>
      </c>
      <c r="F171" s="372" t="s">
        <v>2435</v>
      </c>
      <c r="G171" s="372" t="s">
        <v>2435</v>
      </c>
      <c r="H171" s="372" t="s">
        <v>2435</v>
      </c>
      <c r="I171" s="372">
        <v>8</v>
      </c>
      <c r="J171" s="372">
        <v>0</v>
      </c>
      <c r="K171" s="372">
        <v>0</v>
      </c>
      <c r="L171" s="372">
        <v>0</v>
      </c>
      <c r="M171" s="359">
        <v>190</v>
      </c>
      <c r="N171" s="383" t="s">
        <v>1165</v>
      </c>
      <c r="O171" s="237" t="s">
        <v>2777</v>
      </c>
      <c r="P171" s="237" t="s">
        <v>1497</v>
      </c>
      <c r="Q171" s="360" t="s">
        <v>2330</v>
      </c>
      <c r="R171" s="361">
        <v>226226</v>
      </c>
      <c r="S171" s="369" t="s">
        <v>1163</v>
      </c>
      <c r="T171" s="380">
        <v>79</v>
      </c>
      <c r="U171" s="364" t="s">
        <v>2331</v>
      </c>
      <c r="AH171" s="154" t="s">
        <v>2370</v>
      </c>
      <c r="AI171" s="154" t="s">
        <v>2370</v>
      </c>
      <c r="AJ171" s="154" t="s">
        <v>2370</v>
      </c>
      <c r="AK171" s="154" t="s">
        <v>2370</v>
      </c>
      <c r="AL171" s="154" t="s">
        <v>2370</v>
      </c>
      <c r="AM171" s="154" t="s">
        <v>2370</v>
      </c>
      <c r="AS171" s="154" t="s">
        <v>2033</v>
      </c>
      <c r="AT171" s="154" t="s">
        <v>2033</v>
      </c>
      <c r="AU171" s="154" t="s">
        <v>2033</v>
      </c>
      <c r="AV171" s="154" t="s">
        <v>2033</v>
      </c>
      <c r="AW171" s="154" t="s">
        <v>2033</v>
      </c>
      <c r="AX171" s="154" t="s">
        <v>2033</v>
      </c>
      <c r="AY171" s="154" t="s">
        <v>2033</v>
      </c>
      <c r="AZ171" s="154" t="s">
        <v>2033</v>
      </c>
      <c r="BA171" s="154" t="s">
        <v>2033</v>
      </c>
      <c r="BB171" s="154" t="s">
        <v>2033</v>
      </c>
      <c r="BC171" s="154" t="s">
        <v>2033</v>
      </c>
      <c r="BD171" s="154" t="s">
        <v>2033</v>
      </c>
      <c r="BE171" s="154" t="s">
        <v>2033</v>
      </c>
      <c r="BF171" s="154" t="s">
        <v>2033</v>
      </c>
      <c r="BG171" s="154" t="s">
        <v>2033</v>
      </c>
      <c r="BH171" s="154" t="s">
        <v>2033</v>
      </c>
      <c r="BI171" s="154" t="s">
        <v>2034</v>
      </c>
      <c r="BJ171" s="154" t="s">
        <v>2034</v>
      </c>
      <c r="BK171" s="154" t="s">
        <v>2034</v>
      </c>
      <c r="BL171" s="154" t="s">
        <v>2034</v>
      </c>
      <c r="BM171" s="154" t="s">
        <v>2034</v>
      </c>
      <c r="BN171" s="154" t="s">
        <v>2034</v>
      </c>
      <c r="BO171" s="154" t="s">
        <v>2034</v>
      </c>
      <c r="BP171" s="154" t="s">
        <v>2034</v>
      </c>
      <c r="BQ171" s="154" t="s">
        <v>2034</v>
      </c>
      <c r="BR171" s="154" t="s">
        <v>2034</v>
      </c>
      <c r="BS171" s="154" t="s">
        <v>2034</v>
      </c>
      <c r="BT171" s="154" t="s">
        <v>2034</v>
      </c>
      <c r="BU171" s="154" t="s">
        <v>2034</v>
      </c>
      <c r="BV171" s="154" t="s">
        <v>2034</v>
      </c>
      <c r="BW171" s="154" t="s">
        <v>2034</v>
      </c>
      <c r="BY171" s="154" t="s">
        <v>2361</v>
      </c>
      <c r="BZ171" s="154" t="s">
        <v>2361</v>
      </c>
      <c r="CA171" s="154" t="s">
        <v>2361</v>
      </c>
      <c r="CB171" s="154" t="s">
        <v>2361</v>
      </c>
      <c r="CC171" s="154" t="s">
        <v>2361</v>
      </c>
      <c r="CD171" s="154" t="s">
        <v>2361</v>
      </c>
      <c r="CE171" s="154" t="s">
        <v>2361</v>
      </c>
      <c r="CF171" s="154" t="s">
        <v>2361</v>
      </c>
      <c r="CG171" s="154" t="s">
        <v>2359</v>
      </c>
      <c r="CH171" s="154" t="s">
        <v>2359</v>
      </c>
      <c r="CI171" s="154" t="s">
        <v>2359</v>
      </c>
      <c r="CJ171" s="154" t="s">
        <v>2359</v>
      </c>
      <c r="CK171" s="154" t="s">
        <v>2359</v>
      </c>
      <c r="CL171" s="154" t="s">
        <v>2359</v>
      </c>
    </row>
    <row r="172" spans="1:90 1590:1613" x14ac:dyDescent="0.25">
      <c r="A172" s="372">
        <v>6</v>
      </c>
      <c r="B172" s="372">
        <v>15</v>
      </c>
      <c r="C172" s="372">
        <v>16</v>
      </c>
      <c r="D172" s="372" t="s">
        <v>2417</v>
      </c>
      <c r="E172" s="372" t="s">
        <v>2435</v>
      </c>
      <c r="F172" s="372" t="s">
        <v>2435</v>
      </c>
      <c r="G172" s="372" t="s">
        <v>2435</v>
      </c>
      <c r="H172" s="372" t="s">
        <v>2435</v>
      </c>
      <c r="I172" s="372">
        <v>8</v>
      </c>
      <c r="J172" s="372">
        <v>0</v>
      </c>
      <c r="K172" s="372">
        <v>0</v>
      </c>
      <c r="L172" s="372">
        <v>0</v>
      </c>
      <c r="M172" s="359">
        <v>232</v>
      </c>
      <c r="N172" s="383" t="s">
        <v>1168</v>
      </c>
      <c r="O172" s="237" t="s">
        <v>2777</v>
      </c>
      <c r="P172" s="237" t="s">
        <v>1497</v>
      </c>
      <c r="Q172" s="360" t="s">
        <v>2332</v>
      </c>
      <c r="R172" s="361">
        <v>239174</v>
      </c>
      <c r="S172" s="369" t="s">
        <v>1163</v>
      </c>
      <c r="T172" s="380">
        <v>77</v>
      </c>
      <c r="U172" s="364" t="s">
        <v>2333</v>
      </c>
      <c r="AH172" s="154" t="s">
        <v>2370</v>
      </c>
      <c r="AI172" s="154" t="s">
        <v>2370</v>
      </c>
      <c r="AJ172" s="154" t="s">
        <v>2370</v>
      </c>
      <c r="AK172" s="154" t="s">
        <v>2370</v>
      </c>
      <c r="AL172" s="154" t="s">
        <v>2370</v>
      </c>
      <c r="AM172" s="154" t="s">
        <v>2370</v>
      </c>
      <c r="AS172" s="154" t="s">
        <v>2033</v>
      </c>
      <c r="AT172" s="154" t="s">
        <v>2033</v>
      </c>
      <c r="AU172" s="154" t="s">
        <v>2033</v>
      </c>
      <c r="AV172" s="154" t="s">
        <v>2033</v>
      </c>
      <c r="AW172" s="154" t="s">
        <v>2033</v>
      </c>
      <c r="AX172" s="154" t="s">
        <v>2033</v>
      </c>
      <c r="AY172" s="154" t="s">
        <v>2033</v>
      </c>
      <c r="AZ172" s="154" t="s">
        <v>2033</v>
      </c>
      <c r="BA172" s="154" t="s">
        <v>2033</v>
      </c>
      <c r="BB172" s="154" t="s">
        <v>2033</v>
      </c>
      <c r="BC172" s="154" t="s">
        <v>2033</v>
      </c>
      <c r="BD172" s="154" t="s">
        <v>2033</v>
      </c>
      <c r="BE172" s="154" t="s">
        <v>2033</v>
      </c>
      <c r="BF172" s="154" t="s">
        <v>2033</v>
      </c>
      <c r="BG172" s="154" t="s">
        <v>2033</v>
      </c>
      <c r="BH172" s="154" t="s">
        <v>2033</v>
      </c>
      <c r="BI172" s="154" t="s">
        <v>2034</v>
      </c>
      <c r="BJ172" s="154" t="s">
        <v>2034</v>
      </c>
      <c r="BK172" s="154" t="s">
        <v>2034</v>
      </c>
      <c r="BL172" s="154" t="s">
        <v>2034</v>
      </c>
      <c r="BM172" s="154" t="s">
        <v>2034</v>
      </c>
      <c r="BN172" s="154" t="s">
        <v>2034</v>
      </c>
      <c r="BO172" s="154" t="s">
        <v>2034</v>
      </c>
      <c r="BP172" s="154" t="s">
        <v>2034</v>
      </c>
      <c r="BQ172" s="154" t="s">
        <v>2034</v>
      </c>
      <c r="BR172" s="154" t="s">
        <v>2034</v>
      </c>
      <c r="BS172" s="154" t="s">
        <v>2034</v>
      </c>
      <c r="BT172" s="154" t="s">
        <v>2034</v>
      </c>
      <c r="BU172" s="154" t="s">
        <v>2034</v>
      </c>
      <c r="BV172" s="154" t="s">
        <v>2034</v>
      </c>
      <c r="BW172" s="154" t="s">
        <v>2034</v>
      </c>
      <c r="BY172" s="154" t="s">
        <v>2361</v>
      </c>
      <c r="BZ172" s="154" t="s">
        <v>2361</v>
      </c>
      <c r="CA172" s="154" t="s">
        <v>2361</v>
      </c>
      <c r="CB172" s="154" t="s">
        <v>2361</v>
      </c>
      <c r="CC172" s="154" t="s">
        <v>2361</v>
      </c>
      <c r="CD172" s="154" t="s">
        <v>2361</v>
      </c>
      <c r="CE172" s="154" t="s">
        <v>2361</v>
      </c>
      <c r="CF172" s="154" t="s">
        <v>2361</v>
      </c>
      <c r="CG172" s="154" t="s">
        <v>2359</v>
      </c>
      <c r="CH172" s="154" t="s">
        <v>2359</v>
      </c>
      <c r="CI172" s="154" t="s">
        <v>2359</v>
      </c>
      <c r="CJ172" s="154" t="s">
        <v>2359</v>
      </c>
      <c r="CK172" s="154" t="s">
        <v>2359</v>
      </c>
      <c r="CL172" s="154" t="s">
        <v>2359</v>
      </c>
    </row>
    <row r="173" spans="1:90 1590:1613" x14ac:dyDescent="0.25">
      <c r="A173" s="372">
        <v>6</v>
      </c>
      <c r="B173" s="372">
        <v>15</v>
      </c>
      <c r="C173" s="372">
        <v>16</v>
      </c>
      <c r="D173" s="372" t="s">
        <v>2418</v>
      </c>
      <c r="E173" s="372" t="s">
        <v>2435</v>
      </c>
      <c r="F173" s="372" t="s">
        <v>2435</v>
      </c>
      <c r="G173" s="372" t="s">
        <v>2435</v>
      </c>
      <c r="H173" s="372" t="s">
        <v>2435</v>
      </c>
      <c r="I173" s="372">
        <v>8</v>
      </c>
      <c r="J173" s="372">
        <v>0</v>
      </c>
      <c r="K173" s="372">
        <v>0</v>
      </c>
      <c r="L173" s="372">
        <v>0</v>
      </c>
      <c r="M173" s="359">
        <v>250</v>
      </c>
      <c r="N173" s="383" t="s">
        <v>1171</v>
      </c>
      <c r="O173" s="237" t="s">
        <v>2777</v>
      </c>
      <c r="P173" s="237" t="s">
        <v>1497</v>
      </c>
      <c r="Q173" s="360" t="s">
        <v>2334</v>
      </c>
      <c r="R173" s="361">
        <v>260264</v>
      </c>
      <c r="S173" s="369" t="s">
        <v>1163</v>
      </c>
      <c r="T173" s="380">
        <v>79</v>
      </c>
      <c r="U173" s="364" t="s">
        <v>2335</v>
      </c>
      <c r="AH173" s="154" t="s">
        <v>2370</v>
      </c>
      <c r="AI173" s="154" t="s">
        <v>2370</v>
      </c>
      <c r="AJ173" s="154" t="s">
        <v>2370</v>
      </c>
      <c r="AK173" s="154" t="s">
        <v>2370</v>
      </c>
      <c r="AL173" s="154" t="s">
        <v>2370</v>
      </c>
      <c r="AM173" s="154" t="s">
        <v>2370</v>
      </c>
      <c r="AS173" s="154" t="s">
        <v>2033</v>
      </c>
      <c r="AT173" s="154" t="s">
        <v>2033</v>
      </c>
      <c r="AU173" s="154" t="s">
        <v>2033</v>
      </c>
      <c r="AV173" s="154" t="s">
        <v>2033</v>
      </c>
      <c r="AW173" s="154" t="s">
        <v>2033</v>
      </c>
      <c r="AX173" s="154" t="s">
        <v>2033</v>
      </c>
      <c r="AY173" s="154" t="s">
        <v>2033</v>
      </c>
      <c r="AZ173" s="154" t="s">
        <v>2033</v>
      </c>
      <c r="BA173" s="154" t="s">
        <v>2033</v>
      </c>
      <c r="BB173" s="154" t="s">
        <v>2033</v>
      </c>
      <c r="BC173" s="154" t="s">
        <v>2033</v>
      </c>
      <c r="BD173" s="154" t="s">
        <v>2033</v>
      </c>
      <c r="BE173" s="154" t="s">
        <v>2033</v>
      </c>
      <c r="BF173" s="154" t="s">
        <v>2033</v>
      </c>
      <c r="BG173" s="154" t="s">
        <v>2033</v>
      </c>
      <c r="BH173" s="154" t="s">
        <v>2033</v>
      </c>
      <c r="BI173" s="154" t="s">
        <v>2034</v>
      </c>
      <c r="BJ173" s="154" t="s">
        <v>2034</v>
      </c>
      <c r="BK173" s="154" t="s">
        <v>2034</v>
      </c>
      <c r="BL173" s="154" t="s">
        <v>2034</v>
      </c>
      <c r="BM173" s="154" t="s">
        <v>2034</v>
      </c>
      <c r="BN173" s="154" t="s">
        <v>2034</v>
      </c>
      <c r="BO173" s="154" t="s">
        <v>2034</v>
      </c>
      <c r="BP173" s="154" t="s">
        <v>2034</v>
      </c>
      <c r="BQ173" s="154" t="s">
        <v>2034</v>
      </c>
      <c r="BR173" s="154" t="s">
        <v>2034</v>
      </c>
      <c r="BS173" s="154" t="s">
        <v>2034</v>
      </c>
      <c r="BT173" s="154" t="s">
        <v>2034</v>
      </c>
      <c r="BU173" s="154" t="s">
        <v>2034</v>
      </c>
      <c r="BV173" s="154" t="s">
        <v>2034</v>
      </c>
      <c r="BW173" s="154" t="s">
        <v>2034</v>
      </c>
      <c r="BY173" s="154" t="s">
        <v>2361</v>
      </c>
      <c r="BZ173" s="154" t="s">
        <v>2361</v>
      </c>
      <c r="CA173" s="154" t="s">
        <v>2361</v>
      </c>
      <c r="CB173" s="154" t="s">
        <v>2361</v>
      </c>
      <c r="CC173" s="154" t="s">
        <v>2361</v>
      </c>
      <c r="CD173" s="154" t="s">
        <v>2361</v>
      </c>
      <c r="CE173" s="154" t="s">
        <v>2361</v>
      </c>
      <c r="CF173" s="154" t="s">
        <v>2361</v>
      </c>
      <c r="CG173" s="154" t="s">
        <v>2359</v>
      </c>
      <c r="CH173" s="154" t="s">
        <v>2359</v>
      </c>
      <c r="CI173" s="154" t="s">
        <v>2359</v>
      </c>
      <c r="CJ173" s="154" t="s">
        <v>2359</v>
      </c>
      <c r="CK173" s="154" t="s">
        <v>2359</v>
      </c>
      <c r="CL173" s="154" t="s">
        <v>2359</v>
      </c>
    </row>
    <row r="174" spans="1:90 1590:1613" x14ac:dyDescent="0.25">
      <c r="A174" s="372">
        <v>6</v>
      </c>
      <c r="B174" s="372">
        <v>15</v>
      </c>
      <c r="C174" s="372">
        <v>16</v>
      </c>
      <c r="D174" s="372" t="s">
        <v>2419</v>
      </c>
      <c r="E174" s="372" t="s">
        <v>2435</v>
      </c>
      <c r="F174" s="372" t="s">
        <v>2435</v>
      </c>
      <c r="G174" s="372" t="s">
        <v>2435</v>
      </c>
      <c r="H174" s="372" t="s">
        <v>2435</v>
      </c>
      <c r="I174" s="372">
        <v>8</v>
      </c>
      <c r="J174" s="372">
        <v>0</v>
      </c>
      <c r="K174" s="372">
        <v>0</v>
      </c>
      <c r="L174" s="372">
        <v>0</v>
      </c>
      <c r="M174" s="359">
        <v>340</v>
      </c>
      <c r="N174" s="383" t="s">
        <v>1174</v>
      </c>
      <c r="O174" s="237" t="s">
        <v>2777</v>
      </c>
      <c r="P174" s="237" t="s">
        <v>1497</v>
      </c>
      <c r="Q174" s="360" t="s">
        <v>2336</v>
      </c>
      <c r="R174" s="361">
        <v>374231</v>
      </c>
      <c r="S174" s="369" t="s">
        <v>1176</v>
      </c>
      <c r="T174" s="380">
        <v>122</v>
      </c>
      <c r="U174" s="364" t="s">
        <v>2337</v>
      </c>
      <c r="AH174" s="154" t="s">
        <v>2370</v>
      </c>
      <c r="AI174" s="154" t="s">
        <v>2370</v>
      </c>
      <c r="AJ174" s="154" t="s">
        <v>2370</v>
      </c>
      <c r="AK174" s="154" t="s">
        <v>2370</v>
      </c>
      <c r="AL174" s="154" t="s">
        <v>2370</v>
      </c>
      <c r="AM174" s="154" t="s">
        <v>2370</v>
      </c>
      <c r="AS174" s="154" t="s">
        <v>2033</v>
      </c>
      <c r="AT174" s="154" t="s">
        <v>2033</v>
      </c>
      <c r="AU174" s="154" t="s">
        <v>2033</v>
      </c>
      <c r="AV174" s="154" t="s">
        <v>2033</v>
      </c>
      <c r="AW174" s="154" t="s">
        <v>2033</v>
      </c>
      <c r="AX174" s="154" t="s">
        <v>2033</v>
      </c>
      <c r="AY174" s="154" t="s">
        <v>2033</v>
      </c>
      <c r="AZ174" s="154" t="s">
        <v>2033</v>
      </c>
      <c r="BA174" s="154" t="s">
        <v>2033</v>
      </c>
      <c r="BB174" s="154" t="s">
        <v>2033</v>
      </c>
      <c r="BC174" s="154" t="s">
        <v>2033</v>
      </c>
      <c r="BD174" s="154" t="s">
        <v>2033</v>
      </c>
      <c r="BE174" s="154" t="s">
        <v>2033</v>
      </c>
      <c r="BF174" s="154" t="s">
        <v>2033</v>
      </c>
      <c r="BG174" s="154" t="s">
        <v>2033</v>
      </c>
      <c r="BH174" s="154" t="s">
        <v>2033</v>
      </c>
      <c r="BI174" s="154" t="s">
        <v>2034</v>
      </c>
      <c r="BJ174" s="154" t="s">
        <v>2034</v>
      </c>
      <c r="BK174" s="154" t="s">
        <v>2034</v>
      </c>
      <c r="BL174" s="154" t="s">
        <v>2034</v>
      </c>
      <c r="BM174" s="154" t="s">
        <v>2034</v>
      </c>
      <c r="BN174" s="154" t="s">
        <v>2034</v>
      </c>
      <c r="BO174" s="154" t="s">
        <v>2034</v>
      </c>
      <c r="BP174" s="154" t="s">
        <v>2034</v>
      </c>
      <c r="BQ174" s="154" t="s">
        <v>2034</v>
      </c>
      <c r="BR174" s="154" t="s">
        <v>2034</v>
      </c>
      <c r="BS174" s="154" t="s">
        <v>2034</v>
      </c>
      <c r="BT174" s="154" t="s">
        <v>2034</v>
      </c>
      <c r="BU174" s="154" t="s">
        <v>2034</v>
      </c>
      <c r="BV174" s="154" t="s">
        <v>2034</v>
      </c>
      <c r="BW174" s="154" t="s">
        <v>2034</v>
      </c>
      <c r="BY174" s="154" t="s">
        <v>2361</v>
      </c>
      <c r="BZ174" s="154" t="s">
        <v>2361</v>
      </c>
      <c r="CA174" s="154" t="s">
        <v>2361</v>
      </c>
      <c r="CB174" s="154" t="s">
        <v>2361</v>
      </c>
      <c r="CC174" s="154" t="s">
        <v>2361</v>
      </c>
      <c r="CD174" s="154" t="s">
        <v>2361</v>
      </c>
      <c r="CE174" s="154" t="s">
        <v>2361</v>
      </c>
      <c r="CF174" s="154" t="s">
        <v>2361</v>
      </c>
      <c r="CG174" s="154" t="s">
        <v>2359</v>
      </c>
      <c r="CH174" s="154" t="s">
        <v>2359</v>
      </c>
      <c r="CI174" s="154" t="s">
        <v>2359</v>
      </c>
      <c r="CJ174" s="154" t="s">
        <v>2359</v>
      </c>
      <c r="CK174" s="154" t="s">
        <v>2359</v>
      </c>
      <c r="CL174" s="154" t="s">
        <v>2359</v>
      </c>
    </row>
    <row r="175" spans="1:90 1590:1613" x14ac:dyDescent="0.25">
      <c r="A175" s="372">
        <v>6</v>
      </c>
      <c r="B175" s="372">
        <v>15</v>
      </c>
      <c r="C175" s="372">
        <v>16</v>
      </c>
      <c r="D175" s="372" t="s">
        <v>2420</v>
      </c>
      <c r="E175" s="372" t="s">
        <v>2435</v>
      </c>
      <c r="F175" s="372" t="s">
        <v>2435</v>
      </c>
      <c r="G175" s="372" t="s">
        <v>2435</v>
      </c>
      <c r="H175" s="372" t="s">
        <v>2435</v>
      </c>
      <c r="I175" s="372">
        <v>8</v>
      </c>
      <c r="J175" s="372">
        <v>0</v>
      </c>
      <c r="K175" s="372">
        <v>0</v>
      </c>
      <c r="L175" s="372">
        <v>0</v>
      </c>
      <c r="M175" s="359">
        <v>396</v>
      </c>
      <c r="N175" s="383" t="s">
        <v>1178</v>
      </c>
      <c r="O175" s="237" t="s">
        <v>2777</v>
      </c>
      <c r="P175" s="237" t="s">
        <v>1497</v>
      </c>
      <c r="Q175" s="360" t="s">
        <v>2338</v>
      </c>
      <c r="R175" s="361">
        <v>395096</v>
      </c>
      <c r="S175" s="369" t="s">
        <v>1176</v>
      </c>
      <c r="T175" s="380">
        <v>123</v>
      </c>
      <c r="U175" s="364" t="s">
        <v>2339</v>
      </c>
      <c r="AH175" s="154" t="s">
        <v>2370</v>
      </c>
      <c r="AI175" s="154" t="s">
        <v>2370</v>
      </c>
      <c r="AJ175" s="154" t="s">
        <v>2370</v>
      </c>
      <c r="AK175" s="154" t="s">
        <v>2370</v>
      </c>
      <c r="AL175" s="154" t="s">
        <v>2370</v>
      </c>
      <c r="AM175" s="154" t="s">
        <v>2370</v>
      </c>
      <c r="AS175" s="154" t="s">
        <v>2033</v>
      </c>
      <c r="AT175" s="154" t="s">
        <v>2033</v>
      </c>
      <c r="AU175" s="154" t="s">
        <v>2033</v>
      </c>
      <c r="AV175" s="154" t="s">
        <v>2033</v>
      </c>
      <c r="AW175" s="154" t="s">
        <v>2033</v>
      </c>
      <c r="AX175" s="154" t="s">
        <v>2033</v>
      </c>
      <c r="AY175" s="154" t="s">
        <v>2033</v>
      </c>
      <c r="AZ175" s="154" t="s">
        <v>2033</v>
      </c>
      <c r="BA175" s="154" t="s">
        <v>2033</v>
      </c>
      <c r="BB175" s="154" t="s">
        <v>2033</v>
      </c>
      <c r="BC175" s="154" t="s">
        <v>2033</v>
      </c>
      <c r="BD175" s="154" t="s">
        <v>2033</v>
      </c>
      <c r="BE175" s="154" t="s">
        <v>2033</v>
      </c>
      <c r="BF175" s="154" t="s">
        <v>2033</v>
      </c>
      <c r="BG175" s="154" t="s">
        <v>2033</v>
      </c>
      <c r="BH175" s="154" t="s">
        <v>2033</v>
      </c>
      <c r="BI175" s="154" t="s">
        <v>2034</v>
      </c>
      <c r="BJ175" s="154" t="s">
        <v>2034</v>
      </c>
      <c r="BK175" s="154" t="s">
        <v>2034</v>
      </c>
      <c r="BL175" s="154" t="s">
        <v>2034</v>
      </c>
      <c r="BM175" s="154" t="s">
        <v>2034</v>
      </c>
      <c r="BN175" s="154" t="s">
        <v>2034</v>
      </c>
      <c r="BO175" s="154" t="s">
        <v>2034</v>
      </c>
      <c r="BP175" s="154" t="s">
        <v>2034</v>
      </c>
      <c r="BQ175" s="154" t="s">
        <v>2034</v>
      </c>
      <c r="BR175" s="154" t="s">
        <v>2034</v>
      </c>
      <c r="BS175" s="154" t="s">
        <v>2034</v>
      </c>
      <c r="BT175" s="154" t="s">
        <v>2034</v>
      </c>
      <c r="BU175" s="154" t="s">
        <v>2034</v>
      </c>
      <c r="BV175" s="154" t="s">
        <v>2034</v>
      </c>
      <c r="BW175" s="154" t="s">
        <v>2034</v>
      </c>
      <c r="BY175" s="154" t="s">
        <v>2361</v>
      </c>
      <c r="BZ175" s="154" t="s">
        <v>2361</v>
      </c>
      <c r="CA175" s="154" t="s">
        <v>2361</v>
      </c>
      <c r="CB175" s="154" t="s">
        <v>2361</v>
      </c>
      <c r="CC175" s="154" t="s">
        <v>2361</v>
      </c>
      <c r="CD175" s="154" t="s">
        <v>2361</v>
      </c>
      <c r="CE175" s="154" t="s">
        <v>2361</v>
      </c>
      <c r="CF175" s="154" t="s">
        <v>2361</v>
      </c>
      <c r="CG175" s="154" t="s">
        <v>2359</v>
      </c>
      <c r="CH175" s="154" t="s">
        <v>2359</v>
      </c>
      <c r="CI175" s="154" t="s">
        <v>2359</v>
      </c>
      <c r="CJ175" s="154" t="s">
        <v>2359</v>
      </c>
      <c r="CK175" s="154" t="s">
        <v>2359</v>
      </c>
      <c r="CL175" s="154" t="s">
        <v>2359</v>
      </c>
    </row>
    <row r="176" spans="1:90 1590:1613" s="344" customFormat="1" x14ac:dyDescent="0.25">
      <c r="A176" s="335">
        <v>6</v>
      </c>
      <c r="B176" s="335">
        <v>15</v>
      </c>
      <c r="C176" s="335">
        <v>16</v>
      </c>
      <c r="D176" s="335" t="s">
        <v>2688</v>
      </c>
      <c r="E176" s="336" t="s">
        <v>2435</v>
      </c>
      <c r="F176" s="336" t="s">
        <v>2435</v>
      </c>
      <c r="G176" s="336" t="s">
        <v>2435</v>
      </c>
      <c r="H176" s="336" t="s">
        <v>2435</v>
      </c>
      <c r="I176" s="335">
        <v>8</v>
      </c>
      <c r="J176" s="335">
        <v>0</v>
      </c>
      <c r="K176" s="335">
        <v>0</v>
      </c>
      <c r="L176" s="335">
        <v>0</v>
      </c>
      <c r="M176" s="337">
        <v>112</v>
      </c>
      <c r="N176" s="337" t="s">
        <v>2689</v>
      </c>
      <c r="O176" s="338" t="s">
        <v>1519</v>
      </c>
      <c r="P176" s="338" t="s">
        <v>1497</v>
      </c>
      <c r="Q176" s="339" t="s">
        <v>2327</v>
      </c>
      <c r="R176" s="340">
        <v>209682</v>
      </c>
      <c r="S176" s="341" t="s">
        <v>1002</v>
      </c>
      <c r="T176" s="342">
        <v>69</v>
      </c>
      <c r="U176" s="343" t="s">
        <v>2314</v>
      </c>
      <c r="AH176" s="344" t="s">
        <v>2370</v>
      </c>
      <c r="AI176" s="344" t="s">
        <v>2370</v>
      </c>
      <c r="AJ176" s="344" t="s">
        <v>2370</v>
      </c>
      <c r="AK176" s="344" t="s">
        <v>2370</v>
      </c>
      <c r="AL176" s="344" t="s">
        <v>2370</v>
      </c>
      <c r="AM176" s="344" t="s">
        <v>2370</v>
      </c>
      <c r="AN176" s="344" t="s">
        <v>2370</v>
      </c>
      <c r="AS176" s="344" t="s">
        <v>2033</v>
      </c>
      <c r="AT176" s="344" t="s">
        <v>2033</v>
      </c>
      <c r="AU176" s="344" t="s">
        <v>2033</v>
      </c>
      <c r="AV176" s="344" t="s">
        <v>2033</v>
      </c>
      <c r="AW176" s="344" t="s">
        <v>2033</v>
      </c>
      <c r="AX176" s="344" t="s">
        <v>2033</v>
      </c>
      <c r="AY176" s="344" t="s">
        <v>2033</v>
      </c>
      <c r="AZ176" s="344" t="s">
        <v>2033</v>
      </c>
      <c r="BA176" s="344" t="s">
        <v>2033</v>
      </c>
      <c r="BB176" s="344" t="s">
        <v>2033</v>
      </c>
      <c r="BC176" s="344" t="s">
        <v>2033</v>
      </c>
      <c r="BD176" s="344" t="s">
        <v>2033</v>
      </c>
      <c r="BE176" s="344" t="s">
        <v>2033</v>
      </c>
      <c r="BF176" s="344" t="s">
        <v>2033</v>
      </c>
      <c r="BG176" s="344" t="s">
        <v>2033</v>
      </c>
      <c r="BH176" s="344" t="s">
        <v>2033</v>
      </c>
      <c r="BI176" s="344" t="s">
        <v>2034</v>
      </c>
      <c r="BJ176" s="344" t="s">
        <v>2034</v>
      </c>
      <c r="BK176" s="344" t="s">
        <v>2034</v>
      </c>
      <c r="BL176" s="344" t="s">
        <v>2034</v>
      </c>
      <c r="BM176" s="344" t="s">
        <v>2034</v>
      </c>
      <c r="BN176" s="344" t="s">
        <v>2034</v>
      </c>
      <c r="BO176" s="344" t="s">
        <v>2034</v>
      </c>
      <c r="BP176" s="344" t="s">
        <v>2034</v>
      </c>
      <c r="BQ176" s="344" t="s">
        <v>2034</v>
      </c>
      <c r="BR176" s="344" t="s">
        <v>2034</v>
      </c>
      <c r="BS176" s="344" t="s">
        <v>2034</v>
      </c>
      <c r="BT176" s="344" t="s">
        <v>2034</v>
      </c>
      <c r="BU176" s="344" t="s">
        <v>2034</v>
      </c>
      <c r="BV176" s="344" t="s">
        <v>2034</v>
      </c>
      <c r="BW176" s="344" t="s">
        <v>2034</v>
      </c>
      <c r="BY176" s="344" t="s">
        <v>2361</v>
      </c>
      <c r="BZ176" s="344" t="s">
        <v>2361</v>
      </c>
      <c r="CA176" s="344" t="s">
        <v>2361</v>
      </c>
      <c r="CB176" s="344" t="s">
        <v>2361</v>
      </c>
      <c r="CC176" s="344" t="s">
        <v>2361</v>
      </c>
      <c r="CD176" s="344" t="s">
        <v>2361</v>
      </c>
      <c r="CE176" s="344" t="s">
        <v>2361</v>
      </c>
      <c r="CF176" s="344" t="s">
        <v>2361</v>
      </c>
      <c r="CG176" s="344" t="s">
        <v>2359</v>
      </c>
      <c r="CH176" s="344" t="s">
        <v>2359</v>
      </c>
      <c r="CI176" s="344" t="s">
        <v>2359</v>
      </c>
      <c r="CJ176" s="344" t="s">
        <v>2359</v>
      </c>
      <c r="CK176" s="344" t="s">
        <v>2359</v>
      </c>
      <c r="CL176" s="344" t="s">
        <v>2359</v>
      </c>
      <c r="BID176" s="344" t="s">
        <v>2361</v>
      </c>
      <c r="BIE176" s="344" t="s">
        <v>2361</v>
      </c>
      <c r="BIF176" s="344" t="s">
        <v>2361</v>
      </c>
      <c r="BIG176" s="344" t="s">
        <v>2361</v>
      </c>
      <c r="BIH176" s="344" t="s">
        <v>2361</v>
      </c>
      <c r="BII176" s="344" t="s">
        <v>2361</v>
      </c>
      <c r="BIJ176" s="344" t="s">
        <v>2372</v>
      </c>
      <c r="BIK176" s="344" t="s">
        <v>2372</v>
      </c>
      <c r="BIL176" s="344" t="s">
        <v>2372</v>
      </c>
      <c r="BIM176" s="344" t="s">
        <v>2372</v>
      </c>
      <c r="BIN176" s="344" t="s">
        <v>2372</v>
      </c>
      <c r="BIO176" s="344" t="s">
        <v>2372</v>
      </c>
      <c r="BIP176" s="344" t="s">
        <v>2362</v>
      </c>
      <c r="BIQ176" s="344" t="s">
        <v>2362</v>
      </c>
      <c r="BIR176" s="344" t="s">
        <v>2362</v>
      </c>
      <c r="BIS176" s="344" t="s">
        <v>2362</v>
      </c>
      <c r="BIT176" s="344" t="s">
        <v>2362</v>
      </c>
      <c r="BIU176" s="344" t="s">
        <v>2362</v>
      </c>
      <c r="BIV176" s="344" t="s">
        <v>2036</v>
      </c>
      <c r="BIW176" s="344" t="s">
        <v>2036</v>
      </c>
      <c r="BIX176" s="344" t="s">
        <v>2036</v>
      </c>
      <c r="BIY176" s="344" t="s">
        <v>2036</v>
      </c>
      <c r="BIZ176" s="344" t="s">
        <v>2036</v>
      </c>
      <c r="BJA176" s="344" t="s">
        <v>2036</v>
      </c>
    </row>
    <row r="177" spans="1:90 1590:1757" s="344" customFormat="1" x14ac:dyDescent="0.25">
      <c r="A177" s="335">
        <v>6</v>
      </c>
      <c r="B177" s="335">
        <v>15</v>
      </c>
      <c r="C177" s="335">
        <v>16</v>
      </c>
      <c r="D177" s="335" t="s">
        <v>2690</v>
      </c>
      <c r="E177" s="336" t="s">
        <v>2435</v>
      </c>
      <c r="F177" s="336" t="s">
        <v>2435</v>
      </c>
      <c r="G177" s="336" t="s">
        <v>2435</v>
      </c>
      <c r="H177" s="336" t="s">
        <v>2435</v>
      </c>
      <c r="I177" s="335">
        <v>8</v>
      </c>
      <c r="J177" s="335">
        <v>0</v>
      </c>
      <c r="K177" s="335">
        <v>0</v>
      </c>
      <c r="L177" s="335">
        <v>0</v>
      </c>
      <c r="M177" s="337">
        <v>148</v>
      </c>
      <c r="N177" s="337" t="s">
        <v>2696</v>
      </c>
      <c r="O177" s="338" t="s">
        <v>1519</v>
      </c>
      <c r="P177" s="338" t="s">
        <v>1497</v>
      </c>
      <c r="Q177" s="339" t="s">
        <v>2328</v>
      </c>
      <c r="R177" s="340">
        <v>229810</v>
      </c>
      <c r="S177" s="341" t="s">
        <v>1163</v>
      </c>
      <c r="T177" s="342">
        <v>75</v>
      </c>
      <c r="U177" s="343" t="s">
        <v>2329</v>
      </c>
      <c r="AH177" s="344" t="s">
        <v>2370</v>
      </c>
      <c r="AI177" s="344" t="s">
        <v>2370</v>
      </c>
      <c r="AJ177" s="344" t="s">
        <v>2370</v>
      </c>
      <c r="AK177" s="344" t="s">
        <v>2370</v>
      </c>
      <c r="AL177" s="344" t="s">
        <v>2370</v>
      </c>
      <c r="AM177" s="344" t="s">
        <v>2370</v>
      </c>
      <c r="AN177" s="344" t="s">
        <v>2370</v>
      </c>
      <c r="AS177" s="344" t="s">
        <v>2033</v>
      </c>
      <c r="AT177" s="344" t="s">
        <v>2033</v>
      </c>
      <c r="AU177" s="344" t="s">
        <v>2033</v>
      </c>
      <c r="AV177" s="344" t="s">
        <v>2033</v>
      </c>
      <c r="AW177" s="344" t="s">
        <v>2033</v>
      </c>
      <c r="AX177" s="344" t="s">
        <v>2033</v>
      </c>
      <c r="AY177" s="344" t="s">
        <v>2033</v>
      </c>
      <c r="AZ177" s="344" t="s">
        <v>2033</v>
      </c>
      <c r="BA177" s="344" t="s">
        <v>2033</v>
      </c>
      <c r="BB177" s="344" t="s">
        <v>2033</v>
      </c>
      <c r="BC177" s="344" t="s">
        <v>2033</v>
      </c>
      <c r="BD177" s="344" t="s">
        <v>2033</v>
      </c>
      <c r="BE177" s="344" t="s">
        <v>2033</v>
      </c>
      <c r="BF177" s="344" t="s">
        <v>2033</v>
      </c>
      <c r="BG177" s="344" t="s">
        <v>2033</v>
      </c>
      <c r="BH177" s="344" t="s">
        <v>2033</v>
      </c>
      <c r="BI177" s="344" t="s">
        <v>2034</v>
      </c>
      <c r="BJ177" s="344" t="s">
        <v>2034</v>
      </c>
      <c r="BK177" s="344" t="s">
        <v>2034</v>
      </c>
      <c r="BL177" s="344" t="s">
        <v>2034</v>
      </c>
      <c r="BM177" s="344" t="s">
        <v>2034</v>
      </c>
      <c r="BN177" s="344" t="s">
        <v>2034</v>
      </c>
      <c r="BO177" s="344" t="s">
        <v>2034</v>
      </c>
      <c r="BP177" s="344" t="s">
        <v>2034</v>
      </c>
      <c r="BQ177" s="344" t="s">
        <v>2034</v>
      </c>
      <c r="BR177" s="344" t="s">
        <v>2034</v>
      </c>
      <c r="BS177" s="344" t="s">
        <v>2034</v>
      </c>
      <c r="BT177" s="344" t="s">
        <v>2034</v>
      </c>
      <c r="BU177" s="344" t="s">
        <v>2034</v>
      </c>
      <c r="BV177" s="344" t="s">
        <v>2034</v>
      </c>
      <c r="BW177" s="344" t="s">
        <v>2034</v>
      </c>
      <c r="BY177" s="344" t="s">
        <v>2361</v>
      </c>
      <c r="BZ177" s="344" t="s">
        <v>2361</v>
      </c>
      <c r="CA177" s="344" t="s">
        <v>2361</v>
      </c>
      <c r="CB177" s="344" t="s">
        <v>2361</v>
      </c>
      <c r="CC177" s="344" t="s">
        <v>2361</v>
      </c>
      <c r="CD177" s="344" t="s">
        <v>2361</v>
      </c>
      <c r="CE177" s="344" t="s">
        <v>2361</v>
      </c>
      <c r="CF177" s="344" t="s">
        <v>2361</v>
      </c>
      <c r="CG177" s="344" t="s">
        <v>2359</v>
      </c>
      <c r="CH177" s="344" t="s">
        <v>2359</v>
      </c>
      <c r="CI177" s="344" t="s">
        <v>2359</v>
      </c>
      <c r="CJ177" s="344" t="s">
        <v>2359</v>
      </c>
      <c r="CK177" s="344" t="s">
        <v>2359</v>
      </c>
      <c r="CL177" s="344" t="s">
        <v>2359</v>
      </c>
      <c r="BJB177" s="344" t="s">
        <v>2361</v>
      </c>
      <c r="BJC177" s="344" t="s">
        <v>2361</v>
      </c>
      <c r="BJD177" s="344" t="s">
        <v>2361</v>
      </c>
      <c r="BJE177" s="344" t="s">
        <v>2361</v>
      </c>
      <c r="BJF177" s="344" t="s">
        <v>2361</v>
      </c>
      <c r="BJG177" s="344" t="s">
        <v>2361</v>
      </c>
      <c r="BJH177" s="344" t="s">
        <v>2372</v>
      </c>
      <c r="BJI177" s="344" t="s">
        <v>2372</v>
      </c>
      <c r="BJJ177" s="344" t="s">
        <v>2372</v>
      </c>
      <c r="BJK177" s="344" t="s">
        <v>2372</v>
      </c>
      <c r="BJL177" s="344" t="s">
        <v>2372</v>
      </c>
      <c r="BJM177" s="344" t="s">
        <v>2372</v>
      </c>
      <c r="BJN177" s="344" t="s">
        <v>2362</v>
      </c>
      <c r="BJO177" s="344" t="s">
        <v>2362</v>
      </c>
      <c r="BJP177" s="344" t="s">
        <v>2362</v>
      </c>
      <c r="BJQ177" s="344" t="s">
        <v>2362</v>
      </c>
      <c r="BJR177" s="344" t="s">
        <v>2362</v>
      </c>
      <c r="BJS177" s="344" t="s">
        <v>2362</v>
      </c>
      <c r="BJT177" s="344" t="s">
        <v>2036</v>
      </c>
      <c r="BJU177" s="344" t="s">
        <v>2036</v>
      </c>
      <c r="BJV177" s="344" t="s">
        <v>2036</v>
      </c>
      <c r="BJW177" s="344" t="s">
        <v>2036</v>
      </c>
      <c r="BJX177" s="344" t="s">
        <v>2036</v>
      </c>
      <c r="BJY177" s="344" t="s">
        <v>2036</v>
      </c>
    </row>
    <row r="178" spans="1:90 1590:1757" s="344" customFormat="1" x14ac:dyDescent="0.25">
      <c r="A178" s="335">
        <v>6</v>
      </c>
      <c r="B178" s="335">
        <v>15</v>
      </c>
      <c r="C178" s="335">
        <v>16</v>
      </c>
      <c r="D178" s="335" t="s">
        <v>2691</v>
      </c>
      <c r="E178" s="336" t="s">
        <v>2435</v>
      </c>
      <c r="F178" s="336" t="s">
        <v>2435</v>
      </c>
      <c r="G178" s="336" t="s">
        <v>2435</v>
      </c>
      <c r="H178" s="336" t="s">
        <v>2435</v>
      </c>
      <c r="I178" s="335">
        <v>8</v>
      </c>
      <c r="J178" s="335">
        <v>0</v>
      </c>
      <c r="K178" s="335">
        <v>0</v>
      </c>
      <c r="L178" s="335">
        <v>0</v>
      </c>
      <c r="M178" s="337">
        <v>190</v>
      </c>
      <c r="N178" s="337" t="s">
        <v>2697</v>
      </c>
      <c r="O178" s="338" t="s">
        <v>1519</v>
      </c>
      <c r="P178" s="338" t="s">
        <v>1497</v>
      </c>
      <c r="Q178" s="339" t="s">
        <v>2330</v>
      </c>
      <c r="R178" s="340">
        <v>241226</v>
      </c>
      <c r="S178" s="341" t="s">
        <v>1163</v>
      </c>
      <c r="T178" s="342">
        <v>79</v>
      </c>
      <c r="U178" s="343" t="s">
        <v>2331</v>
      </c>
      <c r="AH178" s="344" t="s">
        <v>2370</v>
      </c>
      <c r="AI178" s="344" t="s">
        <v>2370</v>
      </c>
      <c r="AJ178" s="344" t="s">
        <v>2370</v>
      </c>
      <c r="AK178" s="344" t="s">
        <v>2370</v>
      </c>
      <c r="AL178" s="344" t="s">
        <v>2370</v>
      </c>
      <c r="AM178" s="344" t="s">
        <v>2370</v>
      </c>
      <c r="AN178" s="344" t="s">
        <v>2370</v>
      </c>
      <c r="AS178" s="344" t="s">
        <v>2033</v>
      </c>
      <c r="AT178" s="344" t="s">
        <v>2033</v>
      </c>
      <c r="AU178" s="344" t="s">
        <v>2033</v>
      </c>
      <c r="AV178" s="344" t="s">
        <v>2033</v>
      </c>
      <c r="AW178" s="344" t="s">
        <v>2033</v>
      </c>
      <c r="AX178" s="344" t="s">
        <v>2033</v>
      </c>
      <c r="AY178" s="344" t="s">
        <v>2033</v>
      </c>
      <c r="AZ178" s="344" t="s">
        <v>2033</v>
      </c>
      <c r="BA178" s="344" t="s">
        <v>2033</v>
      </c>
      <c r="BB178" s="344" t="s">
        <v>2033</v>
      </c>
      <c r="BC178" s="344" t="s">
        <v>2033</v>
      </c>
      <c r="BD178" s="344" t="s">
        <v>2033</v>
      </c>
      <c r="BE178" s="344" t="s">
        <v>2033</v>
      </c>
      <c r="BF178" s="344" t="s">
        <v>2033</v>
      </c>
      <c r="BG178" s="344" t="s">
        <v>2033</v>
      </c>
      <c r="BH178" s="344" t="s">
        <v>2033</v>
      </c>
      <c r="BI178" s="344" t="s">
        <v>2034</v>
      </c>
      <c r="BJ178" s="344" t="s">
        <v>2034</v>
      </c>
      <c r="BK178" s="344" t="s">
        <v>2034</v>
      </c>
      <c r="BL178" s="344" t="s">
        <v>2034</v>
      </c>
      <c r="BM178" s="344" t="s">
        <v>2034</v>
      </c>
      <c r="BN178" s="344" t="s">
        <v>2034</v>
      </c>
      <c r="BO178" s="344" t="s">
        <v>2034</v>
      </c>
      <c r="BP178" s="344" t="s">
        <v>2034</v>
      </c>
      <c r="BQ178" s="344" t="s">
        <v>2034</v>
      </c>
      <c r="BR178" s="344" t="s">
        <v>2034</v>
      </c>
      <c r="BS178" s="344" t="s">
        <v>2034</v>
      </c>
      <c r="BT178" s="344" t="s">
        <v>2034</v>
      </c>
      <c r="BU178" s="344" t="s">
        <v>2034</v>
      </c>
      <c r="BV178" s="344" t="s">
        <v>2034</v>
      </c>
      <c r="BW178" s="344" t="s">
        <v>2034</v>
      </c>
      <c r="BY178" s="344" t="s">
        <v>2361</v>
      </c>
      <c r="BZ178" s="344" t="s">
        <v>2361</v>
      </c>
      <c r="CA178" s="344" t="s">
        <v>2361</v>
      </c>
      <c r="CB178" s="344" t="s">
        <v>2361</v>
      </c>
      <c r="CC178" s="344" t="s">
        <v>2361</v>
      </c>
      <c r="CD178" s="344" t="s">
        <v>2361</v>
      </c>
      <c r="CE178" s="344" t="s">
        <v>2361</v>
      </c>
      <c r="CF178" s="344" t="s">
        <v>2361</v>
      </c>
      <c r="CG178" s="344" t="s">
        <v>2359</v>
      </c>
      <c r="CH178" s="344" t="s">
        <v>2359</v>
      </c>
      <c r="CI178" s="344" t="s">
        <v>2359</v>
      </c>
      <c r="CJ178" s="344" t="s">
        <v>2359</v>
      </c>
      <c r="CK178" s="344" t="s">
        <v>2359</v>
      </c>
      <c r="CL178" s="344" t="s">
        <v>2359</v>
      </c>
      <c r="BJZ178" s="344" t="s">
        <v>2361</v>
      </c>
      <c r="BKA178" s="344" t="s">
        <v>2361</v>
      </c>
      <c r="BKB178" s="344" t="s">
        <v>2361</v>
      </c>
      <c r="BKC178" s="344" t="s">
        <v>2361</v>
      </c>
      <c r="BKD178" s="344" t="s">
        <v>2361</v>
      </c>
      <c r="BKE178" s="344" t="s">
        <v>2361</v>
      </c>
      <c r="BKF178" s="344" t="s">
        <v>2372</v>
      </c>
      <c r="BKG178" s="344" t="s">
        <v>2372</v>
      </c>
      <c r="BKH178" s="344" t="s">
        <v>2372</v>
      </c>
      <c r="BKI178" s="344" t="s">
        <v>2372</v>
      </c>
      <c r="BKJ178" s="344" t="s">
        <v>2372</v>
      </c>
      <c r="BKK178" s="344" t="s">
        <v>2372</v>
      </c>
      <c r="BKL178" s="344" t="s">
        <v>2362</v>
      </c>
      <c r="BKM178" s="344" t="s">
        <v>2362</v>
      </c>
      <c r="BKN178" s="344" t="s">
        <v>2362</v>
      </c>
      <c r="BKO178" s="344" t="s">
        <v>2362</v>
      </c>
      <c r="BKP178" s="344" t="s">
        <v>2362</v>
      </c>
      <c r="BKQ178" s="344" t="s">
        <v>2362</v>
      </c>
      <c r="BKR178" s="344" t="s">
        <v>2036</v>
      </c>
      <c r="BKS178" s="344" t="s">
        <v>2036</v>
      </c>
      <c r="BKT178" s="344" t="s">
        <v>2036</v>
      </c>
      <c r="BKU178" s="344" t="s">
        <v>2036</v>
      </c>
      <c r="BKV178" s="344" t="s">
        <v>2036</v>
      </c>
      <c r="BKW178" s="344" t="s">
        <v>2036</v>
      </c>
    </row>
    <row r="179" spans="1:90 1590:1757" s="344" customFormat="1" x14ac:dyDescent="0.25">
      <c r="A179" s="335">
        <v>6</v>
      </c>
      <c r="B179" s="335">
        <v>15</v>
      </c>
      <c r="C179" s="335">
        <v>16</v>
      </c>
      <c r="D179" s="335" t="s">
        <v>2692</v>
      </c>
      <c r="E179" s="336" t="s">
        <v>2435</v>
      </c>
      <c r="F179" s="336" t="s">
        <v>2435</v>
      </c>
      <c r="G179" s="336" t="s">
        <v>2435</v>
      </c>
      <c r="H179" s="336" t="s">
        <v>2435</v>
      </c>
      <c r="I179" s="335">
        <v>8</v>
      </c>
      <c r="J179" s="335">
        <v>0</v>
      </c>
      <c r="K179" s="335">
        <v>0</v>
      </c>
      <c r="L179" s="335">
        <v>0</v>
      </c>
      <c r="M179" s="337">
        <v>232</v>
      </c>
      <c r="N179" s="337" t="s">
        <v>2698</v>
      </c>
      <c r="O179" s="338" t="s">
        <v>1519</v>
      </c>
      <c r="P179" s="338" t="s">
        <v>1497</v>
      </c>
      <c r="Q179" s="339" t="s">
        <v>2332</v>
      </c>
      <c r="R179" s="340">
        <v>254174</v>
      </c>
      <c r="S179" s="341" t="s">
        <v>1163</v>
      </c>
      <c r="T179" s="342">
        <v>77</v>
      </c>
      <c r="U179" s="343" t="s">
        <v>2333</v>
      </c>
      <c r="AH179" s="344" t="s">
        <v>2370</v>
      </c>
      <c r="AI179" s="344" t="s">
        <v>2370</v>
      </c>
      <c r="AJ179" s="344" t="s">
        <v>2370</v>
      </c>
      <c r="AK179" s="344" t="s">
        <v>2370</v>
      </c>
      <c r="AL179" s="344" t="s">
        <v>2370</v>
      </c>
      <c r="AM179" s="344" t="s">
        <v>2370</v>
      </c>
      <c r="AN179" s="344" t="s">
        <v>2370</v>
      </c>
      <c r="AS179" s="344" t="s">
        <v>2033</v>
      </c>
      <c r="AT179" s="344" t="s">
        <v>2033</v>
      </c>
      <c r="AU179" s="344" t="s">
        <v>2033</v>
      </c>
      <c r="AV179" s="344" t="s">
        <v>2033</v>
      </c>
      <c r="AW179" s="344" t="s">
        <v>2033</v>
      </c>
      <c r="AX179" s="344" t="s">
        <v>2033</v>
      </c>
      <c r="AY179" s="344" t="s">
        <v>2033</v>
      </c>
      <c r="AZ179" s="344" t="s">
        <v>2033</v>
      </c>
      <c r="BA179" s="344" t="s">
        <v>2033</v>
      </c>
      <c r="BB179" s="344" t="s">
        <v>2033</v>
      </c>
      <c r="BC179" s="344" t="s">
        <v>2033</v>
      </c>
      <c r="BD179" s="344" t="s">
        <v>2033</v>
      </c>
      <c r="BE179" s="344" t="s">
        <v>2033</v>
      </c>
      <c r="BF179" s="344" t="s">
        <v>2033</v>
      </c>
      <c r="BG179" s="344" t="s">
        <v>2033</v>
      </c>
      <c r="BH179" s="344" t="s">
        <v>2033</v>
      </c>
      <c r="BI179" s="344" t="s">
        <v>2034</v>
      </c>
      <c r="BJ179" s="344" t="s">
        <v>2034</v>
      </c>
      <c r="BK179" s="344" t="s">
        <v>2034</v>
      </c>
      <c r="BL179" s="344" t="s">
        <v>2034</v>
      </c>
      <c r="BM179" s="344" t="s">
        <v>2034</v>
      </c>
      <c r="BN179" s="344" t="s">
        <v>2034</v>
      </c>
      <c r="BO179" s="344" t="s">
        <v>2034</v>
      </c>
      <c r="BP179" s="344" t="s">
        <v>2034</v>
      </c>
      <c r="BQ179" s="344" t="s">
        <v>2034</v>
      </c>
      <c r="BR179" s="344" t="s">
        <v>2034</v>
      </c>
      <c r="BS179" s="344" t="s">
        <v>2034</v>
      </c>
      <c r="BT179" s="344" t="s">
        <v>2034</v>
      </c>
      <c r="BU179" s="344" t="s">
        <v>2034</v>
      </c>
      <c r="BV179" s="344" t="s">
        <v>2034</v>
      </c>
      <c r="BW179" s="344" t="s">
        <v>2034</v>
      </c>
      <c r="BY179" s="344" t="s">
        <v>2361</v>
      </c>
      <c r="BZ179" s="344" t="s">
        <v>2361</v>
      </c>
      <c r="CA179" s="344" t="s">
        <v>2361</v>
      </c>
      <c r="CB179" s="344" t="s">
        <v>2361</v>
      </c>
      <c r="CC179" s="344" t="s">
        <v>2361</v>
      </c>
      <c r="CD179" s="344" t="s">
        <v>2361</v>
      </c>
      <c r="CE179" s="344" t="s">
        <v>2361</v>
      </c>
      <c r="CF179" s="344" t="s">
        <v>2361</v>
      </c>
      <c r="CG179" s="344" t="s">
        <v>2359</v>
      </c>
      <c r="CH179" s="344" t="s">
        <v>2359</v>
      </c>
      <c r="CI179" s="344" t="s">
        <v>2359</v>
      </c>
      <c r="CJ179" s="344" t="s">
        <v>2359</v>
      </c>
      <c r="CK179" s="344" t="s">
        <v>2359</v>
      </c>
      <c r="CL179" s="344" t="s">
        <v>2359</v>
      </c>
      <c r="BKX179" s="344" t="s">
        <v>2361</v>
      </c>
      <c r="BKY179" s="344" t="s">
        <v>2361</v>
      </c>
      <c r="BKZ179" s="344" t="s">
        <v>2361</v>
      </c>
      <c r="BLA179" s="344" t="s">
        <v>2361</v>
      </c>
      <c r="BLB179" s="344" t="s">
        <v>2361</v>
      </c>
      <c r="BLC179" s="344" t="s">
        <v>2361</v>
      </c>
      <c r="BLD179" s="344" t="s">
        <v>2372</v>
      </c>
      <c r="BLE179" s="344" t="s">
        <v>2372</v>
      </c>
      <c r="BLF179" s="344" t="s">
        <v>2372</v>
      </c>
      <c r="BLG179" s="344" t="s">
        <v>2372</v>
      </c>
      <c r="BLH179" s="344" t="s">
        <v>2372</v>
      </c>
      <c r="BLI179" s="344" t="s">
        <v>2372</v>
      </c>
      <c r="BLJ179" s="344" t="s">
        <v>2362</v>
      </c>
      <c r="BLK179" s="344" t="s">
        <v>2362</v>
      </c>
      <c r="BLL179" s="344" t="s">
        <v>2362</v>
      </c>
      <c r="BLM179" s="344" t="s">
        <v>2362</v>
      </c>
      <c r="BLN179" s="344" t="s">
        <v>2362</v>
      </c>
      <c r="BLO179" s="344" t="s">
        <v>2362</v>
      </c>
      <c r="BLP179" s="344" t="s">
        <v>2036</v>
      </c>
      <c r="BLQ179" s="344" t="s">
        <v>2036</v>
      </c>
      <c r="BLR179" s="344" t="s">
        <v>2036</v>
      </c>
      <c r="BLS179" s="344" t="s">
        <v>2036</v>
      </c>
      <c r="BLT179" s="344" t="s">
        <v>2036</v>
      </c>
      <c r="BLU179" s="344" t="s">
        <v>2036</v>
      </c>
    </row>
    <row r="180" spans="1:90 1590:1757" s="344" customFormat="1" x14ac:dyDescent="0.25">
      <c r="A180" s="335">
        <v>6</v>
      </c>
      <c r="B180" s="335">
        <v>15</v>
      </c>
      <c r="C180" s="335">
        <v>16</v>
      </c>
      <c r="D180" s="335" t="s">
        <v>2693</v>
      </c>
      <c r="E180" s="336" t="s">
        <v>2435</v>
      </c>
      <c r="F180" s="336" t="s">
        <v>2435</v>
      </c>
      <c r="G180" s="336" t="s">
        <v>2435</v>
      </c>
      <c r="H180" s="336" t="s">
        <v>2435</v>
      </c>
      <c r="I180" s="335">
        <v>8</v>
      </c>
      <c r="J180" s="335">
        <v>0</v>
      </c>
      <c r="K180" s="335">
        <v>0</v>
      </c>
      <c r="L180" s="335">
        <v>0</v>
      </c>
      <c r="M180" s="337">
        <v>250</v>
      </c>
      <c r="N180" s="337" t="s">
        <v>2699</v>
      </c>
      <c r="O180" s="338" t="s">
        <v>1519</v>
      </c>
      <c r="P180" s="338" t="s">
        <v>1497</v>
      </c>
      <c r="Q180" s="339" t="s">
        <v>2334</v>
      </c>
      <c r="R180" s="340">
        <v>275264</v>
      </c>
      <c r="S180" s="341" t="s">
        <v>1163</v>
      </c>
      <c r="T180" s="342">
        <v>79</v>
      </c>
      <c r="U180" s="343" t="s">
        <v>2335</v>
      </c>
      <c r="AH180" s="344" t="s">
        <v>2370</v>
      </c>
      <c r="AI180" s="344" t="s">
        <v>2370</v>
      </c>
      <c r="AJ180" s="344" t="s">
        <v>2370</v>
      </c>
      <c r="AK180" s="344" t="s">
        <v>2370</v>
      </c>
      <c r="AL180" s="344" t="s">
        <v>2370</v>
      </c>
      <c r="AM180" s="344" t="s">
        <v>2370</v>
      </c>
      <c r="AN180" s="344" t="s">
        <v>2370</v>
      </c>
      <c r="AS180" s="344" t="s">
        <v>2033</v>
      </c>
      <c r="AT180" s="344" t="s">
        <v>2033</v>
      </c>
      <c r="AU180" s="344" t="s">
        <v>2033</v>
      </c>
      <c r="AV180" s="344" t="s">
        <v>2033</v>
      </c>
      <c r="AW180" s="344" t="s">
        <v>2033</v>
      </c>
      <c r="AX180" s="344" t="s">
        <v>2033</v>
      </c>
      <c r="AY180" s="344" t="s">
        <v>2033</v>
      </c>
      <c r="AZ180" s="344" t="s">
        <v>2033</v>
      </c>
      <c r="BA180" s="344" t="s">
        <v>2033</v>
      </c>
      <c r="BB180" s="344" t="s">
        <v>2033</v>
      </c>
      <c r="BC180" s="344" t="s">
        <v>2033</v>
      </c>
      <c r="BD180" s="344" t="s">
        <v>2033</v>
      </c>
      <c r="BE180" s="344" t="s">
        <v>2033</v>
      </c>
      <c r="BF180" s="344" t="s">
        <v>2033</v>
      </c>
      <c r="BG180" s="344" t="s">
        <v>2033</v>
      </c>
      <c r="BH180" s="344" t="s">
        <v>2033</v>
      </c>
      <c r="BI180" s="344" t="s">
        <v>2034</v>
      </c>
      <c r="BJ180" s="344" t="s">
        <v>2034</v>
      </c>
      <c r="BK180" s="344" t="s">
        <v>2034</v>
      </c>
      <c r="BL180" s="344" t="s">
        <v>2034</v>
      </c>
      <c r="BM180" s="344" t="s">
        <v>2034</v>
      </c>
      <c r="BN180" s="344" t="s">
        <v>2034</v>
      </c>
      <c r="BO180" s="344" t="s">
        <v>2034</v>
      </c>
      <c r="BP180" s="344" t="s">
        <v>2034</v>
      </c>
      <c r="BQ180" s="344" t="s">
        <v>2034</v>
      </c>
      <c r="BR180" s="344" t="s">
        <v>2034</v>
      </c>
      <c r="BS180" s="344" t="s">
        <v>2034</v>
      </c>
      <c r="BT180" s="344" t="s">
        <v>2034</v>
      </c>
      <c r="BU180" s="344" t="s">
        <v>2034</v>
      </c>
      <c r="BV180" s="344" t="s">
        <v>2034</v>
      </c>
      <c r="BW180" s="344" t="s">
        <v>2034</v>
      </c>
      <c r="BY180" s="344" t="s">
        <v>2361</v>
      </c>
      <c r="BZ180" s="344" t="s">
        <v>2361</v>
      </c>
      <c r="CA180" s="344" t="s">
        <v>2361</v>
      </c>
      <c r="CB180" s="344" t="s">
        <v>2361</v>
      </c>
      <c r="CC180" s="344" t="s">
        <v>2361</v>
      </c>
      <c r="CD180" s="344" t="s">
        <v>2361</v>
      </c>
      <c r="CE180" s="344" t="s">
        <v>2361</v>
      </c>
      <c r="CF180" s="344" t="s">
        <v>2361</v>
      </c>
      <c r="CG180" s="344" t="s">
        <v>2359</v>
      </c>
      <c r="CH180" s="344" t="s">
        <v>2359</v>
      </c>
      <c r="CI180" s="344" t="s">
        <v>2359</v>
      </c>
      <c r="CJ180" s="344" t="s">
        <v>2359</v>
      </c>
      <c r="CK180" s="344" t="s">
        <v>2359</v>
      </c>
      <c r="CL180" s="344" t="s">
        <v>2359</v>
      </c>
      <c r="BLV180" s="344" t="s">
        <v>2361</v>
      </c>
      <c r="BLW180" s="344" t="s">
        <v>2361</v>
      </c>
      <c r="BLX180" s="344" t="s">
        <v>2361</v>
      </c>
      <c r="BLY180" s="344" t="s">
        <v>2361</v>
      </c>
      <c r="BLZ180" s="344" t="s">
        <v>2361</v>
      </c>
      <c r="BMA180" s="344" t="s">
        <v>2361</v>
      </c>
      <c r="BMB180" s="344" t="s">
        <v>2372</v>
      </c>
      <c r="BMC180" s="344" t="s">
        <v>2372</v>
      </c>
      <c r="BMD180" s="344" t="s">
        <v>2372</v>
      </c>
      <c r="BME180" s="344" t="s">
        <v>2372</v>
      </c>
      <c r="BMF180" s="344" t="s">
        <v>2372</v>
      </c>
      <c r="BMG180" s="344" t="s">
        <v>2372</v>
      </c>
      <c r="BMH180" s="344" t="s">
        <v>2362</v>
      </c>
      <c r="BMI180" s="344" t="s">
        <v>2362</v>
      </c>
      <c r="BMJ180" s="344" t="s">
        <v>2362</v>
      </c>
      <c r="BMK180" s="344" t="s">
        <v>2362</v>
      </c>
      <c r="BML180" s="344" t="s">
        <v>2362</v>
      </c>
      <c r="BMM180" s="344" t="s">
        <v>2362</v>
      </c>
      <c r="BMN180" s="344" t="s">
        <v>2036</v>
      </c>
      <c r="BMO180" s="344" t="s">
        <v>2036</v>
      </c>
      <c r="BMP180" s="344" t="s">
        <v>2036</v>
      </c>
      <c r="BMQ180" s="344" t="s">
        <v>2036</v>
      </c>
      <c r="BMR180" s="344" t="s">
        <v>2036</v>
      </c>
      <c r="BMS180" s="344" t="s">
        <v>2036</v>
      </c>
    </row>
    <row r="181" spans="1:90 1590:1757" s="344" customFormat="1" x14ac:dyDescent="0.25">
      <c r="A181" s="335">
        <v>6</v>
      </c>
      <c r="B181" s="335">
        <v>15</v>
      </c>
      <c r="C181" s="335">
        <v>16</v>
      </c>
      <c r="D181" s="335" t="s">
        <v>2694</v>
      </c>
      <c r="E181" s="336" t="s">
        <v>2435</v>
      </c>
      <c r="F181" s="336" t="s">
        <v>2435</v>
      </c>
      <c r="G181" s="336" t="s">
        <v>2435</v>
      </c>
      <c r="H181" s="336" t="s">
        <v>2435</v>
      </c>
      <c r="I181" s="335">
        <v>8</v>
      </c>
      <c r="J181" s="335">
        <v>0</v>
      </c>
      <c r="K181" s="335">
        <v>0</v>
      </c>
      <c r="L181" s="335">
        <v>0</v>
      </c>
      <c r="M181" s="337">
        <v>340</v>
      </c>
      <c r="N181" s="337" t="s">
        <v>2700</v>
      </c>
      <c r="O181" s="338" t="s">
        <v>1519</v>
      </c>
      <c r="P181" s="338" t="s">
        <v>1497</v>
      </c>
      <c r="Q181" s="339" t="s">
        <v>2336</v>
      </c>
      <c r="R181" s="340">
        <v>389231</v>
      </c>
      <c r="S181" s="341" t="s">
        <v>1176</v>
      </c>
      <c r="T181" s="342">
        <v>122</v>
      </c>
      <c r="U181" s="343" t="s">
        <v>2337</v>
      </c>
      <c r="AH181" s="344" t="s">
        <v>2370</v>
      </c>
      <c r="AI181" s="344" t="s">
        <v>2370</v>
      </c>
      <c r="AJ181" s="344" t="s">
        <v>2370</v>
      </c>
      <c r="AK181" s="344" t="s">
        <v>2370</v>
      </c>
      <c r="AL181" s="344" t="s">
        <v>2370</v>
      </c>
      <c r="AM181" s="344" t="s">
        <v>2370</v>
      </c>
      <c r="AN181" s="344" t="s">
        <v>2370</v>
      </c>
      <c r="AS181" s="344" t="s">
        <v>2033</v>
      </c>
      <c r="AT181" s="344" t="s">
        <v>2033</v>
      </c>
      <c r="AU181" s="344" t="s">
        <v>2033</v>
      </c>
      <c r="AV181" s="344" t="s">
        <v>2033</v>
      </c>
      <c r="AW181" s="344" t="s">
        <v>2033</v>
      </c>
      <c r="AX181" s="344" t="s">
        <v>2033</v>
      </c>
      <c r="AY181" s="344" t="s">
        <v>2033</v>
      </c>
      <c r="AZ181" s="344" t="s">
        <v>2033</v>
      </c>
      <c r="BA181" s="344" t="s">
        <v>2033</v>
      </c>
      <c r="BB181" s="344" t="s">
        <v>2033</v>
      </c>
      <c r="BC181" s="344" t="s">
        <v>2033</v>
      </c>
      <c r="BD181" s="344" t="s">
        <v>2033</v>
      </c>
      <c r="BE181" s="344" t="s">
        <v>2033</v>
      </c>
      <c r="BF181" s="344" t="s">
        <v>2033</v>
      </c>
      <c r="BG181" s="344" t="s">
        <v>2033</v>
      </c>
      <c r="BH181" s="344" t="s">
        <v>2033</v>
      </c>
      <c r="BI181" s="344" t="s">
        <v>2034</v>
      </c>
      <c r="BJ181" s="344" t="s">
        <v>2034</v>
      </c>
      <c r="BK181" s="344" t="s">
        <v>2034</v>
      </c>
      <c r="BL181" s="344" t="s">
        <v>2034</v>
      </c>
      <c r="BM181" s="344" t="s">
        <v>2034</v>
      </c>
      <c r="BN181" s="344" t="s">
        <v>2034</v>
      </c>
      <c r="BO181" s="344" t="s">
        <v>2034</v>
      </c>
      <c r="BP181" s="344" t="s">
        <v>2034</v>
      </c>
      <c r="BQ181" s="344" t="s">
        <v>2034</v>
      </c>
      <c r="BR181" s="344" t="s">
        <v>2034</v>
      </c>
      <c r="BS181" s="344" t="s">
        <v>2034</v>
      </c>
      <c r="BT181" s="344" t="s">
        <v>2034</v>
      </c>
      <c r="BU181" s="344" t="s">
        <v>2034</v>
      </c>
      <c r="BV181" s="344" t="s">
        <v>2034</v>
      </c>
      <c r="BW181" s="344" t="s">
        <v>2034</v>
      </c>
      <c r="BY181" s="344" t="s">
        <v>2361</v>
      </c>
      <c r="BZ181" s="344" t="s">
        <v>2361</v>
      </c>
      <c r="CA181" s="344" t="s">
        <v>2361</v>
      </c>
      <c r="CB181" s="344" t="s">
        <v>2361</v>
      </c>
      <c r="CC181" s="344" t="s">
        <v>2361</v>
      </c>
      <c r="CD181" s="344" t="s">
        <v>2361</v>
      </c>
      <c r="CE181" s="344" t="s">
        <v>2361</v>
      </c>
      <c r="CF181" s="344" t="s">
        <v>2361</v>
      </c>
      <c r="CG181" s="344" t="s">
        <v>2359</v>
      </c>
      <c r="CH181" s="344" t="s">
        <v>2359</v>
      </c>
      <c r="CI181" s="344" t="s">
        <v>2359</v>
      </c>
      <c r="CJ181" s="344" t="s">
        <v>2359</v>
      </c>
      <c r="CK181" s="344" t="s">
        <v>2359</v>
      </c>
      <c r="CL181" s="344" t="s">
        <v>2359</v>
      </c>
      <c r="BMT181" s="344" t="s">
        <v>2361</v>
      </c>
      <c r="BMU181" s="344" t="s">
        <v>2361</v>
      </c>
      <c r="BMV181" s="344" t="s">
        <v>2361</v>
      </c>
      <c r="BMW181" s="344" t="s">
        <v>2361</v>
      </c>
      <c r="BMX181" s="344" t="s">
        <v>2361</v>
      </c>
      <c r="BMY181" s="344" t="s">
        <v>2361</v>
      </c>
      <c r="BMZ181" s="344" t="s">
        <v>2372</v>
      </c>
      <c r="BNA181" s="344" t="s">
        <v>2372</v>
      </c>
      <c r="BNB181" s="344" t="s">
        <v>2372</v>
      </c>
      <c r="BNC181" s="344" t="s">
        <v>2372</v>
      </c>
      <c r="BND181" s="344" t="s">
        <v>2372</v>
      </c>
      <c r="BNE181" s="344" t="s">
        <v>2372</v>
      </c>
      <c r="BNF181" s="344" t="s">
        <v>2362</v>
      </c>
      <c r="BNG181" s="344" t="s">
        <v>2362</v>
      </c>
      <c r="BNH181" s="344" t="s">
        <v>2362</v>
      </c>
      <c r="BNI181" s="344" t="s">
        <v>2362</v>
      </c>
      <c r="BNJ181" s="344" t="s">
        <v>2362</v>
      </c>
      <c r="BNK181" s="344" t="s">
        <v>2362</v>
      </c>
      <c r="BNL181" s="344" t="s">
        <v>2036</v>
      </c>
      <c r="BNM181" s="344" t="s">
        <v>2036</v>
      </c>
      <c r="BNN181" s="344" t="s">
        <v>2036</v>
      </c>
      <c r="BNO181" s="344" t="s">
        <v>2036</v>
      </c>
      <c r="BNP181" s="344" t="s">
        <v>2036</v>
      </c>
      <c r="BNQ181" s="344" t="s">
        <v>2036</v>
      </c>
    </row>
    <row r="182" spans="1:90 1590:1757" s="344" customFormat="1" x14ac:dyDescent="0.25">
      <c r="A182" s="335">
        <v>6</v>
      </c>
      <c r="B182" s="335">
        <v>15</v>
      </c>
      <c r="C182" s="335">
        <v>16</v>
      </c>
      <c r="D182" s="335" t="s">
        <v>2695</v>
      </c>
      <c r="E182" s="336" t="s">
        <v>2435</v>
      </c>
      <c r="F182" s="336" t="s">
        <v>2435</v>
      </c>
      <c r="G182" s="336" t="s">
        <v>2435</v>
      </c>
      <c r="H182" s="336" t="s">
        <v>2435</v>
      </c>
      <c r="I182" s="335">
        <v>8</v>
      </c>
      <c r="J182" s="335">
        <v>0</v>
      </c>
      <c r="K182" s="335">
        <v>0</v>
      </c>
      <c r="L182" s="335">
        <v>0</v>
      </c>
      <c r="M182" s="337">
        <v>396</v>
      </c>
      <c r="N182" s="337" t="s">
        <v>2701</v>
      </c>
      <c r="O182" s="338" t="s">
        <v>1519</v>
      </c>
      <c r="P182" s="338" t="s">
        <v>1497</v>
      </c>
      <c r="Q182" s="339" t="s">
        <v>2338</v>
      </c>
      <c r="R182" s="340">
        <v>410096</v>
      </c>
      <c r="S182" s="341" t="s">
        <v>1176</v>
      </c>
      <c r="T182" s="342">
        <v>123</v>
      </c>
      <c r="U182" s="343" t="s">
        <v>2339</v>
      </c>
      <c r="AH182" s="344" t="s">
        <v>2370</v>
      </c>
      <c r="AI182" s="344" t="s">
        <v>2370</v>
      </c>
      <c r="AJ182" s="344" t="s">
        <v>2370</v>
      </c>
      <c r="AK182" s="344" t="s">
        <v>2370</v>
      </c>
      <c r="AL182" s="344" t="s">
        <v>2370</v>
      </c>
      <c r="AM182" s="344" t="s">
        <v>2370</v>
      </c>
      <c r="AN182" s="344" t="s">
        <v>2370</v>
      </c>
      <c r="AS182" s="344" t="s">
        <v>2033</v>
      </c>
      <c r="AT182" s="344" t="s">
        <v>2033</v>
      </c>
      <c r="AU182" s="344" t="s">
        <v>2033</v>
      </c>
      <c r="AV182" s="344" t="s">
        <v>2033</v>
      </c>
      <c r="AW182" s="344" t="s">
        <v>2033</v>
      </c>
      <c r="AX182" s="344" t="s">
        <v>2033</v>
      </c>
      <c r="AY182" s="344" t="s">
        <v>2033</v>
      </c>
      <c r="AZ182" s="344" t="s">
        <v>2033</v>
      </c>
      <c r="BA182" s="344" t="s">
        <v>2033</v>
      </c>
      <c r="BB182" s="344" t="s">
        <v>2033</v>
      </c>
      <c r="BC182" s="344" t="s">
        <v>2033</v>
      </c>
      <c r="BD182" s="344" t="s">
        <v>2033</v>
      </c>
      <c r="BE182" s="344" t="s">
        <v>2033</v>
      </c>
      <c r="BF182" s="344" t="s">
        <v>2033</v>
      </c>
      <c r="BG182" s="344" t="s">
        <v>2033</v>
      </c>
      <c r="BH182" s="344" t="s">
        <v>2033</v>
      </c>
      <c r="BI182" s="344" t="s">
        <v>2034</v>
      </c>
      <c r="BJ182" s="344" t="s">
        <v>2034</v>
      </c>
      <c r="BK182" s="344" t="s">
        <v>2034</v>
      </c>
      <c r="BL182" s="344" t="s">
        <v>2034</v>
      </c>
      <c r="BM182" s="344" t="s">
        <v>2034</v>
      </c>
      <c r="BN182" s="344" t="s">
        <v>2034</v>
      </c>
      <c r="BO182" s="344" t="s">
        <v>2034</v>
      </c>
      <c r="BP182" s="344" t="s">
        <v>2034</v>
      </c>
      <c r="BQ182" s="344" t="s">
        <v>2034</v>
      </c>
      <c r="BR182" s="344" t="s">
        <v>2034</v>
      </c>
      <c r="BS182" s="344" t="s">
        <v>2034</v>
      </c>
      <c r="BT182" s="344" t="s">
        <v>2034</v>
      </c>
      <c r="BU182" s="344" t="s">
        <v>2034</v>
      </c>
      <c r="BV182" s="344" t="s">
        <v>2034</v>
      </c>
      <c r="BW182" s="344" t="s">
        <v>2034</v>
      </c>
      <c r="BY182" s="344" t="s">
        <v>2361</v>
      </c>
      <c r="BZ182" s="344" t="s">
        <v>2361</v>
      </c>
      <c r="CA182" s="344" t="s">
        <v>2361</v>
      </c>
      <c r="CB182" s="344" t="s">
        <v>2361</v>
      </c>
      <c r="CC182" s="344" t="s">
        <v>2361</v>
      </c>
      <c r="CD182" s="344" t="s">
        <v>2361</v>
      </c>
      <c r="CE182" s="344" t="s">
        <v>2361</v>
      </c>
      <c r="CF182" s="344" t="s">
        <v>2361</v>
      </c>
      <c r="CG182" s="344" t="s">
        <v>2359</v>
      </c>
      <c r="CH182" s="344" t="s">
        <v>2359</v>
      </c>
      <c r="CI182" s="344" t="s">
        <v>2359</v>
      </c>
      <c r="CJ182" s="344" t="s">
        <v>2359</v>
      </c>
      <c r="CK182" s="344" t="s">
        <v>2359</v>
      </c>
      <c r="CL182" s="344" t="s">
        <v>2359</v>
      </c>
      <c r="BNR182" s="344" t="s">
        <v>2361</v>
      </c>
      <c r="BNS182" s="344" t="s">
        <v>2361</v>
      </c>
      <c r="BNT182" s="344" t="s">
        <v>2361</v>
      </c>
      <c r="BNU182" s="344" t="s">
        <v>2361</v>
      </c>
      <c r="BNV182" s="344" t="s">
        <v>2361</v>
      </c>
      <c r="BNW182" s="344" t="s">
        <v>2361</v>
      </c>
      <c r="BNX182" s="344" t="s">
        <v>2372</v>
      </c>
      <c r="BNY182" s="344" t="s">
        <v>2372</v>
      </c>
      <c r="BNZ182" s="344" t="s">
        <v>2372</v>
      </c>
      <c r="BOA182" s="344" t="s">
        <v>2372</v>
      </c>
      <c r="BOB182" s="344" t="s">
        <v>2372</v>
      </c>
      <c r="BOC182" s="344" t="s">
        <v>2372</v>
      </c>
      <c r="BOD182" s="344" t="s">
        <v>2362</v>
      </c>
      <c r="BOE182" s="344" t="s">
        <v>2362</v>
      </c>
      <c r="BOF182" s="344" t="s">
        <v>2362</v>
      </c>
      <c r="BOG182" s="344" t="s">
        <v>2362</v>
      </c>
      <c r="BOH182" s="344" t="s">
        <v>2362</v>
      </c>
      <c r="BOI182" s="344" t="s">
        <v>2362</v>
      </c>
      <c r="BOJ182" s="344" t="s">
        <v>2036</v>
      </c>
      <c r="BOK182" s="344" t="s">
        <v>2036</v>
      </c>
      <c r="BOL182" s="344" t="s">
        <v>2036</v>
      </c>
      <c r="BOM182" s="344" t="s">
        <v>2036</v>
      </c>
      <c r="BON182" s="344" t="s">
        <v>2036</v>
      </c>
      <c r="BOO182" s="344" t="s">
        <v>2036</v>
      </c>
    </row>
    <row r="183" spans="1:90 1590:1757" s="324" customFormat="1" ht="18.75" customHeight="1" x14ac:dyDescent="0.25">
      <c r="A183" s="315">
        <v>6</v>
      </c>
      <c r="B183" s="315">
        <v>15</v>
      </c>
      <c r="C183" s="315">
        <v>16</v>
      </c>
      <c r="D183" s="315" t="s">
        <v>2695</v>
      </c>
      <c r="E183" s="316" t="s">
        <v>2716</v>
      </c>
      <c r="F183" s="316" t="s">
        <v>2435</v>
      </c>
      <c r="G183" s="316" t="s">
        <v>2435</v>
      </c>
      <c r="H183" s="316" t="s">
        <v>2435</v>
      </c>
      <c r="I183" s="315">
        <v>8</v>
      </c>
      <c r="J183" s="315">
        <v>0</v>
      </c>
      <c r="K183" s="315">
        <v>0</v>
      </c>
      <c r="L183" s="315">
        <v>0</v>
      </c>
      <c r="M183" s="317">
        <v>396</v>
      </c>
      <c r="N183" s="317" t="s">
        <v>2720</v>
      </c>
      <c r="O183" s="318" t="s">
        <v>1519</v>
      </c>
      <c r="P183" s="318" t="s">
        <v>1497</v>
      </c>
      <c r="Q183" s="319" t="s">
        <v>2338</v>
      </c>
      <c r="R183" s="320">
        <v>455096</v>
      </c>
      <c r="S183" s="321" t="s">
        <v>1176</v>
      </c>
      <c r="T183" s="322">
        <v>123</v>
      </c>
      <c r="U183" s="323" t="s">
        <v>2339</v>
      </c>
      <c r="AH183" s="324" t="s">
        <v>2373</v>
      </c>
      <c r="AI183" s="324" t="s">
        <v>2370</v>
      </c>
      <c r="AJ183" s="324" t="s">
        <v>2370</v>
      </c>
      <c r="AK183" s="324" t="s">
        <v>2370</v>
      </c>
      <c r="AL183" s="324" t="s">
        <v>2370</v>
      </c>
      <c r="AM183" s="324" t="s">
        <v>2370</v>
      </c>
      <c r="AN183" s="324" t="s">
        <v>2370</v>
      </c>
      <c r="AS183" s="324" t="s">
        <v>2033</v>
      </c>
      <c r="AT183" s="324" t="s">
        <v>2033</v>
      </c>
      <c r="AU183" s="324" t="s">
        <v>2033</v>
      </c>
      <c r="AV183" s="324" t="s">
        <v>2033</v>
      </c>
      <c r="AW183" s="324" t="s">
        <v>2033</v>
      </c>
      <c r="AX183" s="324" t="s">
        <v>2033</v>
      </c>
      <c r="AY183" s="324" t="s">
        <v>2033</v>
      </c>
      <c r="AZ183" s="324" t="s">
        <v>2033</v>
      </c>
      <c r="BA183" s="324" t="s">
        <v>2033</v>
      </c>
      <c r="BB183" s="324" t="s">
        <v>2033</v>
      </c>
      <c r="BC183" s="324" t="s">
        <v>2033</v>
      </c>
      <c r="BD183" s="324" t="s">
        <v>2033</v>
      </c>
      <c r="BE183" s="324" t="s">
        <v>2033</v>
      </c>
      <c r="BF183" s="324" t="s">
        <v>2033</v>
      </c>
      <c r="BG183" s="324" t="s">
        <v>2033</v>
      </c>
      <c r="BH183" s="324" t="s">
        <v>2033</v>
      </c>
      <c r="BI183" s="324" t="s">
        <v>2034</v>
      </c>
      <c r="BJ183" s="324" t="s">
        <v>2034</v>
      </c>
      <c r="BK183" s="324" t="s">
        <v>2034</v>
      </c>
      <c r="BL183" s="324" t="s">
        <v>2034</v>
      </c>
      <c r="BM183" s="324" t="s">
        <v>2034</v>
      </c>
      <c r="BN183" s="324" t="s">
        <v>2034</v>
      </c>
      <c r="BO183" s="324" t="s">
        <v>2034</v>
      </c>
      <c r="BP183" s="324" t="s">
        <v>2034</v>
      </c>
      <c r="BQ183" s="324" t="s">
        <v>2034</v>
      </c>
      <c r="BR183" s="324" t="s">
        <v>2034</v>
      </c>
      <c r="BS183" s="324" t="s">
        <v>2034</v>
      </c>
      <c r="BT183" s="324" t="s">
        <v>2034</v>
      </c>
      <c r="BU183" s="324" t="s">
        <v>2034</v>
      </c>
      <c r="BV183" s="324" t="s">
        <v>2034</v>
      </c>
      <c r="BW183" s="324" t="s">
        <v>2034</v>
      </c>
      <c r="BY183" s="324" t="s">
        <v>2361</v>
      </c>
      <c r="BZ183" s="324" t="s">
        <v>2361</v>
      </c>
      <c r="CA183" s="324" t="s">
        <v>2361</v>
      </c>
      <c r="CB183" s="324" t="s">
        <v>2361</v>
      </c>
      <c r="CC183" s="324" t="s">
        <v>2361</v>
      </c>
      <c r="CD183" s="324" t="s">
        <v>2361</v>
      </c>
      <c r="CE183" s="324" t="s">
        <v>2361</v>
      </c>
      <c r="CF183" s="324" t="s">
        <v>2361</v>
      </c>
      <c r="CG183" s="324" t="s">
        <v>2359</v>
      </c>
      <c r="CH183" s="324" t="s">
        <v>2359</v>
      </c>
      <c r="CI183" s="324" t="s">
        <v>2359</v>
      </c>
      <c r="CJ183" s="324" t="s">
        <v>2359</v>
      </c>
      <c r="CK183" s="324" t="s">
        <v>2359</v>
      </c>
      <c r="CL183" s="324" t="s">
        <v>2359</v>
      </c>
      <c r="BNR183" s="324" t="s">
        <v>2361</v>
      </c>
      <c r="BNS183" s="324" t="s">
        <v>2361</v>
      </c>
      <c r="BNT183" s="324" t="s">
        <v>2361</v>
      </c>
      <c r="BNU183" s="324" t="s">
        <v>2361</v>
      </c>
      <c r="BNV183" s="324" t="s">
        <v>2361</v>
      </c>
      <c r="BNW183" s="324" t="s">
        <v>2361</v>
      </c>
      <c r="BNX183" s="324" t="s">
        <v>2372</v>
      </c>
      <c r="BNY183" s="324" t="s">
        <v>2372</v>
      </c>
      <c r="BNZ183" s="324" t="s">
        <v>2372</v>
      </c>
      <c r="BOA183" s="324" t="s">
        <v>2372</v>
      </c>
      <c r="BOB183" s="324" t="s">
        <v>2372</v>
      </c>
      <c r="BOC183" s="324" t="s">
        <v>2372</v>
      </c>
      <c r="BOD183" s="324" t="s">
        <v>2362</v>
      </c>
      <c r="BOE183" s="324" t="s">
        <v>2362</v>
      </c>
      <c r="BOF183" s="324" t="s">
        <v>2362</v>
      </c>
      <c r="BOG183" s="324" t="s">
        <v>2362</v>
      </c>
      <c r="BOH183" s="324" t="s">
        <v>2362</v>
      </c>
      <c r="BOI183" s="324" t="s">
        <v>2362</v>
      </c>
      <c r="BOJ183" s="324" t="s">
        <v>2036</v>
      </c>
      <c r="BOK183" s="324" t="s">
        <v>2036</v>
      </c>
      <c r="BOL183" s="324" t="s">
        <v>2036</v>
      </c>
      <c r="BOM183" s="324" t="s">
        <v>2036</v>
      </c>
      <c r="BON183" s="324" t="s">
        <v>2036</v>
      </c>
      <c r="BOO183" s="324" t="s">
        <v>2036</v>
      </c>
    </row>
    <row r="184" spans="1:90 1590:1757" s="324" customFormat="1" ht="18.75" customHeight="1" x14ac:dyDescent="0.25">
      <c r="A184" s="315">
        <v>6</v>
      </c>
      <c r="B184" s="315">
        <v>15</v>
      </c>
      <c r="C184" s="315">
        <v>16</v>
      </c>
      <c r="D184" s="315" t="s">
        <v>2695</v>
      </c>
      <c r="E184" s="316" t="s">
        <v>2727</v>
      </c>
      <c r="F184" s="316" t="s">
        <v>2435</v>
      </c>
      <c r="G184" s="316" t="s">
        <v>2435</v>
      </c>
      <c r="H184" s="316" t="s">
        <v>2435</v>
      </c>
      <c r="I184" s="315">
        <v>8</v>
      </c>
      <c r="J184" s="315">
        <v>0</v>
      </c>
      <c r="K184" s="315">
        <v>0</v>
      </c>
      <c r="L184" s="315">
        <v>0</v>
      </c>
      <c r="M184" s="317">
        <v>396</v>
      </c>
      <c r="N184" s="317" t="s">
        <v>2718</v>
      </c>
      <c r="O184" s="318" t="s">
        <v>1519</v>
      </c>
      <c r="P184" s="318" t="s">
        <v>1497</v>
      </c>
      <c r="Q184" s="319" t="s">
        <v>2338</v>
      </c>
      <c r="R184" s="320">
        <v>460096</v>
      </c>
      <c r="S184" s="321" t="s">
        <v>1176</v>
      </c>
      <c r="T184" s="322">
        <v>123</v>
      </c>
      <c r="U184" s="323" t="s">
        <v>2339</v>
      </c>
      <c r="AH184" s="324" t="s">
        <v>2373</v>
      </c>
      <c r="AI184" s="324" t="s">
        <v>2370</v>
      </c>
      <c r="AJ184" s="324" t="s">
        <v>2370</v>
      </c>
      <c r="AK184" s="324" t="s">
        <v>2370</v>
      </c>
      <c r="AL184" s="324" t="s">
        <v>2370</v>
      </c>
      <c r="AM184" s="324" t="s">
        <v>2370</v>
      </c>
      <c r="AN184" s="324" t="s">
        <v>2370</v>
      </c>
      <c r="AS184" s="324" t="s">
        <v>2033</v>
      </c>
      <c r="AT184" s="324" t="s">
        <v>2033</v>
      </c>
      <c r="AU184" s="324" t="s">
        <v>2033</v>
      </c>
      <c r="AV184" s="324" t="s">
        <v>2033</v>
      </c>
      <c r="AW184" s="324" t="s">
        <v>2033</v>
      </c>
      <c r="AX184" s="324" t="s">
        <v>2033</v>
      </c>
      <c r="AY184" s="324" t="s">
        <v>2033</v>
      </c>
      <c r="AZ184" s="324" t="s">
        <v>2033</v>
      </c>
      <c r="BA184" s="324" t="s">
        <v>2033</v>
      </c>
      <c r="BB184" s="324" t="s">
        <v>2033</v>
      </c>
      <c r="BC184" s="324" t="s">
        <v>2033</v>
      </c>
      <c r="BD184" s="324" t="s">
        <v>2033</v>
      </c>
      <c r="BE184" s="324" t="s">
        <v>2033</v>
      </c>
      <c r="BF184" s="324" t="s">
        <v>2033</v>
      </c>
      <c r="BG184" s="324" t="s">
        <v>2033</v>
      </c>
      <c r="BH184" s="324" t="s">
        <v>2033</v>
      </c>
      <c r="BI184" s="324" t="s">
        <v>2034</v>
      </c>
      <c r="BJ184" s="324" t="s">
        <v>2034</v>
      </c>
      <c r="BK184" s="324" t="s">
        <v>2034</v>
      </c>
      <c r="BL184" s="324" t="s">
        <v>2034</v>
      </c>
      <c r="BM184" s="324" t="s">
        <v>2034</v>
      </c>
      <c r="BN184" s="324" t="s">
        <v>2034</v>
      </c>
      <c r="BO184" s="324" t="s">
        <v>2034</v>
      </c>
      <c r="BP184" s="324" t="s">
        <v>2034</v>
      </c>
      <c r="BQ184" s="324" t="s">
        <v>2034</v>
      </c>
      <c r="BR184" s="324" t="s">
        <v>2034</v>
      </c>
      <c r="BS184" s="324" t="s">
        <v>2034</v>
      </c>
      <c r="BT184" s="324" t="s">
        <v>2034</v>
      </c>
      <c r="BU184" s="324" t="s">
        <v>2034</v>
      </c>
      <c r="BV184" s="324" t="s">
        <v>2034</v>
      </c>
      <c r="BW184" s="324" t="s">
        <v>2034</v>
      </c>
      <c r="BY184" s="324" t="s">
        <v>2361</v>
      </c>
      <c r="BZ184" s="324" t="s">
        <v>2361</v>
      </c>
      <c r="CA184" s="324" t="s">
        <v>2361</v>
      </c>
      <c r="CB184" s="324" t="s">
        <v>2361</v>
      </c>
      <c r="CC184" s="324" t="s">
        <v>2361</v>
      </c>
      <c r="CD184" s="324" t="s">
        <v>2361</v>
      </c>
      <c r="CE184" s="324" t="s">
        <v>2361</v>
      </c>
      <c r="CF184" s="324" t="s">
        <v>2361</v>
      </c>
      <c r="CG184" s="324" t="s">
        <v>2359</v>
      </c>
      <c r="CH184" s="324" t="s">
        <v>2359</v>
      </c>
      <c r="CI184" s="324" t="s">
        <v>2359</v>
      </c>
      <c r="CJ184" s="324" t="s">
        <v>2359</v>
      </c>
      <c r="CK184" s="324" t="s">
        <v>2359</v>
      </c>
      <c r="CL184" s="324" t="s">
        <v>2359</v>
      </c>
      <c r="BNR184" s="324" t="s">
        <v>2361</v>
      </c>
      <c r="BNS184" s="324" t="s">
        <v>2361</v>
      </c>
      <c r="BNT184" s="324" t="s">
        <v>2361</v>
      </c>
      <c r="BNU184" s="324" t="s">
        <v>2361</v>
      </c>
      <c r="BNV184" s="324" t="s">
        <v>2361</v>
      </c>
      <c r="BNW184" s="324" t="s">
        <v>2361</v>
      </c>
      <c r="BNX184" s="324" t="s">
        <v>2372</v>
      </c>
      <c r="BNY184" s="324" t="s">
        <v>2372</v>
      </c>
      <c r="BNZ184" s="324" t="s">
        <v>2372</v>
      </c>
      <c r="BOA184" s="324" t="s">
        <v>2372</v>
      </c>
      <c r="BOB184" s="324" t="s">
        <v>2372</v>
      </c>
      <c r="BOC184" s="324" t="s">
        <v>2372</v>
      </c>
      <c r="BOD184" s="324" t="s">
        <v>2362</v>
      </c>
      <c r="BOE184" s="324" t="s">
        <v>2362</v>
      </c>
      <c r="BOF184" s="324" t="s">
        <v>2362</v>
      </c>
      <c r="BOG184" s="324" t="s">
        <v>2362</v>
      </c>
      <c r="BOH184" s="324" t="s">
        <v>2362</v>
      </c>
      <c r="BOI184" s="324" t="s">
        <v>2362</v>
      </c>
      <c r="BOJ184" s="324" t="s">
        <v>2036</v>
      </c>
      <c r="BOK184" s="324" t="s">
        <v>2036</v>
      </c>
      <c r="BOL184" s="324" t="s">
        <v>2036</v>
      </c>
      <c r="BOM184" s="324" t="s">
        <v>2036</v>
      </c>
      <c r="BON184" s="324" t="s">
        <v>2036</v>
      </c>
      <c r="BOO184" s="324" t="s">
        <v>2036</v>
      </c>
    </row>
    <row r="185" spans="1:90 1590:1757" s="324" customFormat="1" ht="18.75" customHeight="1" x14ac:dyDescent="0.25">
      <c r="A185" s="315">
        <v>6</v>
      </c>
      <c r="B185" s="315">
        <v>15</v>
      </c>
      <c r="C185" s="315">
        <v>16</v>
      </c>
      <c r="D185" s="315" t="s">
        <v>2695</v>
      </c>
      <c r="E185" s="316" t="s">
        <v>2717</v>
      </c>
      <c r="F185" s="316" t="s">
        <v>2435</v>
      </c>
      <c r="G185" s="316" t="s">
        <v>2435</v>
      </c>
      <c r="H185" s="316" t="s">
        <v>2435</v>
      </c>
      <c r="I185" s="315">
        <v>8</v>
      </c>
      <c r="J185" s="315">
        <v>0</v>
      </c>
      <c r="K185" s="315">
        <v>0</v>
      </c>
      <c r="L185" s="315">
        <v>0</v>
      </c>
      <c r="M185" s="317">
        <v>396</v>
      </c>
      <c r="N185" s="317" t="s">
        <v>2721</v>
      </c>
      <c r="O185" s="318" t="s">
        <v>1519</v>
      </c>
      <c r="P185" s="318" t="s">
        <v>1497</v>
      </c>
      <c r="Q185" s="319" t="s">
        <v>2338</v>
      </c>
      <c r="R185" s="320">
        <v>500096</v>
      </c>
      <c r="S185" s="321" t="s">
        <v>1176</v>
      </c>
      <c r="T185" s="322">
        <v>123</v>
      </c>
      <c r="U185" s="323" t="s">
        <v>2339</v>
      </c>
      <c r="AH185" s="324" t="s">
        <v>2373</v>
      </c>
      <c r="AI185" s="324" t="s">
        <v>2373</v>
      </c>
      <c r="AJ185" s="324" t="s">
        <v>2370</v>
      </c>
      <c r="AK185" s="324" t="s">
        <v>2370</v>
      </c>
      <c r="AL185" s="324" t="s">
        <v>2370</v>
      </c>
      <c r="AM185" s="324" t="s">
        <v>2370</v>
      </c>
      <c r="AN185" s="324" t="s">
        <v>2370</v>
      </c>
      <c r="AS185" s="324" t="s">
        <v>2033</v>
      </c>
      <c r="AT185" s="324" t="s">
        <v>2033</v>
      </c>
      <c r="AU185" s="324" t="s">
        <v>2033</v>
      </c>
      <c r="AV185" s="324" t="s">
        <v>2033</v>
      </c>
      <c r="AW185" s="324" t="s">
        <v>2033</v>
      </c>
      <c r="AX185" s="324" t="s">
        <v>2033</v>
      </c>
      <c r="AY185" s="324" t="s">
        <v>2033</v>
      </c>
      <c r="AZ185" s="324" t="s">
        <v>2033</v>
      </c>
      <c r="BA185" s="324" t="s">
        <v>2033</v>
      </c>
      <c r="BB185" s="324" t="s">
        <v>2033</v>
      </c>
      <c r="BC185" s="324" t="s">
        <v>2033</v>
      </c>
      <c r="BD185" s="324" t="s">
        <v>2033</v>
      </c>
      <c r="BE185" s="324" t="s">
        <v>2033</v>
      </c>
      <c r="BF185" s="324" t="s">
        <v>2033</v>
      </c>
      <c r="BG185" s="324" t="s">
        <v>2033</v>
      </c>
      <c r="BH185" s="324" t="s">
        <v>2033</v>
      </c>
      <c r="BI185" s="324" t="s">
        <v>2034</v>
      </c>
      <c r="BJ185" s="324" t="s">
        <v>2034</v>
      </c>
      <c r="BK185" s="324" t="s">
        <v>2034</v>
      </c>
      <c r="BL185" s="324" t="s">
        <v>2034</v>
      </c>
      <c r="BM185" s="324" t="s">
        <v>2034</v>
      </c>
      <c r="BN185" s="324" t="s">
        <v>2034</v>
      </c>
      <c r="BO185" s="324" t="s">
        <v>2034</v>
      </c>
      <c r="BP185" s="324" t="s">
        <v>2034</v>
      </c>
      <c r="BQ185" s="324" t="s">
        <v>2034</v>
      </c>
      <c r="BR185" s="324" t="s">
        <v>2034</v>
      </c>
      <c r="BS185" s="324" t="s">
        <v>2034</v>
      </c>
      <c r="BT185" s="324" t="s">
        <v>2034</v>
      </c>
      <c r="BU185" s="324" t="s">
        <v>2034</v>
      </c>
      <c r="BV185" s="324" t="s">
        <v>2034</v>
      </c>
      <c r="BW185" s="324" t="s">
        <v>2034</v>
      </c>
      <c r="BY185" s="324" t="s">
        <v>2361</v>
      </c>
      <c r="BZ185" s="324" t="s">
        <v>2361</v>
      </c>
      <c r="CA185" s="324" t="s">
        <v>2361</v>
      </c>
      <c r="CB185" s="324" t="s">
        <v>2361</v>
      </c>
      <c r="CC185" s="324" t="s">
        <v>2361</v>
      </c>
      <c r="CD185" s="324" t="s">
        <v>2361</v>
      </c>
      <c r="CE185" s="324" t="s">
        <v>2361</v>
      </c>
      <c r="CF185" s="324" t="s">
        <v>2361</v>
      </c>
      <c r="CG185" s="324" t="s">
        <v>2359</v>
      </c>
      <c r="CH185" s="324" t="s">
        <v>2359</v>
      </c>
      <c r="CI185" s="324" t="s">
        <v>2359</v>
      </c>
      <c r="CJ185" s="324" t="s">
        <v>2359</v>
      </c>
      <c r="CK185" s="324" t="s">
        <v>2359</v>
      </c>
      <c r="CL185" s="324" t="s">
        <v>2359</v>
      </c>
      <c r="BNR185" s="324" t="s">
        <v>2361</v>
      </c>
      <c r="BNS185" s="324" t="s">
        <v>2361</v>
      </c>
      <c r="BNT185" s="324" t="s">
        <v>2361</v>
      </c>
      <c r="BNU185" s="324" t="s">
        <v>2361</v>
      </c>
      <c r="BNV185" s="324" t="s">
        <v>2361</v>
      </c>
      <c r="BNW185" s="324" t="s">
        <v>2361</v>
      </c>
      <c r="BNX185" s="324" t="s">
        <v>2372</v>
      </c>
      <c r="BNY185" s="324" t="s">
        <v>2372</v>
      </c>
      <c r="BNZ185" s="324" t="s">
        <v>2372</v>
      </c>
      <c r="BOA185" s="324" t="s">
        <v>2372</v>
      </c>
      <c r="BOB185" s="324" t="s">
        <v>2372</v>
      </c>
      <c r="BOC185" s="324" t="s">
        <v>2372</v>
      </c>
      <c r="BOD185" s="324" t="s">
        <v>2362</v>
      </c>
      <c r="BOE185" s="324" t="s">
        <v>2362</v>
      </c>
      <c r="BOF185" s="324" t="s">
        <v>2362</v>
      </c>
      <c r="BOG185" s="324" t="s">
        <v>2362</v>
      </c>
      <c r="BOH185" s="324" t="s">
        <v>2362</v>
      </c>
      <c r="BOI185" s="324" t="s">
        <v>2362</v>
      </c>
      <c r="BOJ185" s="324" t="s">
        <v>2036</v>
      </c>
      <c r="BOK185" s="324" t="s">
        <v>2036</v>
      </c>
      <c r="BOL185" s="324" t="s">
        <v>2036</v>
      </c>
      <c r="BOM185" s="324" t="s">
        <v>2036</v>
      </c>
      <c r="BON185" s="324" t="s">
        <v>2036</v>
      </c>
      <c r="BOO185" s="324" t="s">
        <v>2036</v>
      </c>
    </row>
    <row r="186" spans="1:90 1590:1757" s="324" customFormat="1" ht="18.75" customHeight="1" x14ac:dyDescent="0.25">
      <c r="A186" s="315">
        <v>6</v>
      </c>
      <c r="B186" s="315">
        <v>15</v>
      </c>
      <c r="C186" s="315">
        <v>16</v>
      </c>
      <c r="D186" s="315" t="s">
        <v>2695</v>
      </c>
      <c r="E186" s="316" t="s">
        <v>2726</v>
      </c>
      <c r="F186" s="316" t="s">
        <v>2435</v>
      </c>
      <c r="G186" s="316" t="s">
        <v>2435</v>
      </c>
      <c r="H186" s="316" t="s">
        <v>2435</v>
      </c>
      <c r="I186" s="315">
        <v>8</v>
      </c>
      <c r="J186" s="315">
        <v>0</v>
      </c>
      <c r="K186" s="315">
        <v>0</v>
      </c>
      <c r="L186" s="315">
        <v>0</v>
      </c>
      <c r="M186" s="317">
        <v>396</v>
      </c>
      <c r="N186" s="317" t="s">
        <v>2719</v>
      </c>
      <c r="O186" s="318" t="s">
        <v>1519</v>
      </c>
      <c r="P186" s="318" t="s">
        <v>1497</v>
      </c>
      <c r="Q186" s="319" t="s">
        <v>2338</v>
      </c>
      <c r="R186" s="320">
        <v>510096</v>
      </c>
      <c r="S186" s="321" t="s">
        <v>1176</v>
      </c>
      <c r="T186" s="322">
        <v>123</v>
      </c>
      <c r="U186" s="323" t="s">
        <v>2339</v>
      </c>
      <c r="AH186" s="324" t="s">
        <v>2373</v>
      </c>
      <c r="AI186" s="324" t="s">
        <v>2373</v>
      </c>
      <c r="AJ186" s="324" t="s">
        <v>2370</v>
      </c>
      <c r="AK186" s="324" t="s">
        <v>2370</v>
      </c>
      <c r="AL186" s="324" t="s">
        <v>2370</v>
      </c>
      <c r="AM186" s="324" t="s">
        <v>2370</v>
      </c>
      <c r="AN186" s="324" t="s">
        <v>2370</v>
      </c>
      <c r="AS186" s="324" t="s">
        <v>2033</v>
      </c>
      <c r="AT186" s="324" t="s">
        <v>2033</v>
      </c>
      <c r="AU186" s="324" t="s">
        <v>2033</v>
      </c>
      <c r="AV186" s="324" t="s">
        <v>2033</v>
      </c>
      <c r="AW186" s="324" t="s">
        <v>2033</v>
      </c>
      <c r="AX186" s="324" t="s">
        <v>2033</v>
      </c>
      <c r="AY186" s="324" t="s">
        <v>2033</v>
      </c>
      <c r="AZ186" s="324" t="s">
        <v>2033</v>
      </c>
      <c r="BA186" s="324" t="s">
        <v>2033</v>
      </c>
      <c r="BB186" s="324" t="s">
        <v>2033</v>
      </c>
      <c r="BC186" s="324" t="s">
        <v>2033</v>
      </c>
      <c r="BD186" s="324" t="s">
        <v>2033</v>
      </c>
      <c r="BE186" s="324" t="s">
        <v>2033</v>
      </c>
      <c r="BF186" s="324" t="s">
        <v>2033</v>
      </c>
      <c r="BG186" s="324" t="s">
        <v>2033</v>
      </c>
      <c r="BH186" s="324" t="s">
        <v>2033</v>
      </c>
      <c r="BI186" s="324" t="s">
        <v>2034</v>
      </c>
      <c r="BJ186" s="324" t="s">
        <v>2034</v>
      </c>
      <c r="BK186" s="324" t="s">
        <v>2034</v>
      </c>
      <c r="BL186" s="324" t="s">
        <v>2034</v>
      </c>
      <c r="BM186" s="324" t="s">
        <v>2034</v>
      </c>
      <c r="BN186" s="324" t="s">
        <v>2034</v>
      </c>
      <c r="BO186" s="324" t="s">
        <v>2034</v>
      </c>
      <c r="BP186" s="324" t="s">
        <v>2034</v>
      </c>
      <c r="BQ186" s="324" t="s">
        <v>2034</v>
      </c>
      <c r="BR186" s="324" t="s">
        <v>2034</v>
      </c>
      <c r="BS186" s="324" t="s">
        <v>2034</v>
      </c>
      <c r="BT186" s="324" t="s">
        <v>2034</v>
      </c>
      <c r="BU186" s="324" t="s">
        <v>2034</v>
      </c>
      <c r="BV186" s="324" t="s">
        <v>2034</v>
      </c>
      <c r="BW186" s="324" t="s">
        <v>2034</v>
      </c>
      <c r="BY186" s="324" t="s">
        <v>2361</v>
      </c>
      <c r="BZ186" s="324" t="s">
        <v>2361</v>
      </c>
      <c r="CA186" s="324" t="s">
        <v>2361</v>
      </c>
      <c r="CB186" s="324" t="s">
        <v>2361</v>
      </c>
      <c r="CC186" s="324" t="s">
        <v>2361</v>
      </c>
      <c r="CD186" s="324" t="s">
        <v>2361</v>
      </c>
      <c r="CE186" s="324" t="s">
        <v>2361</v>
      </c>
      <c r="CF186" s="324" t="s">
        <v>2361</v>
      </c>
      <c r="CG186" s="324" t="s">
        <v>2359</v>
      </c>
      <c r="CH186" s="324" t="s">
        <v>2359</v>
      </c>
      <c r="CI186" s="324" t="s">
        <v>2359</v>
      </c>
      <c r="CJ186" s="324" t="s">
        <v>2359</v>
      </c>
      <c r="CK186" s="324" t="s">
        <v>2359</v>
      </c>
      <c r="CL186" s="324" t="s">
        <v>2359</v>
      </c>
      <c r="BNR186" s="324" t="s">
        <v>2361</v>
      </c>
      <c r="BNS186" s="324" t="s">
        <v>2361</v>
      </c>
      <c r="BNT186" s="324" t="s">
        <v>2361</v>
      </c>
      <c r="BNU186" s="324" t="s">
        <v>2361</v>
      </c>
      <c r="BNV186" s="324" t="s">
        <v>2361</v>
      </c>
      <c r="BNW186" s="324" t="s">
        <v>2361</v>
      </c>
      <c r="BNX186" s="324" t="s">
        <v>2372</v>
      </c>
      <c r="BNY186" s="324" t="s">
        <v>2372</v>
      </c>
      <c r="BNZ186" s="324" t="s">
        <v>2372</v>
      </c>
      <c r="BOA186" s="324" t="s">
        <v>2372</v>
      </c>
      <c r="BOB186" s="324" t="s">
        <v>2372</v>
      </c>
      <c r="BOC186" s="324" t="s">
        <v>2372</v>
      </c>
      <c r="BOD186" s="324" t="s">
        <v>2362</v>
      </c>
      <c r="BOE186" s="324" t="s">
        <v>2362</v>
      </c>
      <c r="BOF186" s="324" t="s">
        <v>2362</v>
      </c>
      <c r="BOG186" s="324" t="s">
        <v>2362</v>
      </c>
      <c r="BOH186" s="324" t="s">
        <v>2362</v>
      </c>
      <c r="BOI186" s="324" t="s">
        <v>2362</v>
      </c>
      <c r="BOJ186" s="324" t="s">
        <v>2036</v>
      </c>
      <c r="BOK186" s="324" t="s">
        <v>2036</v>
      </c>
      <c r="BOL186" s="324" t="s">
        <v>2036</v>
      </c>
      <c r="BOM186" s="324" t="s">
        <v>2036</v>
      </c>
      <c r="BON186" s="324" t="s">
        <v>2036</v>
      </c>
      <c r="BOO186" s="324" t="s">
        <v>2036</v>
      </c>
    </row>
    <row r="187" spans="1:90 1590:1757" s="334" customFormat="1" x14ac:dyDescent="0.25">
      <c r="A187" s="325">
        <v>6</v>
      </c>
      <c r="B187" s="325">
        <v>15</v>
      </c>
      <c r="C187" s="325">
        <v>16</v>
      </c>
      <c r="D187" s="325" t="s">
        <v>2702</v>
      </c>
      <c r="E187" s="326" t="s">
        <v>2435</v>
      </c>
      <c r="F187" s="326" t="s">
        <v>2435</v>
      </c>
      <c r="G187" s="326" t="s">
        <v>2435</v>
      </c>
      <c r="H187" s="326" t="s">
        <v>2435</v>
      </c>
      <c r="I187" s="325">
        <v>8</v>
      </c>
      <c r="J187" s="325">
        <v>0</v>
      </c>
      <c r="K187" s="325">
        <v>0</v>
      </c>
      <c r="L187" s="325">
        <v>0</v>
      </c>
      <c r="M187" s="327">
        <v>112</v>
      </c>
      <c r="N187" s="327" t="s">
        <v>2715</v>
      </c>
      <c r="O187" s="328" t="s">
        <v>1519</v>
      </c>
      <c r="P187" s="328" t="s">
        <v>1497</v>
      </c>
      <c r="Q187" s="329" t="s">
        <v>2327</v>
      </c>
      <c r="R187" s="330">
        <v>224682</v>
      </c>
      <c r="S187" s="331" t="s">
        <v>1002</v>
      </c>
      <c r="T187" s="332">
        <v>69</v>
      </c>
      <c r="U187" s="333" t="s">
        <v>2314</v>
      </c>
      <c r="AH187" s="334" t="s">
        <v>2370</v>
      </c>
      <c r="AI187" s="334" t="s">
        <v>2370</v>
      </c>
      <c r="AJ187" s="334" t="s">
        <v>2370</v>
      </c>
      <c r="AK187" s="334" t="s">
        <v>2370</v>
      </c>
      <c r="AL187" s="334" t="s">
        <v>2370</v>
      </c>
      <c r="AM187" s="334" t="s">
        <v>2370</v>
      </c>
      <c r="AN187" s="334" t="s">
        <v>2370</v>
      </c>
      <c r="AS187" s="334" t="s">
        <v>2033</v>
      </c>
      <c r="AT187" s="334" t="s">
        <v>2033</v>
      </c>
      <c r="AU187" s="334" t="s">
        <v>2033</v>
      </c>
      <c r="AV187" s="334" t="s">
        <v>2033</v>
      </c>
      <c r="AW187" s="334" t="s">
        <v>2033</v>
      </c>
      <c r="AX187" s="334" t="s">
        <v>2033</v>
      </c>
      <c r="AY187" s="334" t="s">
        <v>2033</v>
      </c>
      <c r="AZ187" s="334" t="s">
        <v>2033</v>
      </c>
      <c r="BA187" s="334" t="s">
        <v>2033</v>
      </c>
      <c r="BB187" s="334" t="s">
        <v>2033</v>
      </c>
      <c r="BC187" s="334" t="s">
        <v>2033</v>
      </c>
      <c r="BD187" s="334" t="s">
        <v>2033</v>
      </c>
      <c r="BE187" s="334" t="s">
        <v>2033</v>
      </c>
      <c r="BF187" s="334" t="s">
        <v>2033</v>
      </c>
      <c r="BG187" s="334" t="s">
        <v>2033</v>
      </c>
      <c r="BH187" s="334" t="s">
        <v>2033</v>
      </c>
      <c r="BI187" s="334" t="s">
        <v>2034</v>
      </c>
      <c r="BJ187" s="334" t="s">
        <v>2034</v>
      </c>
      <c r="BK187" s="334" t="s">
        <v>2034</v>
      </c>
      <c r="BL187" s="334" t="s">
        <v>2034</v>
      </c>
      <c r="BM187" s="334" t="s">
        <v>2034</v>
      </c>
      <c r="BN187" s="334" t="s">
        <v>2034</v>
      </c>
      <c r="BO187" s="334" t="s">
        <v>2034</v>
      </c>
      <c r="BP187" s="334" t="s">
        <v>2034</v>
      </c>
      <c r="BQ187" s="334" t="s">
        <v>2034</v>
      </c>
      <c r="BR187" s="334" t="s">
        <v>2034</v>
      </c>
      <c r="BS187" s="334" t="s">
        <v>2034</v>
      </c>
      <c r="BT187" s="334" t="s">
        <v>2034</v>
      </c>
      <c r="BU187" s="334" t="s">
        <v>2034</v>
      </c>
      <c r="BV187" s="334" t="s">
        <v>2034</v>
      </c>
      <c r="BW187" s="334" t="s">
        <v>2034</v>
      </c>
      <c r="BY187" s="334" t="s">
        <v>2361</v>
      </c>
      <c r="BZ187" s="334" t="s">
        <v>2361</v>
      </c>
      <c r="CA187" s="334" t="s">
        <v>2361</v>
      </c>
      <c r="CB187" s="334" t="s">
        <v>2361</v>
      </c>
      <c r="CC187" s="334" t="s">
        <v>2361</v>
      </c>
      <c r="CD187" s="334" t="s">
        <v>2361</v>
      </c>
      <c r="CE187" s="334" t="s">
        <v>2361</v>
      </c>
      <c r="CF187" s="334" t="s">
        <v>2361</v>
      </c>
      <c r="CG187" s="334" t="s">
        <v>2359</v>
      </c>
      <c r="CH187" s="334" t="s">
        <v>2359</v>
      </c>
      <c r="CI187" s="334" t="s">
        <v>2359</v>
      </c>
      <c r="CJ187" s="334" t="s">
        <v>2359</v>
      </c>
      <c r="CK187" s="334" t="s">
        <v>2359</v>
      </c>
      <c r="CL187" s="334" t="s">
        <v>2359</v>
      </c>
      <c r="BID187" s="334" t="s">
        <v>2361</v>
      </c>
      <c r="BIE187" s="334" t="s">
        <v>2361</v>
      </c>
      <c r="BIF187" s="334" t="s">
        <v>2361</v>
      </c>
      <c r="BIG187" s="334" t="s">
        <v>2361</v>
      </c>
      <c r="BIH187" s="334" t="s">
        <v>2361</v>
      </c>
      <c r="BII187" s="334" t="s">
        <v>2361</v>
      </c>
      <c r="BIJ187" s="334" t="s">
        <v>2372</v>
      </c>
      <c r="BIK187" s="334" t="s">
        <v>2372</v>
      </c>
      <c r="BIL187" s="334" t="s">
        <v>2372</v>
      </c>
      <c r="BIM187" s="334" t="s">
        <v>2372</v>
      </c>
      <c r="BIN187" s="334" t="s">
        <v>2372</v>
      </c>
      <c r="BIO187" s="334" t="s">
        <v>2372</v>
      </c>
      <c r="BIP187" s="334" t="s">
        <v>2362</v>
      </c>
      <c r="BIQ187" s="334" t="s">
        <v>2362</v>
      </c>
      <c r="BIR187" s="334" t="s">
        <v>2362</v>
      </c>
      <c r="BIS187" s="334" t="s">
        <v>2362</v>
      </c>
      <c r="BIT187" s="334" t="s">
        <v>2362</v>
      </c>
      <c r="BIU187" s="334" t="s">
        <v>2362</v>
      </c>
      <c r="BIV187" s="334" t="s">
        <v>2036</v>
      </c>
      <c r="BIW187" s="334" t="s">
        <v>2036</v>
      </c>
      <c r="BIX187" s="334" t="s">
        <v>2036</v>
      </c>
      <c r="BIY187" s="334" t="s">
        <v>2036</v>
      </c>
      <c r="BIZ187" s="334" t="s">
        <v>2036</v>
      </c>
      <c r="BJA187" s="334" t="s">
        <v>2036</v>
      </c>
    </row>
    <row r="188" spans="1:90 1590:1757" s="334" customFormat="1" x14ac:dyDescent="0.25">
      <c r="A188" s="325">
        <v>6</v>
      </c>
      <c r="B188" s="325">
        <v>15</v>
      </c>
      <c r="C188" s="325">
        <v>16</v>
      </c>
      <c r="D188" s="325" t="s">
        <v>2703</v>
      </c>
      <c r="E188" s="326" t="s">
        <v>2435</v>
      </c>
      <c r="F188" s="326" t="s">
        <v>2435</v>
      </c>
      <c r="G188" s="326" t="s">
        <v>2435</v>
      </c>
      <c r="H188" s="326" t="s">
        <v>2435</v>
      </c>
      <c r="I188" s="325">
        <v>8</v>
      </c>
      <c r="J188" s="325">
        <v>0</v>
      </c>
      <c r="K188" s="325">
        <v>0</v>
      </c>
      <c r="L188" s="325">
        <v>0</v>
      </c>
      <c r="M188" s="327">
        <v>148</v>
      </c>
      <c r="N188" s="327" t="s">
        <v>2709</v>
      </c>
      <c r="O188" s="328" t="s">
        <v>1519</v>
      </c>
      <c r="P188" s="328" t="s">
        <v>1497</v>
      </c>
      <c r="Q188" s="329" t="s">
        <v>2328</v>
      </c>
      <c r="R188" s="330">
        <v>244810</v>
      </c>
      <c r="S188" s="331" t="s">
        <v>1163</v>
      </c>
      <c r="T188" s="332">
        <v>75</v>
      </c>
      <c r="U188" s="333" t="s">
        <v>2329</v>
      </c>
      <c r="AH188" s="334" t="s">
        <v>2370</v>
      </c>
      <c r="AI188" s="334" t="s">
        <v>2370</v>
      </c>
      <c r="AJ188" s="334" t="s">
        <v>2370</v>
      </c>
      <c r="AK188" s="334" t="s">
        <v>2370</v>
      </c>
      <c r="AL188" s="334" t="s">
        <v>2370</v>
      </c>
      <c r="AM188" s="334" t="s">
        <v>2370</v>
      </c>
      <c r="AN188" s="334" t="s">
        <v>2370</v>
      </c>
      <c r="AS188" s="334" t="s">
        <v>2033</v>
      </c>
      <c r="AT188" s="334" t="s">
        <v>2033</v>
      </c>
      <c r="AU188" s="334" t="s">
        <v>2033</v>
      </c>
      <c r="AV188" s="334" t="s">
        <v>2033</v>
      </c>
      <c r="AW188" s="334" t="s">
        <v>2033</v>
      </c>
      <c r="AX188" s="334" t="s">
        <v>2033</v>
      </c>
      <c r="AY188" s="334" t="s">
        <v>2033</v>
      </c>
      <c r="AZ188" s="334" t="s">
        <v>2033</v>
      </c>
      <c r="BA188" s="334" t="s">
        <v>2033</v>
      </c>
      <c r="BB188" s="334" t="s">
        <v>2033</v>
      </c>
      <c r="BC188" s="334" t="s">
        <v>2033</v>
      </c>
      <c r="BD188" s="334" t="s">
        <v>2033</v>
      </c>
      <c r="BE188" s="334" t="s">
        <v>2033</v>
      </c>
      <c r="BF188" s="334" t="s">
        <v>2033</v>
      </c>
      <c r="BG188" s="334" t="s">
        <v>2033</v>
      </c>
      <c r="BH188" s="334" t="s">
        <v>2033</v>
      </c>
      <c r="BI188" s="334" t="s">
        <v>2034</v>
      </c>
      <c r="BJ188" s="334" t="s">
        <v>2034</v>
      </c>
      <c r="BK188" s="334" t="s">
        <v>2034</v>
      </c>
      <c r="BL188" s="334" t="s">
        <v>2034</v>
      </c>
      <c r="BM188" s="334" t="s">
        <v>2034</v>
      </c>
      <c r="BN188" s="334" t="s">
        <v>2034</v>
      </c>
      <c r="BO188" s="334" t="s">
        <v>2034</v>
      </c>
      <c r="BP188" s="334" t="s">
        <v>2034</v>
      </c>
      <c r="BQ188" s="334" t="s">
        <v>2034</v>
      </c>
      <c r="BR188" s="334" t="s">
        <v>2034</v>
      </c>
      <c r="BS188" s="334" t="s">
        <v>2034</v>
      </c>
      <c r="BT188" s="334" t="s">
        <v>2034</v>
      </c>
      <c r="BU188" s="334" t="s">
        <v>2034</v>
      </c>
      <c r="BV188" s="334" t="s">
        <v>2034</v>
      </c>
      <c r="BW188" s="334" t="s">
        <v>2034</v>
      </c>
      <c r="BY188" s="334" t="s">
        <v>2361</v>
      </c>
      <c r="BZ188" s="334" t="s">
        <v>2361</v>
      </c>
      <c r="CA188" s="334" t="s">
        <v>2361</v>
      </c>
      <c r="CB188" s="334" t="s">
        <v>2361</v>
      </c>
      <c r="CC188" s="334" t="s">
        <v>2361</v>
      </c>
      <c r="CD188" s="334" t="s">
        <v>2361</v>
      </c>
      <c r="CE188" s="334" t="s">
        <v>2361</v>
      </c>
      <c r="CF188" s="334" t="s">
        <v>2361</v>
      </c>
      <c r="CG188" s="334" t="s">
        <v>2359</v>
      </c>
      <c r="CH188" s="334" t="s">
        <v>2359</v>
      </c>
      <c r="CI188" s="334" t="s">
        <v>2359</v>
      </c>
      <c r="CJ188" s="334" t="s">
        <v>2359</v>
      </c>
      <c r="CK188" s="334" t="s">
        <v>2359</v>
      </c>
      <c r="CL188" s="334" t="s">
        <v>2359</v>
      </c>
      <c r="BJB188" s="334" t="s">
        <v>2361</v>
      </c>
      <c r="BJC188" s="334" t="s">
        <v>2361</v>
      </c>
      <c r="BJD188" s="334" t="s">
        <v>2361</v>
      </c>
      <c r="BJE188" s="334" t="s">
        <v>2361</v>
      </c>
      <c r="BJF188" s="334" t="s">
        <v>2361</v>
      </c>
      <c r="BJG188" s="334" t="s">
        <v>2361</v>
      </c>
      <c r="BJH188" s="334" t="s">
        <v>2372</v>
      </c>
      <c r="BJI188" s="334" t="s">
        <v>2372</v>
      </c>
      <c r="BJJ188" s="334" t="s">
        <v>2372</v>
      </c>
      <c r="BJK188" s="334" t="s">
        <v>2372</v>
      </c>
      <c r="BJL188" s="334" t="s">
        <v>2372</v>
      </c>
      <c r="BJM188" s="334" t="s">
        <v>2372</v>
      </c>
      <c r="BJN188" s="334" t="s">
        <v>2362</v>
      </c>
      <c r="BJO188" s="334" t="s">
        <v>2362</v>
      </c>
      <c r="BJP188" s="334" t="s">
        <v>2362</v>
      </c>
      <c r="BJQ188" s="334" t="s">
        <v>2362</v>
      </c>
      <c r="BJR188" s="334" t="s">
        <v>2362</v>
      </c>
      <c r="BJS188" s="334" t="s">
        <v>2362</v>
      </c>
      <c r="BJT188" s="334" t="s">
        <v>2036</v>
      </c>
      <c r="BJU188" s="334" t="s">
        <v>2036</v>
      </c>
      <c r="BJV188" s="334" t="s">
        <v>2036</v>
      </c>
      <c r="BJW188" s="334" t="s">
        <v>2036</v>
      </c>
      <c r="BJX188" s="334" t="s">
        <v>2036</v>
      </c>
      <c r="BJY188" s="334" t="s">
        <v>2036</v>
      </c>
    </row>
    <row r="189" spans="1:90 1590:1757" s="334" customFormat="1" x14ac:dyDescent="0.25">
      <c r="A189" s="325">
        <v>6</v>
      </c>
      <c r="B189" s="325">
        <v>15</v>
      </c>
      <c r="C189" s="325">
        <v>16</v>
      </c>
      <c r="D189" s="325" t="s">
        <v>2704</v>
      </c>
      <c r="E189" s="326" t="s">
        <v>2435</v>
      </c>
      <c r="F189" s="326" t="s">
        <v>2435</v>
      </c>
      <c r="G189" s="326" t="s">
        <v>2435</v>
      </c>
      <c r="H189" s="326" t="s">
        <v>2435</v>
      </c>
      <c r="I189" s="325">
        <v>8</v>
      </c>
      <c r="J189" s="325">
        <v>0</v>
      </c>
      <c r="K189" s="325">
        <v>0</v>
      </c>
      <c r="L189" s="325">
        <v>0</v>
      </c>
      <c r="M189" s="327">
        <v>190</v>
      </c>
      <c r="N189" s="327" t="s">
        <v>2710</v>
      </c>
      <c r="O189" s="328" t="s">
        <v>1519</v>
      </c>
      <c r="P189" s="328" t="s">
        <v>1497</v>
      </c>
      <c r="Q189" s="329" t="s">
        <v>2330</v>
      </c>
      <c r="R189" s="330">
        <v>256226</v>
      </c>
      <c r="S189" s="331" t="s">
        <v>1163</v>
      </c>
      <c r="T189" s="332">
        <v>79</v>
      </c>
      <c r="U189" s="333" t="s">
        <v>2331</v>
      </c>
      <c r="AH189" s="334" t="s">
        <v>2370</v>
      </c>
      <c r="AI189" s="334" t="s">
        <v>2370</v>
      </c>
      <c r="AJ189" s="334" t="s">
        <v>2370</v>
      </c>
      <c r="AK189" s="334" t="s">
        <v>2370</v>
      </c>
      <c r="AL189" s="334" t="s">
        <v>2370</v>
      </c>
      <c r="AM189" s="334" t="s">
        <v>2370</v>
      </c>
      <c r="AN189" s="334" t="s">
        <v>2370</v>
      </c>
      <c r="AS189" s="334" t="s">
        <v>2033</v>
      </c>
      <c r="AT189" s="334" t="s">
        <v>2033</v>
      </c>
      <c r="AU189" s="334" t="s">
        <v>2033</v>
      </c>
      <c r="AV189" s="334" t="s">
        <v>2033</v>
      </c>
      <c r="AW189" s="334" t="s">
        <v>2033</v>
      </c>
      <c r="AX189" s="334" t="s">
        <v>2033</v>
      </c>
      <c r="AY189" s="334" t="s">
        <v>2033</v>
      </c>
      <c r="AZ189" s="334" t="s">
        <v>2033</v>
      </c>
      <c r="BA189" s="334" t="s">
        <v>2033</v>
      </c>
      <c r="BB189" s="334" t="s">
        <v>2033</v>
      </c>
      <c r="BC189" s="334" t="s">
        <v>2033</v>
      </c>
      <c r="BD189" s="334" t="s">
        <v>2033</v>
      </c>
      <c r="BE189" s="334" t="s">
        <v>2033</v>
      </c>
      <c r="BF189" s="334" t="s">
        <v>2033</v>
      </c>
      <c r="BG189" s="334" t="s">
        <v>2033</v>
      </c>
      <c r="BH189" s="334" t="s">
        <v>2033</v>
      </c>
      <c r="BI189" s="334" t="s">
        <v>2034</v>
      </c>
      <c r="BJ189" s="334" t="s">
        <v>2034</v>
      </c>
      <c r="BK189" s="334" t="s">
        <v>2034</v>
      </c>
      <c r="BL189" s="334" t="s">
        <v>2034</v>
      </c>
      <c r="BM189" s="334" t="s">
        <v>2034</v>
      </c>
      <c r="BN189" s="334" t="s">
        <v>2034</v>
      </c>
      <c r="BO189" s="334" t="s">
        <v>2034</v>
      </c>
      <c r="BP189" s="334" t="s">
        <v>2034</v>
      </c>
      <c r="BQ189" s="334" t="s">
        <v>2034</v>
      </c>
      <c r="BR189" s="334" t="s">
        <v>2034</v>
      </c>
      <c r="BS189" s="334" t="s">
        <v>2034</v>
      </c>
      <c r="BT189" s="334" t="s">
        <v>2034</v>
      </c>
      <c r="BU189" s="334" t="s">
        <v>2034</v>
      </c>
      <c r="BV189" s="334" t="s">
        <v>2034</v>
      </c>
      <c r="BW189" s="334" t="s">
        <v>2034</v>
      </c>
      <c r="BY189" s="334" t="s">
        <v>2361</v>
      </c>
      <c r="BZ189" s="334" t="s">
        <v>2361</v>
      </c>
      <c r="CA189" s="334" t="s">
        <v>2361</v>
      </c>
      <c r="CB189" s="334" t="s">
        <v>2361</v>
      </c>
      <c r="CC189" s="334" t="s">
        <v>2361</v>
      </c>
      <c r="CD189" s="334" t="s">
        <v>2361</v>
      </c>
      <c r="CE189" s="334" t="s">
        <v>2361</v>
      </c>
      <c r="CF189" s="334" t="s">
        <v>2361</v>
      </c>
      <c r="CG189" s="334" t="s">
        <v>2359</v>
      </c>
      <c r="CH189" s="334" t="s">
        <v>2359</v>
      </c>
      <c r="CI189" s="334" t="s">
        <v>2359</v>
      </c>
      <c r="CJ189" s="334" t="s">
        <v>2359</v>
      </c>
      <c r="CK189" s="334" t="s">
        <v>2359</v>
      </c>
      <c r="CL189" s="334" t="s">
        <v>2359</v>
      </c>
      <c r="BJZ189" s="334" t="s">
        <v>2361</v>
      </c>
      <c r="BKA189" s="334" t="s">
        <v>2361</v>
      </c>
      <c r="BKB189" s="334" t="s">
        <v>2361</v>
      </c>
      <c r="BKC189" s="334" t="s">
        <v>2361</v>
      </c>
      <c r="BKD189" s="334" t="s">
        <v>2361</v>
      </c>
      <c r="BKE189" s="334" t="s">
        <v>2361</v>
      </c>
      <c r="BKF189" s="334" t="s">
        <v>2372</v>
      </c>
      <c r="BKG189" s="334" t="s">
        <v>2372</v>
      </c>
      <c r="BKH189" s="334" t="s">
        <v>2372</v>
      </c>
      <c r="BKI189" s="334" t="s">
        <v>2372</v>
      </c>
      <c r="BKJ189" s="334" t="s">
        <v>2372</v>
      </c>
      <c r="BKK189" s="334" t="s">
        <v>2372</v>
      </c>
      <c r="BKL189" s="334" t="s">
        <v>2362</v>
      </c>
      <c r="BKM189" s="334" t="s">
        <v>2362</v>
      </c>
      <c r="BKN189" s="334" t="s">
        <v>2362</v>
      </c>
      <c r="BKO189" s="334" t="s">
        <v>2362</v>
      </c>
      <c r="BKP189" s="334" t="s">
        <v>2362</v>
      </c>
      <c r="BKQ189" s="334" t="s">
        <v>2362</v>
      </c>
      <c r="BKR189" s="334" t="s">
        <v>2036</v>
      </c>
      <c r="BKS189" s="334" t="s">
        <v>2036</v>
      </c>
      <c r="BKT189" s="334" t="s">
        <v>2036</v>
      </c>
      <c r="BKU189" s="334" t="s">
        <v>2036</v>
      </c>
      <c r="BKV189" s="334" t="s">
        <v>2036</v>
      </c>
      <c r="BKW189" s="334" t="s">
        <v>2036</v>
      </c>
    </row>
    <row r="190" spans="1:90 1590:1757" s="334" customFormat="1" x14ac:dyDescent="0.25">
      <c r="A190" s="325">
        <v>6</v>
      </c>
      <c r="B190" s="325">
        <v>15</v>
      </c>
      <c r="C190" s="325">
        <v>16</v>
      </c>
      <c r="D190" s="325" t="s">
        <v>2705</v>
      </c>
      <c r="E190" s="326" t="s">
        <v>2435</v>
      </c>
      <c r="F190" s="326" t="s">
        <v>2435</v>
      </c>
      <c r="G190" s="326" t="s">
        <v>2435</v>
      </c>
      <c r="H190" s="326" t="s">
        <v>2435</v>
      </c>
      <c r="I190" s="325">
        <v>8</v>
      </c>
      <c r="J190" s="325">
        <v>0</v>
      </c>
      <c r="K190" s="325">
        <v>0</v>
      </c>
      <c r="L190" s="325">
        <v>0</v>
      </c>
      <c r="M190" s="327">
        <v>232</v>
      </c>
      <c r="N190" s="327" t="s">
        <v>2711</v>
      </c>
      <c r="O190" s="328" t="s">
        <v>1519</v>
      </c>
      <c r="P190" s="328" t="s">
        <v>1497</v>
      </c>
      <c r="Q190" s="329" t="s">
        <v>2332</v>
      </c>
      <c r="R190" s="330">
        <v>269174</v>
      </c>
      <c r="S190" s="331" t="s">
        <v>1163</v>
      </c>
      <c r="T190" s="332">
        <v>77</v>
      </c>
      <c r="U190" s="333" t="s">
        <v>2333</v>
      </c>
      <c r="AH190" s="334" t="s">
        <v>2370</v>
      </c>
      <c r="AI190" s="334" t="s">
        <v>2370</v>
      </c>
      <c r="AJ190" s="334" t="s">
        <v>2370</v>
      </c>
      <c r="AK190" s="334" t="s">
        <v>2370</v>
      </c>
      <c r="AL190" s="334" t="s">
        <v>2370</v>
      </c>
      <c r="AM190" s="334" t="s">
        <v>2370</v>
      </c>
      <c r="AN190" s="334" t="s">
        <v>2370</v>
      </c>
      <c r="AS190" s="334" t="s">
        <v>2033</v>
      </c>
      <c r="AT190" s="334" t="s">
        <v>2033</v>
      </c>
      <c r="AU190" s="334" t="s">
        <v>2033</v>
      </c>
      <c r="AV190" s="334" t="s">
        <v>2033</v>
      </c>
      <c r="AW190" s="334" t="s">
        <v>2033</v>
      </c>
      <c r="AX190" s="334" t="s">
        <v>2033</v>
      </c>
      <c r="AY190" s="334" t="s">
        <v>2033</v>
      </c>
      <c r="AZ190" s="334" t="s">
        <v>2033</v>
      </c>
      <c r="BA190" s="334" t="s">
        <v>2033</v>
      </c>
      <c r="BB190" s="334" t="s">
        <v>2033</v>
      </c>
      <c r="BC190" s="334" t="s">
        <v>2033</v>
      </c>
      <c r="BD190" s="334" t="s">
        <v>2033</v>
      </c>
      <c r="BE190" s="334" t="s">
        <v>2033</v>
      </c>
      <c r="BF190" s="334" t="s">
        <v>2033</v>
      </c>
      <c r="BG190" s="334" t="s">
        <v>2033</v>
      </c>
      <c r="BH190" s="334" t="s">
        <v>2033</v>
      </c>
      <c r="BI190" s="334" t="s">
        <v>2034</v>
      </c>
      <c r="BJ190" s="334" t="s">
        <v>2034</v>
      </c>
      <c r="BK190" s="334" t="s">
        <v>2034</v>
      </c>
      <c r="BL190" s="334" t="s">
        <v>2034</v>
      </c>
      <c r="BM190" s="334" t="s">
        <v>2034</v>
      </c>
      <c r="BN190" s="334" t="s">
        <v>2034</v>
      </c>
      <c r="BO190" s="334" t="s">
        <v>2034</v>
      </c>
      <c r="BP190" s="334" t="s">
        <v>2034</v>
      </c>
      <c r="BQ190" s="334" t="s">
        <v>2034</v>
      </c>
      <c r="BR190" s="334" t="s">
        <v>2034</v>
      </c>
      <c r="BS190" s="334" t="s">
        <v>2034</v>
      </c>
      <c r="BT190" s="334" t="s">
        <v>2034</v>
      </c>
      <c r="BU190" s="334" t="s">
        <v>2034</v>
      </c>
      <c r="BV190" s="334" t="s">
        <v>2034</v>
      </c>
      <c r="BW190" s="334" t="s">
        <v>2034</v>
      </c>
      <c r="BY190" s="334" t="s">
        <v>2361</v>
      </c>
      <c r="BZ190" s="334" t="s">
        <v>2361</v>
      </c>
      <c r="CA190" s="334" t="s">
        <v>2361</v>
      </c>
      <c r="CB190" s="334" t="s">
        <v>2361</v>
      </c>
      <c r="CC190" s="334" t="s">
        <v>2361</v>
      </c>
      <c r="CD190" s="334" t="s">
        <v>2361</v>
      </c>
      <c r="CE190" s="334" t="s">
        <v>2361</v>
      </c>
      <c r="CF190" s="334" t="s">
        <v>2361</v>
      </c>
      <c r="CG190" s="334" t="s">
        <v>2359</v>
      </c>
      <c r="CH190" s="334" t="s">
        <v>2359</v>
      </c>
      <c r="CI190" s="334" t="s">
        <v>2359</v>
      </c>
      <c r="CJ190" s="334" t="s">
        <v>2359</v>
      </c>
      <c r="CK190" s="334" t="s">
        <v>2359</v>
      </c>
      <c r="CL190" s="334" t="s">
        <v>2359</v>
      </c>
      <c r="BKX190" s="334" t="s">
        <v>2361</v>
      </c>
      <c r="BKY190" s="334" t="s">
        <v>2361</v>
      </c>
      <c r="BKZ190" s="334" t="s">
        <v>2361</v>
      </c>
      <c r="BLA190" s="334" t="s">
        <v>2361</v>
      </c>
      <c r="BLB190" s="334" t="s">
        <v>2361</v>
      </c>
      <c r="BLC190" s="334" t="s">
        <v>2361</v>
      </c>
      <c r="BLD190" s="334" t="s">
        <v>2372</v>
      </c>
      <c r="BLE190" s="334" t="s">
        <v>2372</v>
      </c>
      <c r="BLF190" s="334" t="s">
        <v>2372</v>
      </c>
      <c r="BLG190" s="334" t="s">
        <v>2372</v>
      </c>
      <c r="BLH190" s="334" t="s">
        <v>2372</v>
      </c>
      <c r="BLI190" s="334" t="s">
        <v>2372</v>
      </c>
      <c r="BLJ190" s="334" t="s">
        <v>2362</v>
      </c>
      <c r="BLK190" s="334" t="s">
        <v>2362</v>
      </c>
      <c r="BLL190" s="334" t="s">
        <v>2362</v>
      </c>
      <c r="BLM190" s="334" t="s">
        <v>2362</v>
      </c>
      <c r="BLN190" s="334" t="s">
        <v>2362</v>
      </c>
      <c r="BLO190" s="334" t="s">
        <v>2362</v>
      </c>
      <c r="BLP190" s="334" t="s">
        <v>2036</v>
      </c>
      <c r="BLQ190" s="334" t="s">
        <v>2036</v>
      </c>
      <c r="BLR190" s="334" t="s">
        <v>2036</v>
      </c>
      <c r="BLS190" s="334" t="s">
        <v>2036</v>
      </c>
      <c r="BLT190" s="334" t="s">
        <v>2036</v>
      </c>
      <c r="BLU190" s="334" t="s">
        <v>2036</v>
      </c>
    </row>
    <row r="191" spans="1:90 1590:1757" s="334" customFormat="1" x14ac:dyDescent="0.25">
      <c r="A191" s="325">
        <v>6</v>
      </c>
      <c r="B191" s="325">
        <v>15</v>
      </c>
      <c r="C191" s="325">
        <v>16</v>
      </c>
      <c r="D191" s="325" t="s">
        <v>2706</v>
      </c>
      <c r="E191" s="326" t="s">
        <v>2435</v>
      </c>
      <c r="F191" s="326" t="s">
        <v>2435</v>
      </c>
      <c r="G191" s="326" t="s">
        <v>2435</v>
      </c>
      <c r="H191" s="326" t="s">
        <v>2435</v>
      </c>
      <c r="I191" s="325">
        <v>8</v>
      </c>
      <c r="J191" s="325">
        <v>0</v>
      </c>
      <c r="K191" s="325">
        <v>0</v>
      </c>
      <c r="L191" s="325">
        <v>0</v>
      </c>
      <c r="M191" s="327">
        <v>250</v>
      </c>
      <c r="N191" s="327" t="s">
        <v>2712</v>
      </c>
      <c r="O191" s="328" t="s">
        <v>1519</v>
      </c>
      <c r="P191" s="328" t="s">
        <v>1497</v>
      </c>
      <c r="Q191" s="329" t="s">
        <v>2334</v>
      </c>
      <c r="R191" s="330">
        <v>290264</v>
      </c>
      <c r="S191" s="331" t="s">
        <v>1163</v>
      </c>
      <c r="T191" s="332">
        <v>79</v>
      </c>
      <c r="U191" s="333" t="s">
        <v>2335</v>
      </c>
      <c r="AH191" s="334" t="s">
        <v>2370</v>
      </c>
      <c r="AI191" s="334" t="s">
        <v>2370</v>
      </c>
      <c r="AJ191" s="334" t="s">
        <v>2370</v>
      </c>
      <c r="AK191" s="334" t="s">
        <v>2370</v>
      </c>
      <c r="AL191" s="334" t="s">
        <v>2370</v>
      </c>
      <c r="AM191" s="334" t="s">
        <v>2370</v>
      </c>
      <c r="AN191" s="334" t="s">
        <v>2370</v>
      </c>
      <c r="AS191" s="334" t="s">
        <v>2033</v>
      </c>
      <c r="AT191" s="334" t="s">
        <v>2033</v>
      </c>
      <c r="AU191" s="334" t="s">
        <v>2033</v>
      </c>
      <c r="AV191" s="334" t="s">
        <v>2033</v>
      </c>
      <c r="AW191" s="334" t="s">
        <v>2033</v>
      </c>
      <c r="AX191" s="334" t="s">
        <v>2033</v>
      </c>
      <c r="AY191" s="334" t="s">
        <v>2033</v>
      </c>
      <c r="AZ191" s="334" t="s">
        <v>2033</v>
      </c>
      <c r="BA191" s="334" t="s">
        <v>2033</v>
      </c>
      <c r="BB191" s="334" t="s">
        <v>2033</v>
      </c>
      <c r="BC191" s="334" t="s">
        <v>2033</v>
      </c>
      <c r="BD191" s="334" t="s">
        <v>2033</v>
      </c>
      <c r="BE191" s="334" t="s">
        <v>2033</v>
      </c>
      <c r="BF191" s="334" t="s">
        <v>2033</v>
      </c>
      <c r="BG191" s="334" t="s">
        <v>2033</v>
      </c>
      <c r="BH191" s="334" t="s">
        <v>2033</v>
      </c>
      <c r="BI191" s="334" t="s">
        <v>2034</v>
      </c>
      <c r="BJ191" s="334" t="s">
        <v>2034</v>
      </c>
      <c r="BK191" s="334" t="s">
        <v>2034</v>
      </c>
      <c r="BL191" s="334" t="s">
        <v>2034</v>
      </c>
      <c r="BM191" s="334" t="s">
        <v>2034</v>
      </c>
      <c r="BN191" s="334" t="s">
        <v>2034</v>
      </c>
      <c r="BO191" s="334" t="s">
        <v>2034</v>
      </c>
      <c r="BP191" s="334" t="s">
        <v>2034</v>
      </c>
      <c r="BQ191" s="334" t="s">
        <v>2034</v>
      </c>
      <c r="BR191" s="334" t="s">
        <v>2034</v>
      </c>
      <c r="BS191" s="334" t="s">
        <v>2034</v>
      </c>
      <c r="BT191" s="334" t="s">
        <v>2034</v>
      </c>
      <c r="BU191" s="334" t="s">
        <v>2034</v>
      </c>
      <c r="BV191" s="334" t="s">
        <v>2034</v>
      </c>
      <c r="BW191" s="334" t="s">
        <v>2034</v>
      </c>
      <c r="BY191" s="334" t="s">
        <v>2361</v>
      </c>
      <c r="BZ191" s="334" t="s">
        <v>2361</v>
      </c>
      <c r="CA191" s="334" t="s">
        <v>2361</v>
      </c>
      <c r="CB191" s="334" t="s">
        <v>2361</v>
      </c>
      <c r="CC191" s="334" t="s">
        <v>2361</v>
      </c>
      <c r="CD191" s="334" t="s">
        <v>2361</v>
      </c>
      <c r="CE191" s="334" t="s">
        <v>2361</v>
      </c>
      <c r="CF191" s="334" t="s">
        <v>2361</v>
      </c>
      <c r="CG191" s="334" t="s">
        <v>2359</v>
      </c>
      <c r="CH191" s="334" t="s">
        <v>2359</v>
      </c>
      <c r="CI191" s="334" t="s">
        <v>2359</v>
      </c>
      <c r="CJ191" s="334" t="s">
        <v>2359</v>
      </c>
      <c r="CK191" s="334" t="s">
        <v>2359</v>
      </c>
      <c r="CL191" s="334" t="s">
        <v>2359</v>
      </c>
      <c r="BLV191" s="334" t="s">
        <v>2361</v>
      </c>
      <c r="BLW191" s="334" t="s">
        <v>2361</v>
      </c>
      <c r="BLX191" s="334" t="s">
        <v>2361</v>
      </c>
      <c r="BLY191" s="334" t="s">
        <v>2361</v>
      </c>
      <c r="BLZ191" s="334" t="s">
        <v>2361</v>
      </c>
      <c r="BMA191" s="334" t="s">
        <v>2361</v>
      </c>
      <c r="BMB191" s="334" t="s">
        <v>2372</v>
      </c>
      <c r="BMC191" s="334" t="s">
        <v>2372</v>
      </c>
      <c r="BMD191" s="334" t="s">
        <v>2372</v>
      </c>
      <c r="BME191" s="334" t="s">
        <v>2372</v>
      </c>
      <c r="BMF191" s="334" t="s">
        <v>2372</v>
      </c>
      <c r="BMG191" s="334" t="s">
        <v>2372</v>
      </c>
      <c r="BMH191" s="334" t="s">
        <v>2362</v>
      </c>
      <c r="BMI191" s="334" t="s">
        <v>2362</v>
      </c>
      <c r="BMJ191" s="334" t="s">
        <v>2362</v>
      </c>
      <c r="BMK191" s="334" t="s">
        <v>2362</v>
      </c>
      <c r="BML191" s="334" t="s">
        <v>2362</v>
      </c>
      <c r="BMM191" s="334" t="s">
        <v>2362</v>
      </c>
      <c r="BMN191" s="334" t="s">
        <v>2036</v>
      </c>
      <c r="BMO191" s="334" t="s">
        <v>2036</v>
      </c>
      <c r="BMP191" s="334" t="s">
        <v>2036</v>
      </c>
      <c r="BMQ191" s="334" t="s">
        <v>2036</v>
      </c>
      <c r="BMR191" s="334" t="s">
        <v>2036</v>
      </c>
      <c r="BMS191" s="334" t="s">
        <v>2036</v>
      </c>
    </row>
    <row r="192" spans="1:90 1590:1757" s="334" customFormat="1" x14ac:dyDescent="0.25">
      <c r="A192" s="325">
        <v>6</v>
      </c>
      <c r="B192" s="325">
        <v>15</v>
      </c>
      <c r="C192" s="325">
        <v>16</v>
      </c>
      <c r="D192" s="325" t="s">
        <v>2707</v>
      </c>
      <c r="E192" s="326" t="s">
        <v>2435</v>
      </c>
      <c r="F192" s="326" t="s">
        <v>2435</v>
      </c>
      <c r="G192" s="326" t="s">
        <v>2435</v>
      </c>
      <c r="H192" s="326" t="s">
        <v>2435</v>
      </c>
      <c r="I192" s="325">
        <v>8</v>
      </c>
      <c r="J192" s="325">
        <v>0</v>
      </c>
      <c r="K192" s="325">
        <v>0</v>
      </c>
      <c r="L192" s="325">
        <v>0</v>
      </c>
      <c r="M192" s="327">
        <v>340</v>
      </c>
      <c r="N192" s="327" t="s">
        <v>2713</v>
      </c>
      <c r="O192" s="328" t="s">
        <v>1519</v>
      </c>
      <c r="P192" s="328" t="s">
        <v>1497</v>
      </c>
      <c r="Q192" s="329" t="s">
        <v>2336</v>
      </c>
      <c r="R192" s="330">
        <v>404231</v>
      </c>
      <c r="S192" s="331" t="s">
        <v>1176</v>
      </c>
      <c r="T192" s="332">
        <v>122</v>
      </c>
      <c r="U192" s="333" t="s">
        <v>2337</v>
      </c>
      <c r="AH192" s="334" t="s">
        <v>2370</v>
      </c>
      <c r="AI192" s="334" t="s">
        <v>2370</v>
      </c>
      <c r="AJ192" s="334" t="s">
        <v>2370</v>
      </c>
      <c r="AK192" s="334" t="s">
        <v>2370</v>
      </c>
      <c r="AL192" s="334" t="s">
        <v>2370</v>
      </c>
      <c r="AM192" s="334" t="s">
        <v>2370</v>
      </c>
      <c r="AN192" s="334" t="s">
        <v>2370</v>
      </c>
      <c r="AS192" s="334" t="s">
        <v>2033</v>
      </c>
      <c r="AT192" s="334" t="s">
        <v>2033</v>
      </c>
      <c r="AU192" s="334" t="s">
        <v>2033</v>
      </c>
      <c r="AV192" s="334" t="s">
        <v>2033</v>
      </c>
      <c r="AW192" s="334" t="s">
        <v>2033</v>
      </c>
      <c r="AX192" s="334" t="s">
        <v>2033</v>
      </c>
      <c r="AY192" s="334" t="s">
        <v>2033</v>
      </c>
      <c r="AZ192" s="334" t="s">
        <v>2033</v>
      </c>
      <c r="BA192" s="334" t="s">
        <v>2033</v>
      </c>
      <c r="BB192" s="334" t="s">
        <v>2033</v>
      </c>
      <c r="BC192" s="334" t="s">
        <v>2033</v>
      </c>
      <c r="BD192" s="334" t="s">
        <v>2033</v>
      </c>
      <c r="BE192" s="334" t="s">
        <v>2033</v>
      </c>
      <c r="BF192" s="334" t="s">
        <v>2033</v>
      </c>
      <c r="BG192" s="334" t="s">
        <v>2033</v>
      </c>
      <c r="BH192" s="334" t="s">
        <v>2033</v>
      </c>
      <c r="BI192" s="334" t="s">
        <v>2034</v>
      </c>
      <c r="BJ192" s="334" t="s">
        <v>2034</v>
      </c>
      <c r="BK192" s="334" t="s">
        <v>2034</v>
      </c>
      <c r="BL192" s="334" t="s">
        <v>2034</v>
      </c>
      <c r="BM192" s="334" t="s">
        <v>2034</v>
      </c>
      <c r="BN192" s="334" t="s">
        <v>2034</v>
      </c>
      <c r="BO192" s="334" t="s">
        <v>2034</v>
      </c>
      <c r="BP192" s="334" t="s">
        <v>2034</v>
      </c>
      <c r="BQ192" s="334" t="s">
        <v>2034</v>
      </c>
      <c r="BR192" s="334" t="s">
        <v>2034</v>
      </c>
      <c r="BS192" s="334" t="s">
        <v>2034</v>
      </c>
      <c r="BT192" s="334" t="s">
        <v>2034</v>
      </c>
      <c r="BU192" s="334" t="s">
        <v>2034</v>
      </c>
      <c r="BV192" s="334" t="s">
        <v>2034</v>
      </c>
      <c r="BW192" s="334" t="s">
        <v>2034</v>
      </c>
      <c r="BY192" s="334" t="s">
        <v>2361</v>
      </c>
      <c r="BZ192" s="334" t="s">
        <v>2361</v>
      </c>
      <c r="CA192" s="334" t="s">
        <v>2361</v>
      </c>
      <c r="CB192" s="334" t="s">
        <v>2361</v>
      </c>
      <c r="CC192" s="334" t="s">
        <v>2361</v>
      </c>
      <c r="CD192" s="334" t="s">
        <v>2361</v>
      </c>
      <c r="CE192" s="334" t="s">
        <v>2361</v>
      </c>
      <c r="CF192" s="334" t="s">
        <v>2361</v>
      </c>
      <c r="CG192" s="334" t="s">
        <v>2359</v>
      </c>
      <c r="CH192" s="334" t="s">
        <v>2359</v>
      </c>
      <c r="CI192" s="334" t="s">
        <v>2359</v>
      </c>
      <c r="CJ192" s="334" t="s">
        <v>2359</v>
      </c>
      <c r="CK192" s="334" t="s">
        <v>2359</v>
      </c>
      <c r="CL192" s="334" t="s">
        <v>2359</v>
      </c>
      <c r="BMT192" s="334" t="s">
        <v>2361</v>
      </c>
      <c r="BMU192" s="334" t="s">
        <v>2361</v>
      </c>
      <c r="BMV192" s="334" t="s">
        <v>2361</v>
      </c>
      <c r="BMW192" s="334" t="s">
        <v>2361</v>
      </c>
      <c r="BMX192" s="334" t="s">
        <v>2361</v>
      </c>
      <c r="BMY192" s="334" t="s">
        <v>2361</v>
      </c>
      <c r="BMZ192" s="334" t="s">
        <v>2372</v>
      </c>
      <c r="BNA192" s="334" t="s">
        <v>2372</v>
      </c>
      <c r="BNB192" s="334" t="s">
        <v>2372</v>
      </c>
      <c r="BNC192" s="334" t="s">
        <v>2372</v>
      </c>
      <c r="BND192" s="334" t="s">
        <v>2372</v>
      </c>
      <c r="BNE192" s="334" t="s">
        <v>2372</v>
      </c>
      <c r="BNF192" s="334" t="s">
        <v>2362</v>
      </c>
      <c r="BNG192" s="334" t="s">
        <v>2362</v>
      </c>
      <c r="BNH192" s="334" t="s">
        <v>2362</v>
      </c>
      <c r="BNI192" s="334" t="s">
        <v>2362</v>
      </c>
      <c r="BNJ192" s="334" t="s">
        <v>2362</v>
      </c>
      <c r="BNK192" s="334" t="s">
        <v>2362</v>
      </c>
      <c r="BNL192" s="334" t="s">
        <v>2036</v>
      </c>
      <c r="BNM192" s="334" t="s">
        <v>2036</v>
      </c>
      <c r="BNN192" s="334" t="s">
        <v>2036</v>
      </c>
      <c r="BNO192" s="334" t="s">
        <v>2036</v>
      </c>
      <c r="BNP192" s="334" t="s">
        <v>2036</v>
      </c>
      <c r="BNQ192" s="334" t="s">
        <v>2036</v>
      </c>
    </row>
    <row r="193" spans="1:90 1734:1757" s="334" customFormat="1" x14ac:dyDescent="0.25">
      <c r="A193" s="325">
        <v>6</v>
      </c>
      <c r="B193" s="325">
        <v>15</v>
      </c>
      <c r="C193" s="325">
        <v>16</v>
      </c>
      <c r="D193" s="325" t="s">
        <v>2708</v>
      </c>
      <c r="E193" s="326" t="s">
        <v>2435</v>
      </c>
      <c r="F193" s="326" t="s">
        <v>2435</v>
      </c>
      <c r="G193" s="326" t="s">
        <v>2435</v>
      </c>
      <c r="H193" s="326" t="s">
        <v>2435</v>
      </c>
      <c r="I193" s="325">
        <v>8</v>
      </c>
      <c r="J193" s="325">
        <v>0</v>
      </c>
      <c r="K193" s="325">
        <v>0</v>
      </c>
      <c r="L193" s="325">
        <v>0</v>
      </c>
      <c r="M193" s="327">
        <v>396</v>
      </c>
      <c r="N193" s="327" t="s">
        <v>2714</v>
      </c>
      <c r="O193" s="328" t="s">
        <v>1519</v>
      </c>
      <c r="P193" s="328" t="s">
        <v>1497</v>
      </c>
      <c r="Q193" s="329" t="s">
        <v>2338</v>
      </c>
      <c r="R193" s="330">
        <v>425096</v>
      </c>
      <c r="S193" s="331" t="s">
        <v>1176</v>
      </c>
      <c r="T193" s="332">
        <v>123</v>
      </c>
      <c r="U193" s="333" t="s">
        <v>2339</v>
      </c>
      <c r="AH193" s="334" t="s">
        <v>2370</v>
      </c>
      <c r="AI193" s="334" t="s">
        <v>2370</v>
      </c>
      <c r="AJ193" s="334" t="s">
        <v>2370</v>
      </c>
      <c r="AK193" s="334" t="s">
        <v>2370</v>
      </c>
      <c r="AL193" s="334" t="s">
        <v>2370</v>
      </c>
      <c r="AM193" s="334" t="s">
        <v>2370</v>
      </c>
      <c r="AN193" s="334" t="s">
        <v>2370</v>
      </c>
      <c r="AS193" s="334" t="s">
        <v>2033</v>
      </c>
      <c r="AT193" s="334" t="s">
        <v>2033</v>
      </c>
      <c r="AU193" s="334" t="s">
        <v>2033</v>
      </c>
      <c r="AV193" s="334" t="s">
        <v>2033</v>
      </c>
      <c r="AW193" s="334" t="s">
        <v>2033</v>
      </c>
      <c r="AX193" s="334" t="s">
        <v>2033</v>
      </c>
      <c r="AY193" s="334" t="s">
        <v>2033</v>
      </c>
      <c r="AZ193" s="334" t="s">
        <v>2033</v>
      </c>
      <c r="BA193" s="334" t="s">
        <v>2033</v>
      </c>
      <c r="BB193" s="334" t="s">
        <v>2033</v>
      </c>
      <c r="BC193" s="334" t="s">
        <v>2033</v>
      </c>
      <c r="BD193" s="334" t="s">
        <v>2033</v>
      </c>
      <c r="BE193" s="334" t="s">
        <v>2033</v>
      </c>
      <c r="BF193" s="334" t="s">
        <v>2033</v>
      </c>
      <c r="BG193" s="334" t="s">
        <v>2033</v>
      </c>
      <c r="BH193" s="334" t="s">
        <v>2033</v>
      </c>
      <c r="BI193" s="334" t="s">
        <v>2034</v>
      </c>
      <c r="BJ193" s="334" t="s">
        <v>2034</v>
      </c>
      <c r="BK193" s="334" t="s">
        <v>2034</v>
      </c>
      <c r="BL193" s="334" t="s">
        <v>2034</v>
      </c>
      <c r="BM193" s="334" t="s">
        <v>2034</v>
      </c>
      <c r="BN193" s="334" t="s">
        <v>2034</v>
      </c>
      <c r="BO193" s="334" t="s">
        <v>2034</v>
      </c>
      <c r="BP193" s="334" t="s">
        <v>2034</v>
      </c>
      <c r="BQ193" s="334" t="s">
        <v>2034</v>
      </c>
      <c r="BR193" s="334" t="s">
        <v>2034</v>
      </c>
      <c r="BS193" s="334" t="s">
        <v>2034</v>
      </c>
      <c r="BT193" s="334" t="s">
        <v>2034</v>
      </c>
      <c r="BU193" s="334" t="s">
        <v>2034</v>
      </c>
      <c r="BV193" s="334" t="s">
        <v>2034</v>
      </c>
      <c r="BW193" s="334" t="s">
        <v>2034</v>
      </c>
      <c r="BY193" s="334" t="s">
        <v>2361</v>
      </c>
      <c r="BZ193" s="334" t="s">
        <v>2361</v>
      </c>
      <c r="CA193" s="334" t="s">
        <v>2361</v>
      </c>
      <c r="CB193" s="334" t="s">
        <v>2361</v>
      </c>
      <c r="CC193" s="334" t="s">
        <v>2361</v>
      </c>
      <c r="CD193" s="334" t="s">
        <v>2361</v>
      </c>
      <c r="CE193" s="334" t="s">
        <v>2361</v>
      </c>
      <c r="CF193" s="334" t="s">
        <v>2361</v>
      </c>
      <c r="CG193" s="334" t="s">
        <v>2359</v>
      </c>
      <c r="CH193" s="334" t="s">
        <v>2359</v>
      </c>
      <c r="CI193" s="334" t="s">
        <v>2359</v>
      </c>
      <c r="CJ193" s="334" t="s">
        <v>2359</v>
      </c>
      <c r="CK193" s="334" t="s">
        <v>2359</v>
      </c>
      <c r="CL193" s="334" t="s">
        <v>2359</v>
      </c>
      <c r="BNR193" s="334" t="s">
        <v>2361</v>
      </c>
      <c r="BNS193" s="334" t="s">
        <v>2361</v>
      </c>
      <c r="BNT193" s="334" t="s">
        <v>2361</v>
      </c>
      <c r="BNU193" s="334" t="s">
        <v>2361</v>
      </c>
      <c r="BNV193" s="334" t="s">
        <v>2361</v>
      </c>
      <c r="BNW193" s="334" t="s">
        <v>2361</v>
      </c>
      <c r="BNX193" s="334" t="s">
        <v>2372</v>
      </c>
      <c r="BNY193" s="334" t="s">
        <v>2372</v>
      </c>
      <c r="BNZ193" s="334" t="s">
        <v>2372</v>
      </c>
      <c r="BOA193" s="334" t="s">
        <v>2372</v>
      </c>
      <c r="BOB193" s="334" t="s">
        <v>2372</v>
      </c>
      <c r="BOC193" s="334" t="s">
        <v>2372</v>
      </c>
      <c r="BOD193" s="334" t="s">
        <v>2362</v>
      </c>
      <c r="BOE193" s="334" t="s">
        <v>2362</v>
      </c>
      <c r="BOF193" s="334" t="s">
        <v>2362</v>
      </c>
      <c r="BOG193" s="334" t="s">
        <v>2362</v>
      </c>
      <c r="BOH193" s="334" t="s">
        <v>2362</v>
      </c>
      <c r="BOI193" s="334" t="s">
        <v>2362</v>
      </c>
      <c r="BOJ193" s="334" t="s">
        <v>2036</v>
      </c>
      <c r="BOK193" s="334" t="s">
        <v>2036</v>
      </c>
      <c r="BOL193" s="334" t="s">
        <v>2036</v>
      </c>
      <c r="BOM193" s="334" t="s">
        <v>2036</v>
      </c>
      <c r="BON193" s="334" t="s">
        <v>2036</v>
      </c>
      <c r="BOO193" s="334" t="s">
        <v>2036</v>
      </c>
    </row>
    <row r="194" spans="1:90 1734:1757" s="324" customFormat="1" x14ac:dyDescent="0.25">
      <c r="A194" s="315">
        <v>6</v>
      </c>
      <c r="B194" s="315">
        <v>15</v>
      </c>
      <c r="C194" s="315">
        <v>16</v>
      </c>
      <c r="D194" s="315" t="s">
        <v>2708</v>
      </c>
      <c r="E194" s="316" t="s">
        <v>2716</v>
      </c>
      <c r="F194" s="316" t="s">
        <v>2435</v>
      </c>
      <c r="G194" s="316" t="s">
        <v>2435</v>
      </c>
      <c r="H194" s="316" t="s">
        <v>2435</v>
      </c>
      <c r="I194" s="315">
        <v>8</v>
      </c>
      <c r="J194" s="315">
        <v>0</v>
      </c>
      <c r="K194" s="315">
        <v>0</v>
      </c>
      <c r="L194" s="315">
        <v>0</v>
      </c>
      <c r="M194" s="317">
        <v>396</v>
      </c>
      <c r="N194" s="317" t="s">
        <v>2722</v>
      </c>
      <c r="O194" s="318" t="s">
        <v>1519</v>
      </c>
      <c r="P194" s="318" t="s">
        <v>1497</v>
      </c>
      <c r="Q194" s="319" t="s">
        <v>2338</v>
      </c>
      <c r="R194" s="320">
        <v>470096</v>
      </c>
      <c r="S194" s="321" t="s">
        <v>1176</v>
      </c>
      <c r="T194" s="322">
        <v>123</v>
      </c>
      <c r="U194" s="323" t="s">
        <v>2339</v>
      </c>
      <c r="AH194" s="324" t="s">
        <v>2373</v>
      </c>
      <c r="AI194" s="324" t="s">
        <v>2370</v>
      </c>
      <c r="AJ194" s="324" t="s">
        <v>2370</v>
      </c>
      <c r="AK194" s="324" t="s">
        <v>2370</v>
      </c>
      <c r="AL194" s="324" t="s">
        <v>2370</v>
      </c>
      <c r="AM194" s="324" t="s">
        <v>2370</v>
      </c>
      <c r="AN194" s="324" t="s">
        <v>2370</v>
      </c>
      <c r="AS194" s="324" t="s">
        <v>2033</v>
      </c>
      <c r="AT194" s="324" t="s">
        <v>2033</v>
      </c>
      <c r="AU194" s="324" t="s">
        <v>2033</v>
      </c>
      <c r="AV194" s="324" t="s">
        <v>2033</v>
      </c>
      <c r="AW194" s="324" t="s">
        <v>2033</v>
      </c>
      <c r="AX194" s="324" t="s">
        <v>2033</v>
      </c>
      <c r="AY194" s="324" t="s">
        <v>2033</v>
      </c>
      <c r="AZ194" s="324" t="s">
        <v>2033</v>
      </c>
      <c r="BA194" s="324" t="s">
        <v>2033</v>
      </c>
      <c r="BB194" s="324" t="s">
        <v>2033</v>
      </c>
      <c r="BC194" s="324" t="s">
        <v>2033</v>
      </c>
      <c r="BD194" s="324" t="s">
        <v>2033</v>
      </c>
      <c r="BE194" s="324" t="s">
        <v>2033</v>
      </c>
      <c r="BF194" s="324" t="s">
        <v>2033</v>
      </c>
      <c r="BG194" s="324" t="s">
        <v>2033</v>
      </c>
      <c r="BH194" s="324" t="s">
        <v>2033</v>
      </c>
      <c r="BI194" s="324" t="s">
        <v>2034</v>
      </c>
      <c r="BJ194" s="324" t="s">
        <v>2034</v>
      </c>
      <c r="BK194" s="324" t="s">
        <v>2034</v>
      </c>
      <c r="BL194" s="324" t="s">
        <v>2034</v>
      </c>
      <c r="BM194" s="324" t="s">
        <v>2034</v>
      </c>
      <c r="BN194" s="324" t="s">
        <v>2034</v>
      </c>
      <c r="BO194" s="324" t="s">
        <v>2034</v>
      </c>
      <c r="BP194" s="324" t="s">
        <v>2034</v>
      </c>
      <c r="BQ194" s="324" t="s">
        <v>2034</v>
      </c>
      <c r="BR194" s="324" t="s">
        <v>2034</v>
      </c>
      <c r="BS194" s="324" t="s">
        <v>2034</v>
      </c>
      <c r="BT194" s="324" t="s">
        <v>2034</v>
      </c>
      <c r="BU194" s="324" t="s">
        <v>2034</v>
      </c>
      <c r="BV194" s="324" t="s">
        <v>2034</v>
      </c>
      <c r="BW194" s="324" t="s">
        <v>2034</v>
      </c>
      <c r="BY194" s="324" t="s">
        <v>2361</v>
      </c>
      <c r="BZ194" s="324" t="s">
        <v>2361</v>
      </c>
      <c r="CA194" s="324" t="s">
        <v>2361</v>
      </c>
      <c r="CB194" s="324" t="s">
        <v>2361</v>
      </c>
      <c r="CC194" s="324" t="s">
        <v>2361</v>
      </c>
      <c r="CD194" s="324" t="s">
        <v>2361</v>
      </c>
      <c r="CE194" s="324" t="s">
        <v>2361</v>
      </c>
      <c r="CF194" s="324" t="s">
        <v>2361</v>
      </c>
      <c r="CG194" s="324" t="s">
        <v>2359</v>
      </c>
      <c r="CH194" s="324" t="s">
        <v>2359</v>
      </c>
      <c r="CI194" s="324" t="s">
        <v>2359</v>
      </c>
      <c r="CJ194" s="324" t="s">
        <v>2359</v>
      </c>
      <c r="CK194" s="324" t="s">
        <v>2359</v>
      </c>
      <c r="CL194" s="324" t="s">
        <v>2359</v>
      </c>
      <c r="BNR194" s="324" t="s">
        <v>2361</v>
      </c>
      <c r="BNS194" s="324" t="s">
        <v>2361</v>
      </c>
      <c r="BNT194" s="324" t="s">
        <v>2361</v>
      </c>
      <c r="BNU194" s="324" t="s">
        <v>2361</v>
      </c>
      <c r="BNV194" s="324" t="s">
        <v>2361</v>
      </c>
      <c r="BNW194" s="324" t="s">
        <v>2361</v>
      </c>
      <c r="BNX194" s="324" t="s">
        <v>2372</v>
      </c>
      <c r="BNY194" s="324" t="s">
        <v>2372</v>
      </c>
      <c r="BNZ194" s="324" t="s">
        <v>2372</v>
      </c>
      <c r="BOA194" s="324" t="s">
        <v>2372</v>
      </c>
      <c r="BOB194" s="324" t="s">
        <v>2372</v>
      </c>
      <c r="BOC194" s="324" t="s">
        <v>2372</v>
      </c>
      <c r="BOD194" s="324" t="s">
        <v>2362</v>
      </c>
      <c r="BOE194" s="324" t="s">
        <v>2362</v>
      </c>
      <c r="BOF194" s="324" t="s">
        <v>2362</v>
      </c>
      <c r="BOG194" s="324" t="s">
        <v>2362</v>
      </c>
      <c r="BOH194" s="324" t="s">
        <v>2362</v>
      </c>
      <c r="BOI194" s="324" t="s">
        <v>2362</v>
      </c>
      <c r="BOJ194" s="324" t="s">
        <v>2036</v>
      </c>
      <c r="BOK194" s="324" t="s">
        <v>2036</v>
      </c>
      <c r="BOL194" s="324" t="s">
        <v>2036</v>
      </c>
      <c r="BOM194" s="324" t="s">
        <v>2036</v>
      </c>
      <c r="BON194" s="324" t="s">
        <v>2036</v>
      </c>
      <c r="BOO194" s="324" t="s">
        <v>2036</v>
      </c>
    </row>
    <row r="195" spans="1:90 1734:1757" s="324" customFormat="1" x14ac:dyDescent="0.25">
      <c r="A195" s="315">
        <v>6</v>
      </c>
      <c r="B195" s="315">
        <v>15</v>
      </c>
      <c r="C195" s="315">
        <v>16</v>
      </c>
      <c r="D195" s="315" t="s">
        <v>2708</v>
      </c>
      <c r="E195" s="316" t="s">
        <v>2727</v>
      </c>
      <c r="F195" s="316" t="s">
        <v>2435</v>
      </c>
      <c r="G195" s="316" t="s">
        <v>2435</v>
      </c>
      <c r="H195" s="316" t="s">
        <v>2435</v>
      </c>
      <c r="I195" s="315">
        <v>8</v>
      </c>
      <c r="J195" s="315">
        <v>0</v>
      </c>
      <c r="K195" s="315">
        <v>0</v>
      </c>
      <c r="L195" s="315">
        <v>0</v>
      </c>
      <c r="M195" s="317">
        <v>396</v>
      </c>
      <c r="N195" s="317" t="s">
        <v>2724</v>
      </c>
      <c r="O195" s="318" t="s">
        <v>1519</v>
      </c>
      <c r="P195" s="318" t="s">
        <v>1497</v>
      </c>
      <c r="Q195" s="319" t="s">
        <v>2338</v>
      </c>
      <c r="R195" s="345">
        <v>475096</v>
      </c>
      <c r="S195" s="321" t="s">
        <v>1176</v>
      </c>
      <c r="T195" s="322">
        <v>123</v>
      </c>
      <c r="U195" s="323" t="s">
        <v>2339</v>
      </c>
      <c r="AH195" s="324" t="s">
        <v>2373</v>
      </c>
      <c r="AI195" s="324" t="s">
        <v>2370</v>
      </c>
      <c r="AJ195" s="324" t="s">
        <v>2370</v>
      </c>
      <c r="AK195" s="324" t="s">
        <v>2370</v>
      </c>
      <c r="AL195" s="324" t="s">
        <v>2370</v>
      </c>
      <c r="AM195" s="324" t="s">
        <v>2370</v>
      </c>
      <c r="AN195" s="324" t="s">
        <v>2370</v>
      </c>
      <c r="AS195" s="324" t="s">
        <v>2033</v>
      </c>
      <c r="AT195" s="324" t="s">
        <v>2033</v>
      </c>
      <c r="AU195" s="324" t="s">
        <v>2033</v>
      </c>
      <c r="AV195" s="324" t="s">
        <v>2033</v>
      </c>
      <c r="AW195" s="324" t="s">
        <v>2033</v>
      </c>
      <c r="AX195" s="324" t="s">
        <v>2033</v>
      </c>
      <c r="AY195" s="324" t="s">
        <v>2033</v>
      </c>
      <c r="AZ195" s="324" t="s">
        <v>2033</v>
      </c>
      <c r="BA195" s="324" t="s">
        <v>2033</v>
      </c>
      <c r="BB195" s="324" t="s">
        <v>2033</v>
      </c>
      <c r="BC195" s="324" t="s">
        <v>2033</v>
      </c>
      <c r="BD195" s="324" t="s">
        <v>2033</v>
      </c>
      <c r="BE195" s="324" t="s">
        <v>2033</v>
      </c>
      <c r="BF195" s="324" t="s">
        <v>2033</v>
      </c>
      <c r="BG195" s="324" t="s">
        <v>2033</v>
      </c>
      <c r="BH195" s="324" t="s">
        <v>2033</v>
      </c>
      <c r="BI195" s="324" t="s">
        <v>2034</v>
      </c>
      <c r="BJ195" s="324" t="s">
        <v>2034</v>
      </c>
      <c r="BK195" s="324" t="s">
        <v>2034</v>
      </c>
      <c r="BL195" s="324" t="s">
        <v>2034</v>
      </c>
      <c r="BM195" s="324" t="s">
        <v>2034</v>
      </c>
      <c r="BN195" s="324" t="s">
        <v>2034</v>
      </c>
      <c r="BO195" s="324" t="s">
        <v>2034</v>
      </c>
      <c r="BP195" s="324" t="s">
        <v>2034</v>
      </c>
      <c r="BQ195" s="324" t="s">
        <v>2034</v>
      </c>
      <c r="BR195" s="324" t="s">
        <v>2034</v>
      </c>
      <c r="BS195" s="324" t="s">
        <v>2034</v>
      </c>
      <c r="BT195" s="324" t="s">
        <v>2034</v>
      </c>
      <c r="BU195" s="324" t="s">
        <v>2034</v>
      </c>
      <c r="BV195" s="324" t="s">
        <v>2034</v>
      </c>
      <c r="BW195" s="324" t="s">
        <v>2034</v>
      </c>
      <c r="BY195" s="324" t="s">
        <v>2361</v>
      </c>
      <c r="BZ195" s="324" t="s">
        <v>2361</v>
      </c>
      <c r="CA195" s="324" t="s">
        <v>2361</v>
      </c>
      <c r="CB195" s="324" t="s">
        <v>2361</v>
      </c>
      <c r="CC195" s="324" t="s">
        <v>2361</v>
      </c>
      <c r="CD195" s="324" t="s">
        <v>2361</v>
      </c>
      <c r="CE195" s="324" t="s">
        <v>2361</v>
      </c>
      <c r="CF195" s="324" t="s">
        <v>2361</v>
      </c>
      <c r="CG195" s="324" t="s">
        <v>2359</v>
      </c>
      <c r="CH195" s="324" t="s">
        <v>2359</v>
      </c>
      <c r="CI195" s="324" t="s">
        <v>2359</v>
      </c>
      <c r="CJ195" s="324" t="s">
        <v>2359</v>
      </c>
      <c r="CK195" s="324" t="s">
        <v>2359</v>
      </c>
      <c r="CL195" s="324" t="s">
        <v>2359</v>
      </c>
      <c r="BNR195" s="324" t="s">
        <v>2361</v>
      </c>
      <c r="BNS195" s="324" t="s">
        <v>2361</v>
      </c>
      <c r="BNT195" s="324" t="s">
        <v>2361</v>
      </c>
      <c r="BNU195" s="324" t="s">
        <v>2361</v>
      </c>
      <c r="BNV195" s="324" t="s">
        <v>2361</v>
      </c>
      <c r="BNW195" s="324" t="s">
        <v>2361</v>
      </c>
      <c r="BNX195" s="324" t="s">
        <v>2372</v>
      </c>
      <c r="BNY195" s="324" t="s">
        <v>2372</v>
      </c>
      <c r="BNZ195" s="324" t="s">
        <v>2372</v>
      </c>
      <c r="BOA195" s="324" t="s">
        <v>2372</v>
      </c>
      <c r="BOB195" s="324" t="s">
        <v>2372</v>
      </c>
      <c r="BOC195" s="324" t="s">
        <v>2372</v>
      </c>
      <c r="BOD195" s="324" t="s">
        <v>2362</v>
      </c>
      <c r="BOE195" s="324" t="s">
        <v>2362</v>
      </c>
      <c r="BOF195" s="324" t="s">
        <v>2362</v>
      </c>
      <c r="BOG195" s="324" t="s">
        <v>2362</v>
      </c>
      <c r="BOH195" s="324" t="s">
        <v>2362</v>
      </c>
      <c r="BOI195" s="324" t="s">
        <v>2362</v>
      </c>
      <c r="BOJ195" s="324" t="s">
        <v>2036</v>
      </c>
      <c r="BOK195" s="324" t="s">
        <v>2036</v>
      </c>
      <c r="BOL195" s="324" t="s">
        <v>2036</v>
      </c>
      <c r="BOM195" s="324" t="s">
        <v>2036</v>
      </c>
      <c r="BON195" s="324" t="s">
        <v>2036</v>
      </c>
      <c r="BOO195" s="324" t="s">
        <v>2036</v>
      </c>
    </row>
    <row r="196" spans="1:90 1734:1757" s="324" customFormat="1" x14ac:dyDescent="0.25">
      <c r="A196" s="315">
        <v>6</v>
      </c>
      <c r="B196" s="315">
        <v>15</v>
      </c>
      <c r="C196" s="315">
        <v>16</v>
      </c>
      <c r="D196" s="315" t="s">
        <v>2708</v>
      </c>
      <c r="E196" s="316" t="s">
        <v>2717</v>
      </c>
      <c r="F196" s="316" t="s">
        <v>2435</v>
      </c>
      <c r="G196" s="316" t="s">
        <v>2435</v>
      </c>
      <c r="H196" s="316" t="s">
        <v>2435</v>
      </c>
      <c r="I196" s="315">
        <v>8</v>
      </c>
      <c r="J196" s="315">
        <v>0</v>
      </c>
      <c r="K196" s="315">
        <v>0</v>
      </c>
      <c r="L196" s="315">
        <v>0</v>
      </c>
      <c r="M196" s="317">
        <v>396</v>
      </c>
      <c r="N196" s="317" t="s">
        <v>2723</v>
      </c>
      <c r="O196" s="318" t="s">
        <v>1519</v>
      </c>
      <c r="P196" s="318" t="s">
        <v>1497</v>
      </c>
      <c r="Q196" s="319" t="s">
        <v>2338</v>
      </c>
      <c r="R196" s="320">
        <v>515096</v>
      </c>
      <c r="S196" s="321" t="s">
        <v>1176</v>
      </c>
      <c r="T196" s="322">
        <v>123</v>
      </c>
      <c r="U196" s="323" t="s">
        <v>2339</v>
      </c>
      <c r="AH196" s="324" t="s">
        <v>2373</v>
      </c>
      <c r="AI196" s="324" t="s">
        <v>2373</v>
      </c>
      <c r="AJ196" s="324" t="s">
        <v>2370</v>
      </c>
      <c r="AK196" s="324" t="s">
        <v>2370</v>
      </c>
      <c r="AL196" s="324" t="s">
        <v>2370</v>
      </c>
      <c r="AM196" s="324" t="s">
        <v>2370</v>
      </c>
      <c r="AN196" s="324" t="s">
        <v>2370</v>
      </c>
      <c r="AS196" s="324" t="s">
        <v>2033</v>
      </c>
      <c r="AT196" s="324" t="s">
        <v>2033</v>
      </c>
      <c r="AU196" s="324" t="s">
        <v>2033</v>
      </c>
      <c r="AV196" s="324" t="s">
        <v>2033</v>
      </c>
      <c r="AW196" s="324" t="s">
        <v>2033</v>
      </c>
      <c r="AX196" s="324" t="s">
        <v>2033</v>
      </c>
      <c r="AY196" s="324" t="s">
        <v>2033</v>
      </c>
      <c r="AZ196" s="324" t="s">
        <v>2033</v>
      </c>
      <c r="BA196" s="324" t="s">
        <v>2033</v>
      </c>
      <c r="BB196" s="324" t="s">
        <v>2033</v>
      </c>
      <c r="BC196" s="324" t="s">
        <v>2033</v>
      </c>
      <c r="BD196" s="324" t="s">
        <v>2033</v>
      </c>
      <c r="BE196" s="324" t="s">
        <v>2033</v>
      </c>
      <c r="BF196" s="324" t="s">
        <v>2033</v>
      </c>
      <c r="BG196" s="324" t="s">
        <v>2033</v>
      </c>
      <c r="BH196" s="324" t="s">
        <v>2033</v>
      </c>
      <c r="BI196" s="324" t="s">
        <v>2034</v>
      </c>
      <c r="BJ196" s="324" t="s">
        <v>2034</v>
      </c>
      <c r="BK196" s="324" t="s">
        <v>2034</v>
      </c>
      <c r="BL196" s="324" t="s">
        <v>2034</v>
      </c>
      <c r="BM196" s="324" t="s">
        <v>2034</v>
      </c>
      <c r="BN196" s="324" t="s">
        <v>2034</v>
      </c>
      <c r="BO196" s="324" t="s">
        <v>2034</v>
      </c>
      <c r="BP196" s="324" t="s">
        <v>2034</v>
      </c>
      <c r="BQ196" s="324" t="s">
        <v>2034</v>
      </c>
      <c r="BR196" s="324" t="s">
        <v>2034</v>
      </c>
      <c r="BS196" s="324" t="s">
        <v>2034</v>
      </c>
      <c r="BT196" s="324" t="s">
        <v>2034</v>
      </c>
      <c r="BU196" s="324" t="s">
        <v>2034</v>
      </c>
      <c r="BV196" s="324" t="s">
        <v>2034</v>
      </c>
      <c r="BW196" s="324" t="s">
        <v>2034</v>
      </c>
      <c r="BY196" s="324" t="s">
        <v>2361</v>
      </c>
      <c r="BZ196" s="324" t="s">
        <v>2361</v>
      </c>
      <c r="CA196" s="324" t="s">
        <v>2361</v>
      </c>
      <c r="CB196" s="324" t="s">
        <v>2361</v>
      </c>
      <c r="CC196" s="324" t="s">
        <v>2361</v>
      </c>
      <c r="CD196" s="324" t="s">
        <v>2361</v>
      </c>
      <c r="CE196" s="324" t="s">
        <v>2361</v>
      </c>
      <c r="CF196" s="324" t="s">
        <v>2361</v>
      </c>
      <c r="CG196" s="324" t="s">
        <v>2359</v>
      </c>
      <c r="CH196" s="324" t="s">
        <v>2359</v>
      </c>
      <c r="CI196" s="324" t="s">
        <v>2359</v>
      </c>
      <c r="CJ196" s="324" t="s">
        <v>2359</v>
      </c>
      <c r="CK196" s="324" t="s">
        <v>2359</v>
      </c>
      <c r="CL196" s="324" t="s">
        <v>2359</v>
      </c>
      <c r="BNR196" s="324" t="s">
        <v>2361</v>
      </c>
      <c r="BNS196" s="324" t="s">
        <v>2361</v>
      </c>
      <c r="BNT196" s="324" t="s">
        <v>2361</v>
      </c>
      <c r="BNU196" s="324" t="s">
        <v>2361</v>
      </c>
      <c r="BNV196" s="324" t="s">
        <v>2361</v>
      </c>
      <c r="BNW196" s="324" t="s">
        <v>2361</v>
      </c>
      <c r="BNX196" s="324" t="s">
        <v>2372</v>
      </c>
      <c r="BNY196" s="324" t="s">
        <v>2372</v>
      </c>
      <c r="BNZ196" s="324" t="s">
        <v>2372</v>
      </c>
      <c r="BOA196" s="324" t="s">
        <v>2372</v>
      </c>
      <c r="BOB196" s="324" t="s">
        <v>2372</v>
      </c>
      <c r="BOC196" s="324" t="s">
        <v>2372</v>
      </c>
      <c r="BOD196" s="324" t="s">
        <v>2362</v>
      </c>
      <c r="BOE196" s="324" t="s">
        <v>2362</v>
      </c>
      <c r="BOF196" s="324" t="s">
        <v>2362</v>
      </c>
      <c r="BOG196" s="324" t="s">
        <v>2362</v>
      </c>
      <c r="BOH196" s="324" t="s">
        <v>2362</v>
      </c>
      <c r="BOI196" s="324" t="s">
        <v>2362</v>
      </c>
      <c r="BOJ196" s="324" t="s">
        <v>2036</v>
      </c>
      <c r="BOK196" s="324" t="s">
        <v>2036</v>
      </c>
      <c r="BOL196" s="324" t="s">
        <v>2036</v>
      </c>
      <c r="BOM196" s="324" t="s">
        <v>2036</v>
      </c>
      <c r="BON196" s="324" t="s">
        <v>2036</v>
      </c>
      <c r="BOO196" s="324" t="s">
        <v>2036</v>
      </c>
    </row>
    <row r="197" spans="1:90 1734:1757" s="324" customFormat="1" x14ac:dyDescent="0.25">
      <c r="A197" s="315">
        <v>6</v>
      </c>
      <c r="B197" s="315">
        <v>15</v>
      </c>
      <c r="C197" s="315">
        <v>16</v>
      </c>
      <c r="D197" s="315" t="s">
        <v>2708</v>
      </c>
      <c r="E197" s="316" t="s">
        <v>2726</v>
      </c>
      <c r="F197" s="316" t="s">
        <v>2435</v>
      </c>
      <c r="G197" s="316" t="s">
        <v>2435</v>
      </c>
      <c r="H197" s="316" t="s">
        <v>2435</v>
      </c>
      <c r="I197" s="315">
        <v>8</v>
      </c>
      <c r="J197" s="315">
        <v>0</v>
      </c>
      <c r="K197" s="315">
        <v>0</v>
      </c>
      <c r="L197" s="315">
        <v>0</v>
      </c>
      <c r="M197" s="317">
        <v>396</v>
      </c>
      <c r="N197" s="317" t="s">
        <v>2725</v>
      </c>
      <c r="O197" s="318" t="s">
        <v>1519</v>
      </c>
      <c r="P197" s="318" t="s">
        <v>1497</v>
      </c>
      <c r="Q197" s="319" t="s">
        <v>2338</v>
      </c>
      <c r="R197" s="320">
        <v>525096</v>
      </c>
      <c r="S197" s="321" t="s">
        <v>1176</v>
      </c>
      <c r="T197" s="322">
        <v>123</v>
      </c>
      <c r="U197" s="323" t="s">
        <v>2339</v>
      </c>
      <c r="AH197" s="324" t="s">
        <v>2373</v>
      </c>
      <c r="AI197" s="324" t="s">
        <v>2373</v>
      </c>
      <c r="AJ197" s="324" t="s">
        <v>2370</v>
      </c>
      <c r="AK197" s="324" t="s">
        <v>2370</v>
      </c>
      <c r="AL197" s="324" t="s">
        <v>2370</v>
      </c>
      <c r="AM197" s="324" t="s">
        <v>2370</v>
      </c>
      <c r="AN197" s="324" t="s">
        <v>2370</v>
      </c>
      <c r="AS197" s="324" t="s">
        <v>2033</v>
      </c>
      <c r="AT197" s="324" t="s">
        <v>2033</v>
      </c>
      <c r="AU197" s="324" t="s">
        <v>2033</v>
      </c>
      <c r="AV197" s="324" t="s">
        <v>2033</v>
      </c>
      <c r="AW197" s="324" t="s">
        <v>2033</v>
      </c>
      <c r="AX197" s="324" t="s">
        <v>2033</v>
      </c>
      <c r="AY197" s="324" t="s">
        <v>2033</v>
      </c>
      <c r="AZ197" s="324" t="s">
        <v>2033</v>
      </c>
      <c r="BA197" s="324" t="s">
        <v>2033</v>
      </c>
      <c r="BB197" s="324" t="s">
        <v>2033</v>
      </c>
      <c r="BC197" s="324" t="s">
        <v>2033</v>
      </c>
      <c r="BD197" s="324" t="s">
        <v>2033</v>
      </c>
      <c r="BE197" s="324" t="s">
        <v>2033</v>
      </c>
      <c r="BF197" s="324" t="s">
        <v>2033</v>
      </c>
      <c r="BG197" s="324" t="s">
        <v>2033</v>
      </c>
      <c r="BH197" s="324" t="s">
        <v>2033</v>
      </c>
      <c r="BI197" s="324" t="s">
        <v>2034</v>
      </c>
      <c r="BJ197" s="324" t="s">
        <v>2034</v>
      </c>
      <c r="BK197" s="324" t="s">
        <v>2034</v>
      </c>
      <c r="BL197" s="324" t="s">
        <v>2034</v>
      </c>
      <c r="BM197" s="324" t="s">
        <v>2034</v>
      </c>
      <c r="BN197" s="324" t="s">
        <v>2034</v>
      </c>
      <c r="BO197" s="324" t="s">
        <v>2034</v>
      </c>
      <c r="BP197" s="324" t="s">
        <v>2034</v>
      </c>
      <c r="BQ197" s="324" t="s">
        <v>2034</v>
      </c>
      <c r="BR197" s="324" t="s">
        <v>2034</v>
      </c>
      <c r="BS197" s="324" t="s">
        <v>2034</v>
      </c>
      <c r="BT197" s="324" t="s">
        <v>2034</v>
      </c>
      <c r="BU197" s="324" t="s">
        <v>2034</v>
      </c>
      <c r="BV197" s="324" t="s">
        <v>2034</v>
      </c>
      <c r="BW197" s="324" t="s">
        <v>2034</v>
      </c>
      <c r="BY197" s="324" t="s">
        <v>2361</v>
      </c>
      <c r="BZ197" s="324" t="s">
        <v>2361</v>
      </c>
      <c r="CA197" s="324" t="s">
        <v>2361</v>
      </c>
      <c r="CB197" s="324" t="s">
        <v>2361</v>
      </c>
      <c r="CC197" s="324" t="s">
        <v>2361</v>
      </c>
      <c r="CD197" s="324" t="s">
        <v>2361</v>
      </c>
      <c r="CE197" s="324" t="s">
        <v>2361</v>
      </c>
      <c r="CF197" s="324" t="s">
        <v>2361</v>
      </c>
      <c r="CG197" s="324" t="s">
        <v>2359</v>
      </c>
      <c r="CH197" s="324" t="s">
        <v>2359</v>
      </c>
      <c r="CI197" s="324" t="s">
        <v>2359</v>
      </c>
      <c r="CJ197" s="324" t="s">
        <v>2359</v>
      </c>
      <c r="CK197" s="324" t="s">
        <v>2359</v>
      </c>
      <c r="CL197" s="324" t="s">
        <v>2359</v>
      </c>
      <c r="BNR197" s="324" t="s">
        <v>2361</v>
      </c>
      <c r="BNS197" s="324" t="s">
        <v>2361</v>
      </c>
      <c r="BNT197" s="324" t="s">
        <v>2361</v>
      </c>
      <c r="BNU197" s="324" t="s">
        <v>2361</v>
      </c>
      <c r="BNV197" s="324" t="s">
        <v>2361</v>
      </c>
      <c r="BNW197" s="324" t="s">
        <v>2361</v>
      </c>
      <c r="BNX197" s="324" t="s">
        <v>2372</v>
      </c>
      <c r="BNY197" s="324" t="s">
        <v>2372</v>
      </c>
      <c r="BNZ197" s="324" t="s">
        <v>2372</v>
      </c>
      <c r="BOA197" s="324" t="s">
        <v>2372</v>
      </c>
      <c r="BOB197" s="324" t="s">
        <v>2372</v>
      </c>
      <c r="BOC197" s="324" t="s">
        <v>2372</v>
      </c>
      <c r="BOD197" s="324" t="s">
        <v>2362</v>
      </c>
      <c r="BOE197" s="324" t="s">
        <v>2362</v>
      </c>
      <c r="BOF197" s="324" t="s">
        <v>2362</v>
      </c>
      <c r="BOG197" s="324" t="s">
        <v>2362</v>
      </c>
      <c r="BOH197" s="324" t="s">
        <v>2362</v>
      </c>
      <c r="BOI197" s="324" t="s">
        <v>2362</v>
      </c>
      <c r="BOJ197" s="324" t="s">
        <v>2036</v>
      </c>
      <c r="BOK197" s="324" t="s">
        <v>2036</v>
      </c>
      <c r="BOL197" s="324" t="s">
        <v>2036</v>
      </c>
      <c r="BOM197" s="324" t="s">
        <v>2036</v>
      </c>
      <c r="BON197" s="324" t="s">
        <v>2036</v>
      </c>
      <c r="BOO197" s="324" t="s">
        <v>2036</v>
      </c>
    </row>
    <row r="198" spans="1:90 1734:1757" x14ac:dyDescent="0.25">
      <c r="R198" s="309"/>
    </row>
    <row r="222" spans="18:18" x14ac:dyDescent="0.25">
      <c r="R222" s="314"/>
    </row>
    <row r="223" spans="18:18" x14ac:dyDescent="0.25">
      <c r="R223" s="314"/>
    </row>
    <row r="224" spans="18:18" x14ac:dyDescent="0.25">
      <c r="R224" s="314"/>
    </row>
    <row r="225" spans="18:18" x14ac:dyDescent="0.25">
      <c r="R225" s="314"/>
    </row>
    <row r="226" spans="18:18" x14ac:dyDescent="0.25">
      <c r="R226" s="314"/>
    </row>
    <row r="227" spans="18:18" x14ac:dyDescent="0.25">
      <c r="R227" s="314"/>
    </row>
    <row r="228" spans="18:18" x14ac:dyDescent="0.25">
      <c r="R228" s="314"/>
    </row>
    <row r="229" spans="18:18" x14ac:dyDescent="0.25">
      <c r="R229" s="314"/>
    </row>
    <row r="230" spans="18:18" x14ac:dyDescent="0.25">
      <c r="R230" s="314"/>
    </row>
    <row r="231" spans="18:18" x14ac:dyDescent="0.25">
      <c r="R231" s="314"/>
    </row>
    <row r="232" spans="18:18" x14ac:dyDescent="0.25">
      <c r="R232" s="314"/>
    </row>
    <row r="233" spans="18:18" x14ac:dyDescent="0.25">
      <c r="R233" s="314"/>
    </row>
    <row r="234" spans="18:18" x14ac:dyDescent="0.25">
      <c r="R234" s="314"/>
    </row>
    <row r="235" spans="18:18" x14ac:dyDescent="0.25">
      <c r="R235" s="314"/>
    </row>
    <row r="236" spans="18:18" x14ac:dyDescent="0.25">
      <c r="R236" s="314"/>
    </row>
    <row r="237" spans="18:18" x14ac:dyDescent="0.25">
      <c r="R237" s="314"/>
    </row>
    <row r="238" spans="18:18" x14ac:dyDescent="0.25">
      <c r="R238" s="314"/>
    </row>
    <row r="239" spans="18:18" x14ac:dyDescent="0.25">
      <c r="R239" s="314"/>
    </row>
    <row r="240" spans="18:18" x14ac:dyDescent="0.25">
      <c r="R240" s="314"/>
    </row>
    <row r="241" spans="18:18" x14ac:dyDescent="0.25">
      <c r="R241" s="384"/>
    </row>
    <row r="242" spans="18:18" x14ac:dyDescent="0.25">
      <c r="R242" s="314"/>
    </row>
    <row r="243" spans="18:18" x14ac:dyDescent="0.25">
      <c r="R243" s="31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82" r:id="rId4" name="CommandButton1">
          <controlPr autoLine="0" r:id="rId5">
            <anchor moveWithCells="1">
              <from>
                <xdr:col>15</xdr:col>
                <xdr:colOff>152400</xdr:colOff>
                <xdr:row>2</xdr:row>
                <xdr:rowOff>9525</xdr:rowOff>
              </from>
              <to>
                <xdr:col>15</xdr:col>
                <xdr:colOff>1371600</xdr:colOff>
                <xdr:row>3</xdr:row>
                <xdr:rowOff>114300</xdr:rowOff>
              </to>
            </anchor>
          </controlPr>
        </control>
      </mc:Choice>
      <mc:Fallback>
        <control shapeId="32782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W136"/>
  <sheetViews>
    <sheetView topLeftCell="C55" zoomScale="85" zoomScaleNormal="85" workbookViewId="0">
      <selection activeCell="P111" sqref="P111"/>
    </sheetView>
  </sheetViews>
  <sheetFormatPr defaultRowHeight="15" x14ac:dyDescent="0.25"/>
  <cols>
    <col min="1" max="1" width="16.7109375" style="154" customWidth="1"/>
    <col min="2" max="3" width="6.5703125" style="154" customWidth="1"/>
    <col min="4" max="4" width="5.5703125" style="154" customWidth="1"/>
    <col min="5" max="5" width="11.42578125" style="154" customWidth="1"/>
    <col min="6" max="6" width="7.85546875" style="154" customWidth="1"/>
    <col min="7" max="7" width="10.5703125" style="154" customWidth="1"/>
    <col min="8" max="8" width="8.7109375" style="154" customWidth="1"/>
    <col min="9" max="9" width="8.85546875" style="154" customWidth="1"/>
    <col min="10" max="10" width="7.140625" style="154" customWidth="1"/>
    <col min="11" max="11" width="8.5703125" style="154" customWidth="1"/>
    <col min="12" max="12" width="8.42578125" style="155" customWidth="1"/>
    <col min="13" max="13" width="7.85546875" style="154" customWidth="1"/>
    <col min="14" max="14" width="7.7109375" style="154" customWidth="1"/>
    <col min="15" max="15" width="15.28515625" style="155" customWidth="1"/>
    <col min="16" max="16" width="13.85546875" style="155" customWidth="1"/>
    <col min="17" max="17" width="18" style="155" customWidth="1"/>
    <col min="18" max="18" width="36" style="155" customWidth="1"/>
    <col min="19" max="19" width="13.7109375" style="154" customWidth="1"/>
    <col min="20" max="20" width="15.42578125" style="154" customWidth="1"/>
    <col min="21" max="21" width="9.140625" style="154"/>
    <col min="22" max="22" width="98.42578125" style="154" customWidth="1"/>
    <col min="23" max="256" width="9.140625" style="154"/>
    <col min="257" max="257" width="16.7109375" style="154" customWidth="1"/>
    <col min="258" max="259" width="6.5703125" style="154" customWidth="1"/>
    <col min="260" max="260" width="5.5703125" style="154" customWidth="1"/>
    <col min="261" max="261" width="11.42578125" style="154" customWidth="1"/>
    <col min="262" max="262" width="7.85546875" style="154" customWidth="1"/>
    <col min="263" max="263" width="10.5703125" style="154" customWidth="1"/>
    <col min="264" max="264" width="8.7109375" style="154" customWidth="1"/>
    <col min="265" max="265" width="8.85546875" style="154" customWidth="1"/>
    <col min="266" max="266" width="7.140625" style="154" customWidth="1"/>
    <col min="267" max="267" width="8.5703125" style="154" customWidth="1"/>
    <col min="268" max="268" width="8.42578125" style="154" customWidth="1"/>
    <col min="269" max="269" width="7.85546875" style="154" customWidth="1"/>
    <col min="270" max="270" width="7.7109375" style="154" customWidth="1"/>
    <col min="271" max="271" width="15.28515625" style="154" customWidth="1"/>
    <col min="272" max="272" width="13.85546875" style="154" customWidth="1"/>
    <col min="273" max="273" width="18" style="154" customWidth="1"/>
    <col min="274" max="274" width="36" style="154" customWidth="1"/>
    <col min="275" max="275" width="13.7109375" style="154" customWidth="1"/>
    <col min="276" max="276" width="15.42578125" style="154" customWidth="1"/>
    <col min="277" max="277" width="9.140625" style="154"/>
    <col min="278" max="278" width="98.42578125" style="154" customWidth="1"/>
    <col min="279" max="512" width="9.140625" style="154"/>
    <col min="513" max="513" width="16.7109375" style="154" customWidth="1"/>
    <col min="514" max="515" width="6.5703125" style="154" customWidth="1"/>
    <col min="516" max="516" width="5.5703125" style="154" customWidth="1"/>
    <col min="517" max="517" width="11.42578125" style="154" customWidth="1"/>
    <col min="518" max="518" width="7.85546875" style="154" customWidth="1"/>
    <col min="519" max="519" width="10.5703125" style="154" customWidth="1"/>
    <col min="520" max="520" width="8.7109375" style="154" customWidth="1"/>
    <col min="521" max="521" width="8.85546875" style="154" customWidth="1"/>
    <col min="522" max="522" width="7.140625" style="154" customWidth="1"/>
    <col min="523" max="523" width="8.5703125" style="154" customWidth="1"/>
    <col min="524" max="524" width="8.42578125" style="154" customWidth="1"/>
    <col min="525" max="525" width="7.85546875" style="154" customWidth="1"/>
    <col min="526" max="526" width="7.7109375" style="154" customWidth="1"/>
    <col min="527" max="527" width="15.28515625" style="154" customWidth="1"/>
    <col min="528" max="528" width="13.85546875" style="154" customWidth="1"/>
    <col min="529" max="529" width="18" style="154" customWidth="1"/>
    <col min="530" max="530" width="36" style="154" customWidth="1"/>
    <col min="531" max="531" width="13.7109375" style="154" customWidth="1"/>
    <col min="532" max="532" width="15.42578125" style="154" customWidth="1"/>
    <col min="533" max="533" width="9.140625" style="154"/>
    <col min="534" max="534" width="98.42578125" style="154" customWidth="1"/>
    <col min="535" max="768" width="9.140625" style="154"/>
    <col min="769" max="769" width="16.7109375" style="154" customWidth="1"/>
    <col min="770" max="771" width="6.5703125" style="154" customWidth="1"/>
    <col min="772" max="772" width="5.5703125" style="154" customWidth="1"/>
    <col min="773" max="773" width="11.42578125" style="154" customWidth="1"/>
    <col min="774" max="774" width="7.85546875" style="154" customWidth="1"/>
    <col min="775" max="775" width="10.5703125" style="154" customWidth="1"/>
    <col min="776" max="776" width="8.7109375" style="154" customWidth="1"/>
    <col min="777" max="777" width="8.85546875" style="154" customWidth="1"/>
    <col min="778" max="778" width="7.140625" style="154" customWidth="1"/>
    <col min="779" max="779" width="8.5703125" style="154" customWidth="1"/>
    <col min="780" max="780" width="8.42578125" style="154" customWidth="1"/>
    <col min="781" max="781" width="7.85546875" style="154" customWidth="1"/>
    <col min="782" max="782" width="7.7109375" style="154" customWidth="1"/>
    <col min="783" max="783" width="15.28515625" style="154" customWidth="1"/>
    <col min="784" max="784" width="13.85546875" style="154" customWidth="1"/>
    <col min="785" max="785" width="18" style="154" customWidth="1"/>
    <col min="786" max="786" width="36" style="154" customWidth="1"/>
    <col min="787" max="787" width="13.7109375" style="154" customWidth="1"/>
    <col min="788" max="788" width="15.42578125" style="154" customWidth="1"/>
    <col min="789" max="789" width="9.140625" style="154"/>
    <col min="790" max="790" width="98.42578125" style="154" customWidth="1"/>
    <col min="791" max="1024" width="9.140625" style="154"/>
    <col min="1025" max="1025" width="16.7109375" style="154" customWidth="1"/>
    <col min="1026" max="1027" width="6.5703125" style="154" customWidth="1"/>
    <col min="1028" max="1028" width="5.5703125" style="154" customWidth="1"/>
    <col min="1029" max="1029" width="11.42578125" style="154" customWidth="1"/>
    <col min="1030" max="1030" width="7.85546875" style="154" customWidth="1"/>
    <col min="1031" max="1031" width="10.5703125" style="154" customWidth="1"/>
    <col min="1032" max="1032" width="8.7109375" style="154" customWidth="1"/>
    <col min="1033" max="1033" width="8.85546875" style="154" customWidth="1"/>
    <col min="1034" max="1034" width="7.140625" style="154" customWidth="1"/>
    <col min="1035" max="1035" width="8.5703125" style="154" customWidth="1"/>
    <col min="1036" max="1036" width="8.42578125" style="154" customWidth="1"/>
    <col min="1037" max="1037" width="7.85546875" style="154" customWidth="1"/>
    <col min="1038" max="1038" width="7.7109375" style="154" customWidth="1"/>
    <col min="1039" max="1039" width="15.28515625" style="154" customWidth="1"/>
    <col min="1040" max="1040" width="13.85546875" style="154" customWidth="1"/>
    <col min="1041" max="1041" width="18" style="154" customWidth="1"/>
    <col min="1042" max="1042" width="36" style="154" customWidth="1"/>
    <col min="1043" max="1043" width="13.7109375" style="154" customWidth="1"/>
    <col min="1044" max="1044" width="15.42578125" style="154" customWidth="1"/>
    <col min="1045" max="1045" width="9.140625" style="154"/>
    <col min="1046" max="1046" width="98.42578125" style="154" customWidth="1"/>
    <col min="1047" max="1280" width="9.140625" style="154"/>
    <col min="1281" max="1281" width="16.7109375" style="154" customWidth="1"/>
    <col min="1282" max="1283" width="6.5703125" style="154" customWidth="1"/>
    <col min="1284" max="1284" width="5.5703125" style="154" customWidth="1"/>
    <col min="1285" max="1285" width="11.42578125" style="154" customWidth="1"/>
    <col min="1286" max="1286" width="7.85546875" style="154" customWidth="1"/>
    <col min="1287" max="1287" width="10.5703125" style="154" customWidth="1"/>
    <col min="1288" max="1288" width="8.7109375" style="154" customWidth="1"/>
    <col min="1289" max="1289" width="8.85546875" style="154" customWidth="1"/>
    <col min="1290" max="1290" width="7.140625" style="154" customWidth="1"/>
    <col min="1291" max="1291" width="8.5703125" style="154" customWidth="1"/>
    <col min="1292" max="1292" width="8.42578125" style="154" customWidth="1"/>
    <col min="1293" max="1293" width="7.85546875" style="154" customWidth="1"/>
    <col min="1294" max="1294" width="7.7109375" style="154" customWidth="1"/>
    <col min="1295" max="1295" width="15.28515625" style="154" customWidth="1"/>
    <col min="1296" max="1296" width="13.85546875" style="154" customWidth="1"/>
    <col min="1297" max="1297" width="18" style="154" customWidth="1"/>
    <col min="1298" max="1298" width="36" style="154" customWidth="1"/>
    <col min="1299" max="1299" width="13.7109375" style="154" customWidth="1"/>
    <col min="1300" max="1300" width="15.42578125" style="154" customWidth="1"/>
    <col min="1301" max="1301" width="9.140625" style="154"/>
    <col min="1302" max="1302" width="98.42578125" style="154" customWidth="1"/>
    <col min="1303" max="1536" width="9.140625" style="154"/>
    <col min="1537" max="1537" width="16.7109375" style="154" customWidth="1"/>
    <col min="1538" max="1539" width="6.5703125" style="154" customWidth="1"/>
    <col min="1540" max="1540" width="5.5703125" style="154" customWidth="1"/>
    <col min="1541" max="1541" width="11.42578125" style="154" customWidth="1"/>
    <col min="1542" max="1542" width="7.85546875" style="154" customWidth="1"/>
    <col min="1543" max="1543" width="10.5703125" style="154" customWidth="1"/>
    <col min="1544" max="1544" width="8.7109375" style="154" customWidth="1"/>
    <col min="1545" max="1545" width="8.85546875" style="154" customWidth="1"/>
    <col min="1546" max="1546" width="7.140625" style="154" customWidth="1"/>
    <col min="1547" max="1547" width="8.5703125" style="154" customWidth="1"/>
    <col min="1548" max="1548" width="8.42578125" style="154" customWidth="1"/>
    <col min="1549" max="1549" width="7.85546875" style="154" customWidth="1"/>
    <col min="1550" max="1550" width="7.7109375" style="154" customWidth="1"/>
    <col min="1551" max="1551" width="15.28515625" style="154" customWidth="1"/>
    <col min="1552" max="1552" width="13.85546875" style="154" customWidth="1"/>
    <col min="1553" max="1553" width="18" style="154" customWidth="1"/>
    <col min="1554" max="1554" width="36" style="154" customWidth="1"/>
    <col min="1555" max="1555" width="13.7109375" style="154" customWidth="1"/>
    <col min="1556" max="1556" width="15.42578125" style="154" customWidth="1"/>
    <col min="1557" max="1557" width="9.140625" style="154"/>
    <col min="1558" max="1558" width="98.42578125" style="154" customWidth="1"/>
    <col min="1559" max="1792" width="9.140625" style="154"/>
    <col min="1793" max="1793" width="16.7109375" style="154" customWidth="1"/>
    <col min="1794" max="1795" width="6.5703125" style="154" customWidth="1"/>
    <col min="1796" max="1796" width="5.5703125" style="154" customWidth="1"/>
    <col min="1797" max="1797" width="11.42578125" style="154" customWidth="1"/>
    <col min="1798" max="1798" width="7.85546875" style="154" customWidth="1"/>
    <col min="1799" max="1799" width="10.5703125" style="154" customWidth="1"/>
    <col min="1800" max="1800" width="8.7109375" style="154" customWidth="1"/>
    <col min="1801" max="1801" width="8.85546875" style="154" customWidth="1"/>
    <col min="1802" max="1802" width="7.140625" style="154" customWidth="1"/>
    <col min="1803" max="1803" width="8.5703125" style="154" customWidth="1"/>
    <col min="1804" max="1804" width="8.42578125" style="154" customWidth="1"/>
    <col min="1805" max="1805" width="7.85546875" style="154" customWidth="1"/>
    <col min="1806" max="1806" width="7.7109375" style="154" customWidth="1"/>
    <col min="1807" max="1807" width="15.28515625" style="154" customWidth="1"/>
    <col min="1808" max="1808" width="13.85546875" style="154" customWidth="1"/>
    <col min="1809" max="1809" width="18" style="154" customWidth="1"/>
    <col min="1810" max="1810" width="36" style="154" customWidth="1"/>
    <col min="1811" max="1811" width="13.7109375" style="154" customWidth="1"/>
    <col min="1812" max="1812" width="15.42578125" style="154" customWidth="1"/>
    <col min="1813" max="1813" width="9.140625" style="154"/>
    <col min="1814" max="1814" width="98.42578125" style="154" customWidth="1"/>
    <col min="1815" max="2048" width="9.140625" style="154"/>
    <col min="2049" max="2049" width="16.7109375" style="154" customWidth="1"/>
    <col min="2050" max="2051" width="6.5703125" style="154" customWidth="1"/>
    <col min="2052" max="2052" width="5.5703125" style="154" customWidth="1"/>
    <col min="2053" max="2053" width="11.42578125" style="154" customWidth="1"/>
    <col min="2054" max="2054" width="7.85546875" style="154" customWidth="1"/>
    <col min="2055" max="2055" width="10.5703125" style="154" customWidth="1"/>
    <col min="2056" max="2056" width="8.7109375" style="154" customWidth="1"/>
    <col min="2057" max="2057" width="8.85546875" style="154" customWidth="1"/>
    <col min="2058" max="2058" width="7.140625" style="154" customWidth="1"/>
    <col min="2059" max="2059" width="8.5703125" style="154" customWidth="1"/>
    <col min="2060" max="2060" width="8.42578125" style="154" customWidth="1"/>
    <col min="2061" max="2061" width="7.85546875" style="154" customWidth="1"/>
    <col min="2062" max="2062" width="7.7109375" style="154" customWidth="1"/>
    <col min="2063" max="2063" width="15.28515625" style="154" customWidth="1"/>
    <col min="2064" max="2064" width="13.85546875" style="154" customWidth="1"/>
    <col min="2065" max="2065" width="18" style="154" customWidth="1"/>
    <col min="2066" max="2066" width="36" style="154" customWidth="1"/>
    <col min="2067" max="2067" width="13.7109375" style="154" customWidth="1"/>
    <col min="2068" max="2068" width="15.42578125" style="154" customWidth="1"/>
    <col min="2069" max="2069" width="9.140625" style="154"/>
    <col min="2070" max="2070" width="98.42578125" style="154" customWidth="1"/>
    <col min="2071" max="2304" width="9.140625" style="154"/>
    <col min="2305" max="2305" width="16.7109375" style="154" customWidth="1"/>
    <col min="2306" max="2307" width="6.5703125" style="154" customWidth="1"/>
    <col min="2308" max="2308" width="5.5703125" style="154" customWidth="1"/>
    <col min="2309" max="2309" width="11.42578125" style="154" customWidth="1"/>
    <col min="2310" max="2310" width="7.85546875" style="154" customWidth="1"/>
    <col min="2311" max="2311" width="10.5703125" style="154" customWidth="1"/>
    <col min="2312" max="2312" width="8.7109375" style="154" customWidth="1"/>
    <col min="2313" max="2313" width="8.85546875" style="154" customWidth="1"/>
    <col min="2314" max="2314" width="7.140625" style="154" customWidth="1"/>
    <col min="2315" max="2315" width="8.5703125" style="154" customWidth="1"/>
    <col min="2316" max="2316" width="8.42578125" style="154" customWidth="1"/>
    <col min="2317" max="2317" width="7.85546875" style="154" customWidth="1"/>
    <col min="2318" max="2318" width="7.7109375" style="154" customWidth="1"/>
    <col min="2319" max="2319" width="15.28515625" style="154" customWidth="1"/>
    <col min="2320" max="2320" width="13.85546875" style="154" customWidth="1"/>
    <col min="2321" max="2321" width="18" style="154" customWidth="1"/>
    <col min="2322" max="2322" width="36" style="154" customWidth="1"/>
    <col min="2323" max="2323" width="13.7109375" style="154" customWidth="1"/>
    <col min="2324" max="2324" width="15.42578125" style="154" customWidth="1"/>
    <col min="2325" max="2325" width="9.140625" style="154"/>
    <col min="2326" max="2326" width="98.42578125" style="154" customWidth="1"/>
    <col min="2327" max="2560" width="9.140625" style="154"/>
    <col min="2561" max="2561" width="16.7109375" style="154" customWidth="1"/>
    <col min="2562" max="2563" width="6.5703125" style="154" customWidth="1"/>
    <col min="2564" max="2564" width="5.5703125" style="154" customWidth="1"/>
    <col min="2565" max="2565" width="11.42578125" style="154" customWidth="1"/>
    <col min="2566" max="2566" width="7.85546875" style="154" customWidth="1"/>
    <col min="2567" max="2567" width="10.5703125" style="154" customWidth="1"/>
    <col min="2568" max="2568" width="8.7109375" style="154" customWidth="1"/>
    <col min="2569" max="2569" width="8.85546875" style="154" customWidth="1"/>
    <col min="2570" max="2570" width="7.140625" style="154" customWidth="1"/>
    <col min="2571" max="2571" width="8.5703125" style="154" customWidth="1"/>
    <col min="2572" max="2572" width="8.42578125" style="154" customWidth="1"/>
    <col min="2573" max="2573" width="7.85546875" style="154" customWidth="1"/>
    <col min="2574" max="2574" width="7.7109375" style="154" customWidth="1"/>
    <col min="2575" max="2575" width="15.28515625" style="154" customWidth="1"/>
    <col min="2576" max="2576" width="13.85546875" style="154" customWidth="1"/>
    <col min="2577" max="2577" width="18" style="154" customWidth="1"/>
    <col min="2578" max="2578" width="36" style="154" customWidth="1"/>
    <col min="2579" max="2579" width="13.7109375" style="154" customWidth="1"/>
    <col min="2580" max="2580" width="15.42578125" style="154" customWidth="1"/>
    <col min="2581" max="2581" width="9.140625" style="154"/>
    <col min="2582" max="2582" width="98.42578125" style="154" customWidth="1"/>
    <col min="2583" max="2816" width="9.140625" style="154"/>
    <col min="2817" max="2817" width="16.7109375" style="154" customWidth="1"/>
    <col min="2818" max="2819" width="6.5703125" style="154" customWidth="1"/>
    <col min="2820" max="2820" width="5.5703125" style="154" customWidth="1"/>
    <col min="2821" max="2821" width="11.42578125" style="154" customWidth="1"/>
    <col min="2822" max="2822" width="7.85546875" style="154" customWidth="1"/>
    <col min="2823" max="2823" width="10.5703125" style="154" customWidth="1"/>
    <col min="2824" max="2824" width="8.7109375" style="154" customWidth="1"/>
    <col min="2825" max="2825" width="8.85546875" style="154" customWidth="1"/>
    <col min="2826" max="2826" width="7.140625" style="154" customWidth="1"/>
    <col min="2827" max="2827" width="8.5703125" style="154" customWidth="1"/>
    <col min="2828" max="2828" width="8.42578125" style="154" customWidth="1"/>
    <col min="2829" max="2829" width="7.85546875" style="154" customWidth="1"/>
    <col min="2830" max="2830" width="7.7109375" style="154" customWidth="1"/>
    <col min="2831" max="2831" width="15.28515625" style="154" customWidth="1"/>
    <col min="2832" max="2832" width="13.85546875" style="154" customWidth="1"/>
    <col min="2833" max="2833" width="18" style="154" customWidth="1"/>
    <col min="2834" max="2834" width="36" style="154" customWidth="1"/>
    <col min="2835" max="2835" width="13.7109375" style="154" customWidth="1"/>
    <col min="2836" max="2836" width="15.42578125" style="154" customWidth="1"/>
    <col min="2837" max="2837" width="9.140625" style="154"/>
    <col min="2838" max="2838" width="98.42578125" style="154" customWidth="1"/>
    <col min="2839" max="3072" width="9.140625" style="154"/>
    <col min="3073" max="3073" width="16.7109375" style="154" customWidth="1"/>
    <col min="3074" max="3075" width="6.5703125" style="154" customWidth="1"/>
    <col min="3076" max="3076" width="5.5703125" style="154" customWidth="1"/>
    <col min="3077" max="3077" width="11.42578125" style="154" customWidth="1"/>
    <col min="3078" max="3078" width="7.85546875" style="154" customWidth="1"/>
    <col min="3079" max="3079" width="10.5703125" style="154" customWidth="1"/>
    <col min="3080" max="3080" width="8.7109375" style="154" customWidth="1"/>
    <col min="3081" max="3081" width="8.85546875" style="154" customWidth="1"/>
    <col min="3082" max="3082" width="7.140625" style="154" customWidth="1"/>
    <col min="3083" max="3083" width="8.5703125" style="154" customWidth="1"/>
    <col min="3084" max="3084" width="8.42578125" style="154" customWidth="1"/>
    <col min="3085" max="3085" width="7.85546875" style="154" customWidth="1"/>
    <col min="3086" max="3086" width="7.7109375" style="154" customWidth="1"/>
    <col min="3087" max="3087" width="15.28515625" style="154" customWidth="1"/>
    <col min="3088" max="3088" width="13.85546875" style="154" customWidth="1"/>
    <col min="3089" max="3089" width="18" style="154" customWidth="1"/>
    <col min="3090" max="3090" width="36" style="154" customWidth="1"/>
    <col min="3091" max="3091" width="13.7109375" style="154" customWidth="1"/>
    <col min="3092" max="3092" width="15.42578125" style="154" customWidth="1"/>
    <col min="3093" max="3093" width="9.140625" style="154"/>
    <col min="3094" max="3094" width="98.42578125" style="154" customWidth="1"/>
    <col min="3095" max="3328" width="9.140625" style="154"/>
    <col min="3329" max="3329" width="16.7109375" style="154" customWidth="1"/>
    <col min="3330" max="3331" width="6.5703125" style="154" customWidth="1"/>
    <col min="3332" max="3332" width="5.5703125" style="154" customWidth="1"/>
    <col min="3333" max="3333" width="11.42578125" style="154" customWidth="1"/>
    <col min="3334" max="3334" width="7.85546875" style="154" customWidth="1"/>
    <col min="3335" max="3335" width="10.5703125" style="154" customWidth="1"/>
    <col min="3336" max="3336" width="8.7109375" style="154" customWidth="1"/>
    <col min="3337" max="3337" width="8.85546875" style="154" customWidth="1"/>
    <col min="3338" max="3338" width="7.140625" style="154" customWidth="1"/>
    <col min="3339" max="3339" width="8.5703125" style="154" customWidth="1"/>
    <col min="3340" max="3340" width="8.42578125" style="154" customWidth="1"/>
    <col min="3341" max="3341" width="7.85546875" style="154" customWidth="1"/>
    <col min="3342" max="3342" width="7.7109375" style="154" customWidth="1"/>
    <col min="3343" max="3343" width="15.28515625" style="154" customWidth="1"/>
    <col min="3344" max="3344" width="13.85546875" style="154" customWidth="1"/>
    <col min="3345" max="3345" width="18" style="154" customWidth="1"/>
    <col min="3346" max="3346" width="36" style="154" customWidth="1"/>
    <col min="3347" max="3347" width="13.7109375" style="154" customWidth="1"/>
    <col min="3348" max="3348" width="15.42578125" style="154" customWidth="1"/>
    <col min="3349" max="3349" width="9.140625" style="154"/>
    <col min="3350" max="3350" width="98.42578125" style="154" customWidth="1"/>
    <col min="3351" max="3584" width="9.140625" style="154"/>
    <col min="3585" max="3585" width="16.7109375" style="154" customWidth="1"/>
    <col min="3586" max="3587" width="6.5703125" style="154" customWidth="1"/>
    <col min="3588" max="3588" width="5.5703125" style="154" customWidth="1"/>
    <col min="3589" max="3589" width="11.42578125" style="154" customWidth="1"/>
    <col min="3590" max="3590" width="7.85546875" style="154" customWidth="1"/>
    <col min="3591" max="3591" width="10.5703125" style="154" customWidth="1"/>
    <col min="3592" max="3592" width="8.7109375" style="154" customWidth="1"/>
    <col min="3593" max="3593" width="8.85546875" style="154" customWidth="1"/>
    <col min="3594" max="3594" width="7.140625" style="154" customWidth="1"/>
    <col min="3595" max="3595" width="8.5703125" style="154" customWidth="1"/>
    <col min="3596" max="3596" width="8.42578125" style="154" customWidth="1"/>
    <col min="3597" max="3597" width="7.85546875" style="154" customWidth="1"/>
    <col min="3598" max="3598" width="7.7109375" style="154" customWidth="1"/>
    <col min="3599" max="3599" width="15.28515625" style="154" customWidth="1"/>
    <col min="3600" max="3600" width="13.85546875" style="154" customWidth="1"/>
    <col min="3601" max="3601" width="18" style="154" customWidth="1"/>
    <col min="3602" max="3602" width="36" style="154" customWidth="1"/>
    <col min="3603" max="3603" width="13.7109375" style="154" customWidth="1"/>
    <col min="3604" max="3604" width="15.42578125" style="154" customWidth="1"/>
    <col min="3605" max="3605" width="9.140625" style="154"/>
    <col min="3606" max="3606" width="98.42578125" style="154" customWidth="1"/>
    <col min="3607" max="3840" width="9.140625" style="154"/>
    <col min="3841" max="3841" width="16.7109375" style="154" customWidth="1"/>
    <col min="3842" max="3843" width="6.5703125" style="154" customWidth="1"/>
    <col min="3844" max="3844" width="5.5703125" style="154" customWidth="1"/>
    <col min="3845" max="3845" width="11.42578125" style="154" customWidth="1"/>
    <col min="3846" max="3846" width="7.85546875" style="154" customWidth="1"/>
    <col min="3847" max="3847" width="10.5703125" style="154" customWidth="1"/>
    <col min="3848" max="3848" width="8.7109375" style="154" customWidth="1"/>
    <col min="3849" max="3849" width="8.85546875" style="154" customWidth="1"/>
    <col min="3850" max="3850" width="7.140625" style="154" customWidth="1"/>
    <col min="3851" max="3851" width="8.5703125" style="154" customWidth="1"/>
    <col min="3852" max="3852" width="8.42578125" style="154" customWidth="1"/>
    <col min="3853" max="3853" width="7.85546875" style="154" customWidth="1"/>
    <col min="3854" max="3854" width="7.7109375" style="154" customWidth="1"/>
    <col min="3855" max="3855" width="15.28515625" style="154" customWidth="1"/>
    <col min="3856" max="3856" width="13.85546875" style="154" customWidth="1"/>
    <col min="3857" max="3857" width="18" style="154" customWidth="1"/>
    <col min="3858" max="3858" width="36" style="154" customWidth="1"/>
    <col min="3859" max="3859" width="13.7109375" style="154" customWidth="1"/>
    <col min="3860" max="3860" width="15.42578125" style="154" customWidth="1"/>
    <col min="3861" max="3861" width="9.140625" style="154"/>
    <col min="3862" max="3862" width="98.42578125" style="154" customWidth="1"/>
    <col min="3863" max="4096" width="9.140625" style="154"/>
    <col min="4097" max="4097" width="16.7109375" style="154" customWidth="1"/>
    <col min="4098" max="4099" width="6.5703125" style="154" customWidth="1"/>
    <col min="4100" max="4100" width="5.5703125" style="154" customWidth="1"/>
    <col min="4101" max="4101" width="11.42578125" style="154" customWidth="1"/>
    <col min="4102" max="4102" width="7.85546875" style="154" customWidth="1"/>
    <col min="4103" max="4103" width="10.5703125" style="154" customWidth="1"/>
    <col min="4104" max="4104" width="8.7109375" style="154" customWidth="1"/>
    <col min="4105" max="4105" width="8.85546875" style="154" customWidth="1"/>
    <col min="4106" max="4106" width="7.140625" style="154" customWidth="1"/>
    <col min="4107" max="4107" width="8.5703125" style="154" customWidth="1"/>
    <col min="4108" max="4108" width="8.42578125" style="154" customWidth="1"/>
    <col min="4109" max="4109" width="7.85546875" style="154" customWidth="1"/>
    <col min="4110" max="4110" width="7.7109375" style="154" customWidth="1"/>
    <col min="4111" max="4111" width="15.28515625" style="154" customWidth="1"/>
    <col min="4112" max="4112" width="13.85546875" style="154" customWidth="1"/>
    <col min="4113" max="4113" width="18" style="154" customWidth="1"/>
    <col min="4114" max="4114" width="36" style="154" customWidth="1"/>
    <col min="4115" max="4115" width="13.7109375" style="154" customWidth="1"/>
    <col min="4116" max="4116" width="15.42578125" style="154" customWidth="1"/>
    <col min="4117" max="4117" width="9.140625" style="154"/>
    <col min="4118" max="4118" width="98.42578125" style="154" customWidth="1"/>
    <col min="4119" max="4352" width="9.140625" style="154"/>
    <col min="4353" max="4353" width="16.7109375" style="154" customWidth="1"/>
    <col min="4354" max="4355" width="6.5703125" style="154" customWidth="1"/>
    <col min="4356" max="4356" width="5.5703125" style="154" customWidth="1"/>
    <col min="4357" max="4357" width="11.42578125" style="154" customWidth="1"/>
    <col min="4358" max="4358" width="7.85546875" style="154" customWidth="1"/>
    <col min="4359" max="4359" width="10.5703125" style="154" customWidth="1"/>
    <col min="4360" max="4360" width="8.7109375" style="154" customWidth="1"/>
    <col min="4361" max="4361" width="8.85546875" style="154" customWidth="1"/>
    <col min="4362" max="4362" width="7.140625" style="154" customWidth="1"/>
    <col min="4363" max="4363" width="8.5703125" style="154" customWidth="1"/>
    <col min="4364" max="4364" width="8.42578125" style="154" customWidth="1"/>
    <col min="4365" max="4365" width="7.85546875" style="154" customWidth="1"/>
    <col min="4366" max="4366" width="7.7109375" style="154" customWidth="1"/>
    <col min="4367" max="4367" width="15.28515625" style="154" customWidth="1"/>
    <col min="4368" max="4368" width="13.85546875" style="154" customWidth="1"/>
    <col min="4369" max="4369" width="18" style="154" customWidth="1"/>
    <col min="4370" max="4370" width="36" style="154" customWidth="1"/>
    <col min="4371" max="4371" width="13.7109375" style="154" customWidth="1"/>
    <col min="4372" max="4372" width="15.42578125" style="154" customWidth="1"/>
    <col min="4373" max="4373" width="9.140625" style="154"/>
    <col min="4374" max="4374" width="98.42578125" style="154" customWidth="1"/>
    <col min="4375" max="4608" width="9.140625" style="154"/>
    <col min="4609" max="4609" width="16.7109375" style="154" customWidth="1"/>
    <col min="4610" max="4611" width="6.5703125" style="154" customWidth="1"/>
    <col min="4612" max="4612" width="5.5703125" style="154" customWidth="1"/>
    <col min="4613" max="4613" width="11.42578125" style="154" customWidth="1"/>
    <col min="4614" max="4614" width="7.85546875" style="154" customWidth="1"/>
    <col min="4615" max="4615" width="10.5703125" style="154" customWidth="1"/>
    <col min="4616" max="4616" width="8.7109375" style="154" customWidth="1"/>
    <col min="4617" max="4617" width="8.85546875" style="154" customWidth="1"/>
    <col min="4618" max="4618" width="7.140625" style="154" customWidth="1"/>
    <col min="4619" max="4619" width="8.5703125" style="154" customWidth="1"/>
    <col min="4620" max="4620" width="8.42578125" style="154" customWidth="1"/>
    <col min="4621" max="4621" width="7.85546875" style="154" customWidth="1"/>
    <col min="4622" max="4622" width="7.7109375" style="154" customWidth="1"/>
    <col min="4623" max="4623" width="15.28515625" style="154" customWidth="1"/>
    <col min="4624" max="4624" width="13.85546875" style="154" customWidth="1"/>
    <col min="4625" max="4625" width="18" style="154" customWidth="1"/>
    <col min="4626" max="4626" width="36" style="154" customWidth="1"/>
    <col min="4627" max="4627" width="13.7109375" style="154" customWidth="1"/>
    <col min="4628" max="4628" width="15.42578125" style="154" customWidth="1"/>
    <col min="4629" max="4629" width="9.140625" style="154"/>
    <col min="4630" max="4630" width="98.42578125" style="154" customWidth="1"/>
    <col min="4631" max="4864" width="9.140625" style="154"/>
    <col min="4865" max="4865" width="16.7109375" style="154" customWidth="1"/>
    <col min="4866" max="4867" width="6.5703125" style="154" customWidth="1"/>
    <col min="4868" max="4868" width="5.5703125" style="154" customWidth="1"/>
    <col min="4869" max="4869" width="11.42578125" style="154" customWidth="1"/>
    <col min="4870" max="4870" width="7.85546875" style="154" customWidth="1"/>
    <col min="4871" max="4871" width="10.5703125" style="154" customWidth="1"/>
    <col min="4872" max="4872" width="8.7109375" style="154" customWidth="1"/>
    <col min="4873" max="4873" width="8.85546875" style="154" customWidth="1"/>
    <col min="4874" max="4874" width="7.140625" style="154" customWidth="1"/>
    <col min="4875" max="4875" width="8.5703125" style="154" customWidth="1"/>
    <col min="4876" max="4876" width="8.42578125" style="154" customWidth="1"/>
    <col min="4877" max="4877" width="7.85546875" style="154" customWidth="1"/>
    <col min="4878" max="4878" width="7.7109375" style="154" customWidth="1"/>
    <col min="4879" max="4879" width="15.28515625" style="154" customWidth="1"/>
    <col min="4880" max="4880" width="13.85546875" style="154" customWidth="1"/>
    <col min="4881" max="4881" width="18" style="154" customWidth="1"/>
    <col min="4882" max="4882" width="36" style="154" customWidth="1"/>
    <col min="4883" max="4883" width="13.7109375" style="154" customWidth="1"/>
    <col min="4884" max="4884" width="15.42578125" style="154" customWidth="1"/>
    <col min="4885" max="4885" width="9.140625" style="154"/>
    <col min="4886" max="4886" width="98.42578125" style="154" customWidth="1"/>
    <col min="4887" max="5120" width="9.140625" style="154"/>
    <col min="5121" max="5121" width="16.7109375" style="154" customWidth="1"/>
    <col min="5122" max="5123" width="6.5703125" style="154" customWidth="1"/>
    <col min="5124" max="5124" width="5.5703125" style="154" customWidth="1"/>
    <col min="5125" max="5125" width="11.42578125" style="154" customWidth="1"/>
    <col min="5126" max="5126" width="7.85546875" style="154" customWidth="1"/>
    <col min="5127" max="5127" width="10.5703125" style="154" customWidth="1"/>
    <col min="5128" max="5128" width="8.7109375" style="154" customWidth="1"/>
    <col min="5129" max="5129" width="8.85546875" style="154" customWidth="1"/>
    <col min="5130" max="5130" width="7.140625" style="154" customWidth="1"/>
    <col min="5131" max="5131" width="8.5703125" style="154" customWidth="1"/>
    <col min="5132" max="5132" width="8.42578125" style="154" customWidth="1"/>
    <col min="5133" max="5133" width="7.85546875" style="154" customWidth="1"/>
    <col min="5134" max="5134" width="7.7109375" style="154" customWidth="1"/>
    <col min="5135" max="5135" width="15.28515625" style="154" customWidth="1"/>
    <col min="5136" max="5136" width="13.85546875" style="154" customWidth="1"/>
    <col min="5137" max="5137" width="18" style="154" customWidth="1"/>
    <col min="5138" max="5138" width="36" style="154" customWidth="1"/>
    <col min="5139" max="5139" width="13.7109375" style="154" customWidth="1"/>
    <col min="5140" max="5140" width="15.42578125" style="154" customWidth="1"/>
    <col min="5141" max="5141" width="9.140625" style="154"/>
    <col min="5142" max="5142" width="98.42578125" style="154" customWidth="1"/>
    <col min="5143" max="5376" width="9.140625" style="154"/>
    <col min="5377" max="5377" width="16.7109375" style="154" customWidth="1"/>
    <col min="5378" max="5379" width="6.5703125" style="154" customWidth="1"/>
    <col min="5380" max="5380" width="5.5703125" style="154" customWidth="1"/>
    <col min="5381" max="5381" width="11.42578125" style="154" customWidth="1"/>
    <col min="5382" max="5382" width="7.85546875" style="154" customWidth="1"/>
    <col min="5383" max="5383" width="10.5703125" style="154" customWidth="1"/>
    <col min="5384" max="5384" width="8.7109375" style="154" customWidth="1"/>
    <col min="5385" max="5385" width="8.85546875" style="154" customWidth="1"/>
    <col min="5386" max="5386" width="7.140625" style="154" customWidth="1"/>
    <col min="5387" max="5387" width="8.5703125" style="154" customWidth="1"/>
    <col min="5388" max="5388" width="8.42578125" style="154" customWidth="1"/>
    <col min="5389" max="5389" width="7.85546875" style="154" customWidth="1"/>
    <col min="5390" max="5390" width="7.7109375" style="154" customWidth="1"/>
    <col min="5391" max="5391" width="15.28515625" style="154" customWidth="1"/>
    <col min="5392" max="5392" width="13.85546875" style="154" customWidth="1"/>
    <col min="5393" max="5393" width="18" style="154" customWidth="1"/>
    <col min="5394" max="5394" width="36" style="154" customWidth="1"/>
    <col min="5395" max="5395" width="13.7109375" style="154" customWidth="1"/>
    <col min="5396" max="5396" width="15.42578125" style="154" customWidth="1"/>
    <col min="5397" max="5397" width="9.140625" style="154"/>
    <col min="5398" max="5398" width="98.42578125" style="154" customWidth="1"/>
    <col min="5399" max="5632" width="9.140625" style="154"/>
    <col min="5633" max="5633" width="16.7109375" style="154" customWidth="1"/>
    <col min="5634" max="5635" width="6.5703125" style="154" customWidth="1"/>
    <col min="5636" max="5636" width="5.5703125" style="154" customWidth="1"/>
    <col min="5637" max="5637" width="11.42578125" style="154" customWidth="1"/>
    <col min="5638" max="5638" width="7.85546875" style="154" customWidth="1"/>
    <col min="5639" max="5639" width="10.5703125" style="154" customWidth="1"/>
    <col min="5640" max="5640" width="8.7109375" style="154" customWidth="1"/>
    <col min="5641" max="5641" width="8.85546875" style="154" customWidth="1"/>
    <col min="5642" max="5642" width="7.140625" style="154" customWidth="1"/>
    <col min="5643" max="5643" width="8.5703125" style="154" customWidth="1"/>
    <col min="5644" max="5644" width="8.42578125" style="154" customWidth="1"/>
    <col min="5645" max="5645" width="7.85546875" style="154" customWidth="1"/>
    <col min="5646" max="5646" width="7.7109375" style="154" customWidth="1"/>
    <col min="5647" max="5647" width="15.28515625" style="154" customWidth="1"/>
    <col min="5648" max="5648" width="13.85546875" style="154" customWidth="1"/>
    <col min="5649" max="5649" width="18" style="154" customWidth="1"/>
    <col min="5650" max="5650" width="36" style="154" customWidth="1"/>
    <col min="5651" max="5651" width="13.7109375" style="154" customWidth="1"/>
    <col min="5652" max="5652" width="15.42578125" style="154" customWidth="1"/>
    <col min="5653" max="5653" width="9.140625" style="154"/>
    <col min="5654" max="5654" width="98.42578125" style="154" customWidth="1"/>
    <col min="5655" max="5888" width="9.140625" style="154"/>
    <col min="5889" max="5889" width="16.7109375" style="154" customWidth="1"/>
    <col min="5890" max="5891" width="6.5703125" style="154" customWidth="1"/>
    <col min="5892" max="5892" width="5.5703125" style="154" customWidth="1"/>
    <col min="5893" max="5893" width="11.42578125" style="154" customWidth="1"/>
    <col min="5894" max="5894" width="7.85546875" style="154" customWidth="1"/>
    <col min="5895" max="5895" width="10.5703125" style="154" customWidth="1"/>
    <col min="5896" max="5896" width="8.7109375" style="154" customWidth="1"/>
    <col min="5897" max="5897" width="8.85546875" style="154" customWidth="1"/>
    <col min="5898" max="5898" width="7.140625" style="154" customWidth="1"/>
    <col min="5899" max="5899" width="8.5703125" style="154" customWidth="1"/>
    <col min="5900" max="5900" width="8.42578125" style="154" customWidth="1"/>
    <col min="5901" max="5901" width="7.85546875" style="154" customWidth="1"/>
    <col min="5902" max="5902" width="7.7109375" style="154" customWidth="1"/>
    <col min="5903" max="5903" width="15.28515625" style="154" customWidth="1"/>
    <col min="5904" max="5904" width="13.85546875" style="154" customWidth="1"/>
    <col min="5905" max="5905" width="18" style="154" customWidth="1"/>
    <col min="5906" max="5906" width="36" style="154" customWidth="1"/>
    <col min="5907" max="5907" width="13.7109375" style="154" customWidth="1"/>
    <col min="5908" max="5908" width="15.42578125" style="154" customWidth="1"/>
    <col min="5909" max="5909" width="9.140625" style="154"/>
    <col min="5910" max="5910" width="98.42578125" style="154" customWidth="1"/>
    <col min="5911" max="6144" width="9.140625" style="154"/>
    <col min="6145" max="6145" width="16.7109375" style="154" customWidth="1"/>
    <col min="6146" max="6147" width="6.5703125" style="154" customWidth="1"/>
    <col min="6148" max="6148" width="5.5703125" style="154" customWidth="1"/>
    <col min="6149" max="6149" width="11.42578125" style="154" customWidth="1"/>
    <col min="6150" max="6150" width="7.85546875" style="154" customWidth="1"/>
    <col min="6151" max="6151" width="10.5703125" style="154" customWidth="1"/>
    <col min="6152" max="6152" width="8.7109375" style="154" customWidth="1"/>
    <col min="6153" max="6153" width="8.85546875" style="154" customWidth="1"/>
    <col min="6154" max="6154" width="7.140625" style="154" customWidth="1"/>
    <col min="6155" max="6155" width="8.5703125" style="154" customWidth="1"/>
    <col min="6156" max="6156" width="8.42578125" style="154" customWidth="1"/>
    <col min="6157" max="6157" width="7.85546875" style="154" customWidth="1"/>
    <col min="6158" max="6158" width="7.7109375" style="154" customWidth="1"/>
    <col min="6159" max="6159" width="15.28515625" style="154" customWidth="1"/>
    <col min="6160" max="6160" width="13.85546875" style="154" customWidth="1"/>
    <col min="6161" max="6161" width="18" style="154" customWidth="1"/>
    <col min="6162" max="6162" width="36" style="154" customWidth="1"/>
    <col min="6163" max="6163" width="13.7109375" style="154" customWidth="1"/>
    <col min="6164" max="6164" width="15.42578125" style="154" customWidth="1"/>
    <col min="6165" max="6165" width="9.140625" style="154"/>
    <col min="6166" max="6166" width="98.42578125" style="154" customWidth="1"/>
    <col min="6167" max="6400" width="9.140625" style="154"/>
    <col min="6401" max="6401" width="16.7109375" style="154" customWidth="1"/>
    <col min="6402" max="6403" width="6.5703125" style="154" customWidth="1"/>
    <col min="6404" max="6404" width="5.5703125" style="154" customWidth="1"/>
    <col min="6405" max="6405" width="11.42578125" style="154" customWidth="1"/>
    <col min="6406" max="6406" width="7.85546875" style="154" customWidth="1"/>
    <col min="6407" max="6407" width="10.5703125" style="154" customWidth="1"/>
    <col min="6408" max="6408" width="8.7109375" style="154" customWidth="1"/>
    <col min="6409" max="6409" width="8.85546875" style="154" customWidth="1"/>
    <col min="6410" max="6410" width="7.140625" style="154" customWidth="1"/>
    <col min="6411" max="6411" width="8.5703125" style="154" customWidth="1"/>
    <col min="6412" max="6412" width="8.42578125" style="154" customWidth="1"/>
    <col min="6413" max="6413" width="7.85546875" style="154" customWidth="1"/>
    <col min="6414" max="6414" width="7.7109375" style="154" customWidth="1"/>
    <col min="6415" max="6415" width="15.28515625" style="154" customWidth="1"/>
    <col min="6416" max="6416" width="13.85546875" style="154" customWidth="1"/>
    <col min="6417" max="6417" width="18" style="154" customWidth="1"/>
    <col min="6418" max="6418" width="36" style="154" customWidth="1"/>
    <col min="6419" max="6419" width="13.7109375" style="154" customWidth="1"/>
    <col min="6420" max="6420" width="15.42578125" style="154" customWidth="1"/>
    <col min="6421" max="6421" width="9.140625" style="154"/>
    <col min="6422" max="6422" width="98.42578125" style="154" customWidth="1"/>
    <col min="6423" max="6656" width="9.140625" style="154"/>
    <col min="6657" max="6657" width="16.7109375" style="154" customWidth="1"/>
    <col min="6658" max="6659" width="6.5703125" style="154" customWidth="1"/>
    <col min="6660" max="6660" width="5.5703125" style="154" customWidth="1"/>
    <col min="6661" max="6661" width="11.42578125" style="154" customWidth="1"/>
    <col min="6662" max="6662" width="7.85546875" style="154" customWidth="1"/>
    <col min="6663" max="6663" width="10.5703125" style="154" customWidth="1"/>
    <col min="6664" max="6664" width="8.7109375" style="154" customWidth="1"/>
    <col min="6665" max="6665" width="8.85546875" style="154" customWidth="1"/>
    <col min="6666" max="6666" width="7.140625" style="154" customWidth="1"/>
    <col min="6667" max="6667" width="8.5703125" style="154" customWidth="1"/>
    <col min="6668" max="6668" width="8.42578125" style="154" customWidth="1"/>
    <col min="6669" max="6669" width="7.85546875" style="154" customWidth="1"/>
    <col min="6670" max="6670" width="7.7109375" style="154" customWidth="1"/>
    <col min="6671" max="6671" width="15.28515625" style="154" customWidth="1"/>
    <col min="6672" max="6672" width="13.85546875" style="154" customWidth="1"/>
    <col min="6673" max="6673" width="18" style="154" customWidth="1"/>
    <col min="6674" max="6674" width="36" style="154" customWidth="1"/>
    <col min="6675" max="6675" width="13.7109375" style="154" customWidth="1"/>
    <col min="6676" max="6676" width="15.42578125" style="154" customWidth="1"/>
    <col min="6677" max="6677" width="9.140625" style="154"/>
    <col min="6678" max="6678" width="98.42578125" style="154" customWidth="1"/>
    <col min="6679" max="6912" width="9.140625" style="154"/>
    <col min="6913" max="6913" width="16.7109375" style="154" customWidth="1"/>
    <col min="6914" max="6915" width="6.5703125" style="154" customWidth="1"/>
    <col min="6916" max="6916" width="5.5703125" style="154" customWidth="1"/>
    <col min="6917" max="6917" width="11.42578125" style="154" customWidth="1"/>
    <col min="6918" max="6918" width="7.85546875" style="154" customWidth="1"/>
    <col min="6919" max="6919" width="10.5703125" style="154" customWidth="1"/>
    <col min="6920" max="6920" width="8.7109375" style="154" customWidth="1"/>
    <col min="6921" max="6921" width="8.85546875" style="154" customWidth="1"/>
    <col min="6922" max="6922" width="7.140625" style="154" customWidth="1"/>
    <col min="6923" max="6923" width="8.5703125" style="154" customWidth="1"/>
    <col min="6924" max="6924" width="8.42578125" style="154" customWidth="1"/>
    <col min="6925" max="6925" width="7.85546875" style="154" customWidth="1"/>
    <col min="6926" max="6926" width="7.7109375" style="154" customWidth="1"/>
    <col min="6927" max="6927" width="15.28515625" style="154" customWidth="1"/>
    <col min="6928" max="6928" width="13.85546875" style="154" customWidth="1"/>
    <col min="6929" max="6929" width="18" style="154" customWidth="1"/>
    <col min="6930" max="6930" width="36" style="154" customWidth="1"/>
    <col min="6931" max="6931" width="13.7109375" style="154" customWidth="1"/>
    <col min="6932" max="6932" width="15.42578125" style="154" customWidth="1"/>
    <col min="6933" max="6933" width="9.140625" style="154"/>
    <col min="6934" max="6934" width="98.42578125" style="154" customWidth="1"/>
    <col min="6935" max="7168" width="9.140625" style="154"/>
    <col min="7169" max="7169" width="16.7109375" style="154" customWidth="1"/>
    <col min="7170" max="7171" width="6.5703125" style="154" customWidth="1"/>
    <col min="7172" max="7172" width="5.5703125" style="154" customWidth="1"/>
    <col min="7173" max="7173" width="11.42578125" style="154" customWidth="1"/>
    <col min="7174" max="7174" width="7.85546875" style="154" customWidth="1"/>
    <col min="7175" max="7175" width="10.5703125" style="154" customWidth="1"/>
    <col min="7176" max="7176" width="8.7109375" style="154" customWidth="1"/>
    <col min="7177" max="7177" width="8.85546875" style="154" customWidth="1"/>
    <col min="7178" max="7178" width="7.140625" style="154" customWidth="1"/>
    <col min="7179" max="7179" width="8.5703125" style="154" customWidth="1"/>
    <col min="7180" max="7180" width="8.42578125" style="154" customWidth="1"/>
    <col min="7181" max="7181" width="7.85546875" style="154" customWidth="1"/>
    <col min="7182" max="7182" width="7.7109375" style="154" customWidth="1"/>
    <col min="7183" max="7183" width="15.28515625" style="154" customWidth="1"/>
    <col min="7184" max="7184" width="13.85546875" style="154" customWidth="1"/>
    <col min="7185" max="7185" width="18" style="154" customWidth="1"/>
    <col min="7186" max="7186" width="36" style="154" customWidth="1"/>
    <col min="7187" max="7187" width="13.7109375" style="154" customWidth="1"/>
    <col min="7188" max="7188" width="15.42578125" style="154" customWidth="1"/>
    <col min="7189" max="7189" width="9.140625" style="154"/>
    <col min="7190" max="7190" width="98.42578125" style="154" customWidth="1"/>
    <col min="7191" max="7424" width="9.140625" style="154"/>
    <col min="7425" max="7425" width="16.7109375" style="154" customWidth="1"/>
    <col min="7426" max="7427" width="6.5703125" style="154" customWidth="1"/>
    <col min="7428" max="7428" width="5.5703125" style="154" customWidth="1"/>
    <col min="7429" max="7429" width="11.42578125" style="154" customWidth="1"/>
    <col min="7430" max="7430" width="7.85546875" style="154" customWidth="1"/>
    <col min="7431" max="7431" width="10.5703125" style="154" customWidth="1"/>
    <col min="7432" max="7432" width="8.7109375" style="154" customWidth="1"/>
    <col min="7433" max="7433" width="8.85546875" style="154" customWidth="1"/>
    <col min="7434" max="7434" width="7.140625" style="154" customWidth="1"/>
    <col min="7435" max="7435" width="8.5703125" style="154" customWidth="1"/>
    <col min="7436" max="7436" width="8.42578125" style="154" customWidth="1"/>
    <col min="7437" max="7437" width="7.85546875" style="154" customWidth="1"/>
    <col min="7438" max="7438" width="7.7109375" style="154" customWidth="1"/>
    <col min="7439" max="7439" width="15.28515625" style="154" customWidth="1"/>
    <col min="7440" max="7440" width="13.85546875" style="154" customWidth="1"/>
    <col min="7441" max="7441" width="18" style="154" customWidth="1"/>
    <col min="7442" max="7442" width="36" style="154" customWidth="1"/>
    <col min="7443" max="7443" width="13.7109375" style="154" customWidth="1"/>
    <col min="7444" max="7444" width="15.42578125" style="154" customWidth="1"/>
    <col min="7445" max="7445" width="9.140625" style="154"/>
    <col min="7446" max="7446" width="98.42578125" style="154" customWidth="1"/>
    <col min="7447" max="7680" width="9.140625" style="154"/>
    <col min="7681" max="7681" width="16.7109375" style="154" customWidth="1"/>
    <col min="7682" max="7683" width="6.5703125" style="154" customWidth="1"/>
    <col min="7684" max="7684" width="5.5703125" style="154" customWidth="1"/>
    <col min="7685" max="7685" width="11.42578125" style="154" customWidth="1"/>
    <col min="7686" max="7686" width="7.85546875" style="154" customWidth="1"/>
    <col min="7687" max="7687" width="10.5703125" style="154" customWidth="1"/>
    <col min="7688" max="7688" width="8.7109375" style="154" customWidth="1"/>
    <col min="7689" max="7689" width="8.85546875" style="154" customWidth="1"/>
    <col min="7690" max="7690" width="7.140625" style="154" customWidth="1"/>
    <col min="7691" max="7691" width="8.5703125" style="154" customWidth="1"/>
    <col min="7692" max="7692" width="8.42578125" style="154" customWidth="1"/>
    <col min="7693" max="7693" width="7.85546875" style="154" customWidth="1"/>
    <col min="7694" max="7694" width="7.7109375" style="154" customWidth="1"/>
    <col min="7695" max="7695" width="15.28515625" style="154" customWidth="1"/>
    <col min="7696" max="7696" width="13.85546875" style="154" customWidth="1"/>
    <col min="7697" max="7697" width="18" style="154" customWidth="1"/>
    <col min="7698" max="7698" width="36" style="154" customWidth="1"/>
    <col min="7699" max="7699" width="13.7109375" style="154" customWidth="1"/>
    <col min="7700" max="7700" width="15.42578125" style="154" customWidth="1"/>
    <col min="7701" max="7701" width="9.140625" style="154"/>
    <col min="7702" max="7702" width="98.42578125" style="154" customWidth="1"/>
    <col min="7703" max="7936" width="9.140625" style="154"/>
    <col min="7937" max="7937" width="16.7109375" style="154" customWidth="1"/>
    <col min="7938" max="7939" width="6.5703125" style="154" customWidth="1"/>
    <col min="7940" max="7940" width="5.5703125" style="154" customWidth="1"/>
    <col min="7941" max="7941" width="11.42578125" style="154" customWidth="1"/>
    <col min="7942" max="7942" width="7.85546875" style="154" customWidth="1"/>
    <col min="7943" max="7943" width="10.5703125" style="154" customWidth="1"/>
    <col min="7944" max="7944" width="8.7109375" style="154" customWidth="1"/>
    <col min="7945" max="7945" width="8.85546875" style="154" customWidth="1"/>
    <col min="7946" max="7946" width="7.140625" style="154" customWidth="1"/>
    <col min="7947" max="7947" width="8.5703125" style="154" customWidth="1"/>
    <col min="7948" max="7948" width="8.42578125" style="154" customWidth="1"/>
    <col min="7949" max="7949" width="7.85546875" style="154" customWidth="1"/>
    <col min="7950" max="7950" width="7.7109375" style="154" customWidth="1"/>
    <col min="7951" max="7951" width="15.28515625" style="154" customWidth="1"/>
    <col min="7952" max="7952" width="13.85546875" style="154" customWidth="1"/>
    <col min="7953" max="7953" width="18" style="154" customWidth="1"/>
    <col min="7954" max="7954" width="36" style="154" customWidth="1"/>
    <col min="7955" max="7955" width="13.7109375" style="154" customWidth="1"/>
    <col min="7956" max="7956" width="15.42578125" style="154" customWidth="1"/>
    <col min="7957" max="7957" width="9.140625" style="154"/>
    <col min="7958" max="7958" width="98.42578125" style="154" customWidth="1"/>
    <col min="7959" max="8192" width="9.140625" style="154"/>
    <col min="8193" max="8193" width="16.7109375" style="154" customWidth="1"/>
    <col min="8194" max="8195" width="6.5703125" style="154" customWidth="1"/>
    <col min="8196" max="8196" width="5.5703125" style="154" customWidth="1"/>
    <col min="8197" max="8197" width="11.42578125" style="154" customWidth="1"/>
    <col min="8198" max="8198" width="7.85546875" style="154" customWidth="1"/>
    <col min="8199" max="8199" width="10.5703125" style="154" customWidth="1"/>
    <col min="8200" max="8200" width="8.7109375" style="154" customWidth="1"/>
    <col min="8201" max="8201" width="8.85546875" style="154" customWidth="1"/>
    <col min="8202" max="8202" width="7.140625" style="154" customWidth="1"/>
    <col min="8203" max="8203" width="8.5703125" style="154" customWidth="1"/>
    <col min="8204" max="8204" width="8.42578125" style="154" customWidth="1"/>
    <col min="8205" max="8205" width="7.85546875" style="154" customWidth="1"/>
    <col min="8206" max="8206" width="7.7109375" style="154" customWidth="1"/>
    <col min="8207" max="8207" width="15.28515625" style="154" customWidth="1"/>
    <col min="8208" max="8208" width="13.85546875" style="154" customWidth="1"/>
    <col min="8209" max="8209" width="18" style="154" customWidth="1"/>
    <col min="8210" max="8210" width="36" style="154" customWidth="1"/>
    <col min="8211" max="8211" width="13.7109375" style="154" customWidth="1"/>
    <col min="8212" max="8212" width="15.42578125" style="154" customWidth="1"/>
    <col min="8213" max="8213" width="9.140625" style="154"/>
    <col min="8214" max="8214" width="98.42578125" style="154" customWidth="1"/>
    <col min="8215" max="8448" width="9.140625" style="154"/>
    <col min="8449" max="8449" width="16.7109375" style="154" customWidth="1"/>
    <col min="8450" max="8451" width="6.5703125" style="154" customWidth="1"/>
    <col min="8452" max="8452" width="5.5703125" style="154" customWidth="1"/>
    <col min="8453" max="8453" width="11.42578125" style="154" customWidth="1"/>
    <col min="8454" max="8454" width="7.85546875" style="154" customWidth="1"/>
    <col min="8455" max="8455" width="10.5703125" style="154" customWidth="1"/>
    <col min="8456" max="8456" width="8.7109375" style="154" customWidth="1"/>
    <col min="8457" max="8457" width="8.85546875" style="154" customWidth="1"/>
    <col min="8458" max="8458" width="7.140625" style="154" customWidth="1"/>
    <col min="8459" max="8459" width="8.5703125" style="154" customWidth="1"/>
    <col min="8460" max="8460" width="8.42578125" style="154" customWidth="1"/>
    <col min="8461" max="8461" width="7.85546875" style="154" customWidth="1"/>
    <col min="8462" max="8462" width="7.7109375" style="154" customWidth="1"/>
    <col min="8463" max="8463" width="15.28515625" style="154" customWidth="1"/>
    <col min="8464" max="8464" width="13.85546875" style="154" customWidth="1"/>
    <col min="8465" max="8465" width="18" style="154" customWidth="1"/>
    <col min="8466" max="8466" width="36" style="154" customWidth="1"/>
    <col min="8467" max="8467" width="13.7109375" style="154" customWidth="1"/>
    <col min="8468" max="8468" width="15.42578125" style="154" customWidth="1"/>
    <col min="8469" max="8469" width="9.140625" style="154"/>
    <col min="8470" max="8470" width="98.42578125" style="154" customWidth="1"/>
    <col min="8471" max="8704" width="9.140625" style="154"/>
    <col min="8705" max="8705" width="16.7109375" style="154" customWidth="1"/>
    <col min="8706" max="8707" width="6.5703125" style="154" customWidth="1"/>
    <col min="8708" max="8708" width="5.5703125" style="154" customWidth="1"/>
    <col min="8709" max="8709" width="11.42578125" style="154" customWidth="1"/>
    <col min="8710" max="8710" width="7.85546875" style="154" customWidth="1"/>
    <col min="8711" max="8711" width="10.5703125" style="154" customWidth="1"/>
    <col min="8712" max="8712" width="8.7109375" style="154" customWidth="1"/>
    <col min="8713" max="8713" width="8.85546875" style="154" customWidth="1"/>
    <col min="8714" max="8714" width="7.140625" style="154" customWidth="1"/>
    <col min="8715" max="8715" width="8.5703125" style="154" customWidth="1"/>
    <col min="8716" max="8716" width="8.42578125" style="154" customWidth="1"/>
    <col min="8717" max="8717" width="7.85546875" style="154" customWidth="1"/>
    <col min="8718" max="8718" width="7.7109375" style="154" customWidth="1"/>
    <col min="8719" max="8719" width="15.28515625" style="154" customWidth="1"/>
    <col min="8720" max="8720" width="13.85546875" style="154" customWidth="1"/>
    <col min="8721" max="8721" width="18" style="154" customWidth="1"/>
    <col min="8722" max="8722" width="36" style="154" customWidth="1"/>
    <col min="8723" max="8723" width="13.7109375" style="154" customWidth="1"/>
    <col min="8724" max="8724" width="15.42578125" style="154" customWidth="1"/>
    <col min="8725" max="8725" width="9.140625" style="154"/>
    <col min="8726" max="8726" width="98.42578125" style="154" customWidth="1"/>
    <col min="8727" max="8960" width="9.140625" style="154"/>
    <col min="8961" max="8961" width="16.7109375" style="154" customWidth="1"/>
    <col min="8962" max="8963" width="6.5703125" style="154" customWidth="1"/>
    <col min="8964" max="8964" width="5.5703125" style="154" customWidth="1"/>
    <col min="8965" max="8965" width="11.42578125" style="154" customWidth="1"/>
    <col min="8966" max="8966" width="7.85546875" style="154" customWidth="1"/>
    <col min="8967" max="8967" width="10.5703125" style="154" customWidth="1"/>
    <col min="8968" max="8968" width="8.7109375" style="154" customWidth="1"/>
    <col min="8969" max="8969" width="8.85546875" style="154" customWidth="1"/>
    <col min="8970" max="8970" width="7.140625" style="154" customWidth="1"/>
    <col min="8971" max="8971" width="8.5703125" style="154" customWidth="1"/>
    <col min="8972" max="8972" width="8.42578125" style="154" customWidth="1"/>
    <col min="8973" max="8973" width="7.85546875" style="154" customWidth="1"/>
    <col min="8974" max="8974" width="7.7109375" style="154" customWidth="1"/>
    <col min="8975" max="8975" width="15.28515625" style="154" customWidth="1"/>
    <col min="8976" max="8976" width="13.85546875" style="154" customWidth="1"/>
    <col min="8977" max="8977" width="18" style="154" customWidth="1"/>
    <col min="8978" max="8978" width="36" style="154" customWidth="1"/>
    <col min="8979" max="8979" width="13.7109375" style="154" customWidth="1"/>
    <col min="8980" max="8980" width="15.42578125" style="154" customWidth="1"/>
    <col min="8981" max="8981" width="9.140625" style="154"/>
    <col min="8982" max="8982" width="98.42578125" style="154" customWidth="1"/>
    <col min="8983" max="9216" width="9.140625" style="154"/>
    <col min="9217" max="9217" width="16.7109375" style="154" customWidth="1"/>
    <col min="9218" max="9219" width="6.5703125" style="154" customWidth="1"/>
    <col min="9220" max="9220" width="5.5703125" style="154" customWidth="1"/>
    <col min="9221" max="9221" width="11.42578125" style="154" customWidth="1"/>
    <col min="9222" max="9222" width="7.85546875" style="154" customWidth="1"/>
    <col min="9223" max="9223" width="10.5703125" style="154" customWidth="1"/>
    <col min="9224" max="9224" width="8.7109375" style="154" customWidth="1"/>
    <col min="9225" max="9225" width="8.85546875" style="154" customWidth="1"/>
    <col min="9226" max="9226" width="7.140625" style="154" customWidth="1"/>
    <col min="9227" max="9227" width="8.5703125" style="154" customWidth="1"/>
    <col min="9228" max="9228" width="8.42578125" style="154" customWidth="1"/>
    <col min="9229" max="9229" width="7.85546875" style="154" customWidth="1"/>
    <col min="9230" max="9230" width="7.7109375" style="154" customWidth="1"/>
    <col min="9231" max="9231" width="15.28515625" style="154" customWidth="1"/>
    <col min="9232" max="9232" width="13.85546875" style="154" customWidth="1"/>
    <col min="9233" max="9233" width="18" style="154" customWidth="1"/>
    <col min="9234" max="9234" width="36" style="154" customWidth="1"/>
    <col min="9235" max="9235" width="13.7109375" style="154" customWidth="1"/>
    <col min="9236" max="9236" width="15.42578125" style="154" customWidth="1"/>
    <col min="9237" max="9237" width="9.140625" style="154"/>
    <col min="9238" max="9238" width="98.42578125" style="154" customWidth="1"/>
    <col min="9239" max="9472" width="9.140625" style="154"/>
    <col min="9473" max="9473" width="16.7109375" style="154" customWidth="1"/>
    <col min="9474" max="9475" width="6.5703125" style="154" customWidth="1"/>
    <col min="9476" max="9476" width="5.5703125" style="154" customWidth="1"/>
    <col min="9477" max="9477" width="11.42578125" style="154" customWidth="1"/>
    <col min="9478" max="9478" width="7.85546875" style="154" customWidth="1"/>
    <col min="9479" max="9479" width="10.5703125" style="154" customWidth="1"/>
    <col min="9480" max="9480" width="8.7109375" style="154" customWidth="1"/>
    <col min="9481" max="9481" width="8.85546875" style="154" customWidth="1"/>
    <col min="9482" max="9482" width="7.140625" style="154" customWidth="1"/>
    <col min="9483" max="9483" width="8.5703125" style="154" customWidth="1"/>
    <col min="9484" max="9484" width="8.42578125" style="154" customWidth="1"/>
    <col min="9485" max="9485" width="7.85546875" style="154" customWidth="1"/>
    <col min="9486" max="9486" width="7.7109375" style="154" customWidth="1"/>
    <col min="9487" max="9487" width="15.28515625" style="154" customWidth="1"/>
    <col min="9488" max="9488" width="13.85546875" style="154" customWidth="1"/>
    <col min="9489" max="9489" width="18" style="154" customWidth="1"/>
    <col min="9490" max="9490" width="36" style="154" customWidth="1"/>
    <col min="9491" max="9491" width="13.7109375" style="154" customWidth="1"/>
    <col min="9492" max="9492" width="15.42578125" style="154" customWidth="1"/>
    <col min="9493" max="9493" width="9.140625" style="154"/>
    <col min="9494" max="9494" width="98.42578125" style="154" customWidth="1"/>
    <col min="9495" max="9728" width="9.140625" style="154"/>
    <col min="9729" max="9729" width="16.7109375" style="154" customWidth="1"/>
    <col min="9730" max="9731" width="6.5703125" style="154" customWidth="1"/>
    <col min="9732" max="9732" width="5.5703125" style="154" customWidth="1"/>
    <col min="9733" max="9733" width="11.42578125" style="154" customWidth="1"/>
    <col min="9734" max="9734" width="7.85546875" style="154" customWidth="1"/>
    <col min="9735" max="9735" width="10.5703125" style="154" customWidth="1"/>
    <col min="9736" max="9736" width="8.7109375" style="154" customWidth="1"/>
    <col min="9737" max="9737" width="8.85546875" style="154" customWidth="1"/>
    <col min="9738" max="9738" width="7.140625" style="154" customWidth="1"/>
    <col min="9739" max="9739" width="8.5703125" style="154" customWidth="1"/>
    <col min="9740" max="9740" width="8.42578125" style="154" customWidth="1"/>
    <col min="9741" max="9741" width="7.85546875" style="154" customWidth="1"/>
    <col min="9742" max="9742" width="7.7109375" style="154" customWidth="1"/>
    <col min="9743" max="9743" width="15.28515625" style="154" customWidth="1"/>
    <col min="9744" max="9744" width="13.85546875" style="154" customWidth="1"/>
    <col min="9745" max="9745" width="18" style="154" customWidth="1"/>
    <col min="9746" max="9746" width="36" style="154" customWidth="1"/>
    <col min="9747" max="9747" width="13.7109375" style="154" customWidth="1"/>
    <col min="9748" max="9748" width="15.42578125" style="154" customWidth="1"/>
    <col min="9749" max="9749" width="9.140625" style="154"/>
    <col min="9750" max="9750" width="98.42578125" style="154" customWidth="1"/>
    <col min="9751" max="9984" width="9.140625" style="154"/>
    <col min="9985" max="9985" width="16.7109375" style="154" customWidth="1"/>
    <col min="9986" max="9987" width="6.5703125" style="154" customWidth="1"/>
    <col min="9988" max="9988" width="5.5703125" style="154" customWidth="1"/>
    <col min="9989" max="9989" width="11.42578125" style="154" customWidth="1"/>
    <col min="9990" max="9990" width="7.85546875" style="154" customWidth="1"/>
    <col min="9991" max="9991" width="10.5703125" style="154" customWidth="1"/>
    <col min="9992" max="9992" width="8.7109375" style="154" customWidth="1"/>
    <col min="9993" max="9993" width="8.85546875" style="154" customWidth="1"/>
    <col min="9994" max="9994" width="7.140625" style="154" customWidth="1"/>
    <col min="9995" max="9995" width="8.5703125" style="154" customWidth="1"/>
    <col min="9996" max="9996" width="8.42578125" style="154" customWidth="1"/>
    <col min="9997" max="9997" width="7.85546875" style="154" customWidth="1"/>
    <col min="9998" max="9998" width="7.7109375" style="154" customWidth="1"/>
    <col min="9999" max="9999" width="15.28515625" style="154" customWidth="1"/>
    <col min="10000" max="10000" width="13.85546875" style="154" customWidth="1"/>
    <col min="10001" max="10001" width="18" style="154" customWidth="1"/>
    <col min="10002" max="10002" width="36" style="154" customWidth="1"/>
    <col min="10003" max="10003" width="13.7109375" style="154" customWidth="1"/>
    <col min="10004" max="10004" width="15.42578125" style="154" customWidth="1"/>
    <col min="10005" max="10005" width="9.140625" style="154"/>
    <col min="10006" max="10006" width="98.42578125" style="154" customWidth="1"/>
    <col min="10007" max="10240" width="9.140625" style="154"/>
    <col min="10241" max="10241" width="16.7109375" style="154" customWidth="1"/>
    <col min="10242" max="10243" width="6.5703125" style="154" customWidth="1"/>
    <col min="10244" max="10244" width="5.5703125" style="154" customWidth="1"/>
    <col min="10245" max="10245" width="11.42578125" style="154" customWidth="1"/>
    <col min="10246" max="10246" width="7.85546875" style="154" customWidth="1"/>
    <col min="10247" max="10247" width="10.5703125" style="154" customWidth="1"/>
    <col min="10248" max="10248" width="8.7109375" style="154" customWidth="1"/>
    <col min="10249" max="10249" width="8.85546875" style="154" customWidth="1"/>
    <col min="10250" max="10250" width="7.140625" style="154" customWidth="1"/>
    <col min="10251" max="10251" width="8.5703125" style="154" customWidth="1"/>
    <col min="10252" max="10252" width="8.42578125" style="154" customWidth="1"/>
    <col min="10253" max="10253" width="7.85546875" style="154" customWidth="1"/>
    <col min="10254" max="10254" width="7.7109375" style="154" customWidth="1"/>
    <col min="10255" max="10255" width="15.28515625" style="154" customWidth="1"/>
    <col min="10256" max="10256" width="13.85546875" style="154" customWidth="1"/>
    <col min="10257" max="10257" width="18" style="154" customWidth="1"/>
    <col min="10258" max="10258" width="36" style="154" customWidth="1"/>
    <col min="10259" max="10259" width="13.7109375" style="154" customWidth="1"/>
    <col min="10260" max="10260" width="15.42578125" style="154" customWidth="1"/>
    <col min="10261" max="10261" width="9.140625" style="154"/>
    <col min="10262" max="10262" width="98.42578125" style="154" customWidth="1"/>
    <col min="10263" max="10496" width="9.140625" style="154"/>
    <col min="10497" max="10497" width="16.7109375" style="154" customWidth="1"/>
    <col min="10498" max="10499" width="6.5703125" style="154" customWidth="1"/>
    <col min="10500" max="10500" width="5.5703125" style="154" customWidth="1"/>
    <col min="10501" max="10501" width="11.42578125" style="154" customWidth="1"/>
    <col min="10502" max="10502" width="7.85546875" style="154" customWidth="1"/>
    <col min="10503" max="10503" width="10.5703125" style="154" customWidth="1"/>
    <col min="10504" max="10504" width="8.7109375" style="154" customWidth="1"/>
    <col min="10505" max="10505" width="8.85546875" style="154" customWidth="1"/>
    <col min="10506" max="10506" width="7.140625" style="154" customWidth="1"/>
    <col min="10507" max="10507" width="8.5703125" style="154" customWidth="1"/>
    <col min="10508" max="10508" width="8.42578125" style="154" customWidth="1"/>
    <col min="10509" max="10509" width="7.85546875" style="154" customWidth="1"/>
    <col min="10510" max="10510" width="7.7109375" style="154" customWidth="1"/>
    <col min="10511" max="10511" width="15.28515625" style="154" customWidth="1"/>
    <col min="10512" max="10512" width="13.85546875" style="154" customWidth="1"/>
    <col min="10513" max="10513" width="18" style="154" customWidth="1"/>
    <col min="10514" max="10514" width="36" style="154" customWidth="1"/>
    <col min="10515" max="10515" width="13.7109375" style="154" customWidth="1"/>
    <col min="10516" max="10516" width="15.42578125" style="154" customWidth="1"/>
    <col min="10517" max="10517" width="9.140625" style="154"/>
    <col min="10518" max="10518" width="98.42578125" style="154" customWidth="1"/>
    <col min="10519" max="10752" width="9.140625" style="154"/>
    <col min="10753" max="10753" width="16.7109375" style="154" customWidth="1"/>
    <col min="10754" max="10755" width="6.5703125" style="154" customWidth="1"/>
    <col min="10756" max="10756" width="5.5703125" style="154" customWidth="1"/>
    <col min="10757" max="10757" width="11.42578125" style="154" customWidth="1"/>
    <col min="10758" max="10758" width="7.85546875" style="154" customWidth="1"/>
    <col min="10759" max="10759" width="10.5703125" style="154" customWidth="1"/>
    <col min="10760" max="10760" width="8.7109375" style="154" customWidth="1"/>
    <col min="10761" max="10761" width="8.85546875" style="154" customWidth="1"/>
    <col min="10762" max="10762" width="7.140625" style="154" customWidth="1"/>
    <col min="10763" max="10763" width="8.5703125" style="154" customWidth="1"/>
    <col min="10764" max="10764" width="8.42578125" style="154" customWidth="1"/>
    <col min="10765" max="10765" width="7.85546875" style="154" customWidth="1"/>
    <col min="10766" max="10766" width="7.7109375" style="154" customWidth="1"/>
    <col min="10767" max="10767" width="15.28515625" style="154" customWidth="1"/>
    <col min="10768" max="10768" width="13.85546875" style="154" customWidth="1"/>
    <col min="10769" max="10769" width="18" style="154" customWidth="1"/>
    <col min="10770" max="10770" width="36" style="154" customWidth="1"/>
    <col min="10771" max="10771" width="13.7109375" style="154" customWidth="1"/>
    <col min="10772" max="10772" width="15.42578125" style="154" customWidth="1"/>
    <col min="10773" max="10773" width="9.140625" style="154"/>
    <col min="10774" max="10774" width="98.42578125" style="154" customWidth="1"/>
    <col min="10775" max="11008" width="9.140625" style="154"/>
    <col min="11009" max="11009" width="16.7109375" style="154" customWidth="1"/>
    <col min="11010" max="11011" width="6.5703125" style="154" customWidth="1"/>
    <col min="11012" max="11012" width="5.5703125" style="154" customWidth="1"/>
    <col min="11013" max="11013" width="11.42578125" style="154" customWidth="1"/>
    <col min="11014" max="11014" width="7.85546875" style="154" customWidth="1"/>
    <col min="11015" max="11015" width="10.5703125" style="154" customWidth="1"/>
    <col min="11016" max="11016" width="8.7109375" style="154" customWidth="1"/>
    <col min="11017" max="11017" width="8.85546875" style="154" customWidth="1"/>
    <col min="11018" max="11018" width="7.140625" style="154" customWidth="1"/>
    <col min="11019" max="11019" width="8.5703125" style="154" customWidth="1"/>
    <col min="11020" max="11020" width="8.42578125" style="154" customWidth="1"/>
    <col min="11021" max="11021" width="7.85546875" style="154" customWidth="1"/>
    <col min="11022" max="11022" width="7.7109375" style="154" customWidth="1"/>
    <col min="11023" max="11023" width="15.28515625" style="154" customWidth="1"/>
    <col min="11024" max="11024" width="13.85546875" style="154" customWidth="1"/>
    <col min="11025" max="11025" width="18" style="154" customWidth="1"/>
    <col min="11026" max="11026" width="36" style="154" customWidth="1"/>
    <col min="11027" max="11027" width="13.7109375" style="154" customWidth="1"/>
    <col min="11028" max="11028" width="15.42578125" style="154" customWidth="1"/>
    <col min="11029" max="11029" width="9.140625" style="154"/>
    <col min="11030" max="11030" width="98.42578125" style="154" customWidth="1"/>
    <col min="11031" max="11264" width="9.140625" style="154"/>
    <col min="11265" max="11265" width="16.7109375" style="154" customWidth="1"/>
    <col min="11266" max="11267" width="6.5703125" style="154" customWidth="1"/>
    <col min="11268" max="11268" width="5.5703125" style="154" customWidth="1"/>
    <col min="11269" max="11269" width="11.42578125" style="154" customWidth="1"/>
    <col min="11270" max="11270" width="7.85546875" style="154" customWidth="1"/>
    <col min="11271" max="11271" width="10.5703125" style="154" customWidth="1"/>
    <col min="11272" max="11272" width="8.7109375" style="154" customWidth="1"/>
    <col min="11273" max="11273" width="8.85546875" style="154" customWidth="1"/>
    <col min="11274" max="11274" width="7.140625" style="154" customWidth="1"/>
    <col min="11275" max="11275" width="8.5703125" style="154" customWidth="1"/>
    <col min="11276" max="11276" width="8.42578125" style="154" customWidth="1"/>
    <col min="11277" max="11277" width="7.85546875" style="154" customWidth="1"/>
    <col min="11278" max="11278" width="7.7109375" style="154" customWidth="1"/>
    <col min="11279" max="11279" width="15.28515625" style="154" customWidth="1"/>
    <col min="11280" max="11280" width="13.85546875" style="154" customWidth="1"/>
    <col min="11281" max="11281" width="18" style="154" customWidth="1"/>
    <col min="11282" max="11282" width="36" style="154" customWidth="1"/>
    <col min="11283" max="11283" width="13.7109375" style="154" customWidth="1"/>
    <col min="11284" max="11284" width="15.42578125" style="154" customWidth="1"/>
    <col min="11285" max="11285" width="9.140625" style="154"/>
    <col min="11286" max="11286" width="98.42578125" style="154" customWidth="1"/>
    <col min="11287" max="11520" width="9.140625" style="154"/>
    <col min="11521" max="11521" width="16.7109375" style="154" customWidth="1"/>
    <col min="11522" max="11523" width="6.5703125" style="154" customWidth="1"/>
    <col min="11524" max="11524" width="5.5703125" style="154" customWidth="1"/>
    <col min="11525" max="11525" width="11.42578125" style="154" customWidth="1"/>
    <col min="11526" max="11526" width="7.85546875" style="154" customWidth="1"/>
    <col min="11527" max="11527" width="10.5703125" style="154" customWidth="1"/>
    <col min="11528" max="11528" width="8.7109375" style="154" customWidth="1"/>
    <col min="11529" max="11529" width="8.85546875" style="154" customWidth="1"/>
    <col min="11530" max="11530" width="7.140625" style="154" customWidth="1"/>
    <col min="11531" max="11531" width="8.5703125" style="154" customWidth="1"/>
    <col min="11532" max="11532" width="8.42578125" style="154" customWidth="1"/>
    <col min="11533" max="11533" width="7.85546875" style="154" customWidth="1"/>
    <col min="11534" max="11534" width="7.7109375" style="154" customWidth="1"/>
    <col min="11535" max="11535" width="15.28515625" style="154" customWidth="1"/>
    <col min="11536" max="11536" width="13.85546875" style="154" customWidth="1"/>
    <col min="11537" max="11537" width="18" style="154" customWidth="1"/>
    <col min="11538" max="11538" width="36" style="154" customWidth="1"/>
    <col min="11539" max="11539" width="13.7109375" style="154" customWidth="1"/>
    <col min="11540" max="11540" width="15.42578125" style="154" customWidth="1"/>
    <col min="11541" max="11541" width="9.140625" style="154"/>
    <col min="11542" max="11542" width="98.42578125" style="154" customWidth="1"/>
    <col min="11543" max="11776" width="9.140625" style="154"/>
    <col min="11777" max="11777" width="16.7109375" style="154" customWidth="1"/>
    <col min="11778" max="11779" width="6.5703125" style="154" customWidth="1"/>
    <col min="11780" max="11780" width="5.5703125" style="154" customWidth="1"/>
    <col min="11781" max="11781" width="11.42578125" style="154" customWidth="1"/>
    <col min="11782" max="11782" width="7.85546875" style="154" customWidth="1"/>
    <col min="11783" max="11783" width="10.5703125" style="154" customWidth="1"/>
    <col min="11784" max="11784" width="8.7109375" style="154" customWidth="1"/>
    <col min="11785" max="11785" width="8.85546875" style="154" customWidth="1"/>
    <col min="11786" max="11786" width="7.140625" style="154" customWidth="1"/>
    <col min="11787" max="11787" width="8.5703125" style="154" customWidth="1"/>
    <col min="11788" max="11788" width="8.42578125" style="154" customWidth="1"/>
    <col min="11789" max="11789" width="7.85546875" style="154" customWidth="1"/>
    <col min="11790" max="11790" width="7.7109375" style="154" customWidth="1"/>
    <col min="11791" max="11791" width="15.28515625" style="154" customWidth="1"/>
    <col min="11792" max="11792" width="13.85546875" style="154" customWidth="1"/>
    <col min="11793" max="11793" width="18" style="154" customWidth="1"/>
    <col min="11794" max="11794" width="36" style="154" customWidth="1"/>
    <col min="11795" max="11795" width="13.7109375" style="154" customWidth="1"/>
    <col min="11796" max="11796" width="15.42578125" style="154" customWidth="1"/>
    <col min="11797" max="11797" width="9.140625" style="154"/>
    <col min="11798" max="11798" width="98.42578125" style="154" customWidth="1"/>
    <col min="11799" max="12032" width="9.140625" style="154"/>
    <col min="12033" max="12033" width="16.7109375" style="154" customWidth="1"/>
    <col min="12034" max="12035" width="6.5703125" style="154" customWidth="1"/>
    <col min="12036" max="12036" width="5.5703125" style="154" customWidth="1"/>
    <col min="12037" max="12037" width="11.42578125" style="154" customWidth="1"/>
    <col min="12038" max="12038" width="7.85546875" style="154" customWidth="1"/>
    <col min="12039" max="12039" width="10.5703125" style="154" customWidth="1"/>
    <col min="12040" max="12040" width="8.7109375" style="154" customWidth="1"/>
    <col min="12041" max="12041" width="8.85546875" style="154" customWidth="1"/>
    <col min="12042" max="12042" width="7.140625" style="154" customWidth="1"/>
    <col min="12043" max="12043" width="8.5703125" style="154" customWidth="1"/>
    <col min="12044" max="12044" width="8.42578125" style="154" customWidth="1"/>
    <col min="12045" max="12045" width="7.85546875" style="154" customWidth="1"/>
    <col min="12046" max="12046" width="7.7109375" style="154" customWidth="1"/>
    <col min="12047" max="12047" width="15.28515625" style="154" customWidth="1"/>
    <col min="12048" max="12048" width="13.85546875" style="154" customWidth="1"/>
    <col min="12049" max="12049" width="18" style="154" customWidth="1"/>
    <col min="12050" max="12050" width="36" style="154" customWidth="1"/>
    <col min="12051" max="12051" width="13.7109375" style="154" customWidth="1"/>
    <col min="12052" max="12052" width="15.42578125" style="154" customWidth="1"/>
    <col min="12053" max="12053" width="9.140625" style="154"/>
    <col min="12054" max="12054" width="98.42578125" style="154" customWidth="1"/>
    <col min="12055" max="12288" width="9.140625" style="154"/>
    <col min="12289" max="12289" width="16.7109375" style="154" customWidth="1"/>
    <col min="12290" max="12291" width="6.5703125" style="154" customWidth="1"/>
    <col min="12292" max="12292" width="5.5703125" style="154" customWidth="1"/>
    <col min="12293" max="12293" width="11.42578125" style="154" customWidth="1"/>
    <col min="12294" max="12294" width="7.85546875" style="154" customWidth="1"/>
    <col min="12295" max="12295" width="10.5703125" style="154" customWidth="1"/>
    <col min="12296" max="12296" width="8.7109375" style="154" customWidth="1"/>
    <col min="12297" max="12297" width="8.85546875" style="154" customWidth="1"/>
    <col min="12298" max="12298" width="7.140625" style="154" customWidth="1"/>
    <col min="12299" max="12299" width="8.5703125" style="154" customWidth="1"/>
    <col min="12300" max="12300" width="8.42578125" style="154" customWidth="1"/>
    <col min="12301" max="12301" width="7.85546875" style="154" customWidth="1"/>
    <col min="12302" max="12302" width="7.7109375" style="154" customWidth="1"/>
    <col min="12303" max="12303" width="15.28515625" style="154" customWidth="1"/>
    <col min="12304" max="12304" width="13.85546875" style="154" customWidth="1"/>
    <col min="12305" max="12305" width="18" style="154" customWidth="1"/>
    <col min="12306" max="12306" width="36" style="154" customWidth="1"/>
    <col min="12307" max="12307" width="13.7109375" style="154" customWidth="1"/>
    <col min="12308" max="12308" width="15.42578125" style="154" customWidth="1"/>
    <col min="12309" max="12309" width="9.140625" style="154"/>
    <col min="12310" max="12310" width="98.42578125" style="154" customWidth="1"/>
    <col min="12311" max="12544" width="9.140625" style="154"/>
    <col min="12545" max="12545" width="16.7109375" style="154" customWidth="1"/>
    <col min="12546" max="12547" width="6.5703125" style="154" customWidth="1"/>
    <col min="12548" max="12548" width="5.5703125" style="154" customWidth="1"/>
    <col min="12549" max="12549" width="11.42578125" style="154" customWidth="1"/>
    <col min="12550" max="12550" width="7.85546875" style="154" customWidth="1"/>
    <col min="12551" max="12551" width="10.5703125" style="154" customWidth="1"/>
    <col min="12552" max="12552" width="8.7109375" style="154" customWidth="1"/>
    <col min="12553" max="12553" width="8.85546875" style="154" customWidth="1"/>
    <col min="12554" max="12554" width="7.140625" style="154" customWidth="1"/>
    <col min="12555" max="12555" width="8.5703125" style="154" customWidth="1"/>
    <col min="12556" max="12556" width="8.42578125" style="154" customWidth="1"/>
    <col min="12557" max="12557" width="7.85546875" style="154" customWidth="1"/>
    <col min="12558" max="12558" width="7.7109375" style="154" customWidth="1"/>
    <col min="12559" max="12559" width="15.28515625" style="154" customWidth="1"/>
    <col min="12560" max="12560" width="13.85546875" style="154" customWidth="1"/>
    <col min="12561" max="12561" width="18" style="154" customWidth="1"/>
    <col min="12562" max="12562" width="36" style="154" customWidth="1"/>
    <col min="12563" max="12563" width="13.7109375" style="154" customWidth="1"/>
    <col min="12564" max="12564" width="15.42578125" style="154" customWidth="1"/>
    <col min="12565" max="12565" width="9.140625" style="154"/>
    <col min="12566" max="12566" width="98.42578125" style="154" customWidth="1"/>
    <col min="12567" max="12800" width="9.140625" style="154"/>
    <col min="12801" max="12801" width="16.7109375" style="154" customWidth="1"/>
    <col min="12802" max="12803" width="6.5703125" style="154" customWidth="1"/>
    <col min="12804" max="12804" width="5.5703125" style="154" customWidth="1"/>
    <col min="12805" max="12805" width="11.42578125" style="154" customWidth="1"/>
    <col min="12806" max="12806" width="7.85546875" style="154" customWidth="1"/>
    <col min="12807" max="12807" width="10.5703125" style="154" customWidth="1"/>
    <col min="12808" max="12808" width="8.7109375" style="154" customWidth="1"/>
    <col min="12809" max="12809" width="8.85546875" style="154" customWidth="1"/>
    <col min="12810" max="12810" width="7.140625" style="154" customWidth="1"/>
    <col min="12811" max="12811" width="8.5703125" style="154" customWidth="1"/>
    <col min="12812" max="12812" width="8.42578125" style="154" customWidth="1"/>
    <col min="12813" max="12813" width="7.85546875" style="154" customWidth="1"/>
    <col min="12814" max="12814" width="7.7109375" style="154" customWidth="1"/>
    <col min="12815" max="12815" width="15.28515625" style="154" customWidth="1"/>
    <col min="12816" max="12816" width="13.85546875" style="154" customWidth="1"/>
    <col min="12817" max="12817" width="18" style="154" customWidth="1"/>
    <col min="12818" max="12818" width="36" style="154" customWidth="1"/>
    <col min="12819" max="12819" width="13.7109375" style="154" customWidth="1"/>
    <col min="12820" max="12820" width="15.42578125" style="154" customWidth="1"/>
    <col min="12821" max="12821" width="9.140625" style="154"/>
    <col min="12822" max="12822" width="98.42578125" style="154" customWidth="1"/>
    <col min="12823" max="13056" width="9.140625" style="154"/>
    <col min="13057" max="13057" width="16.7109375" style="154" customWidth="1"/>
    <col min="13058" max="13059" width="6.5703125" style="154" customWidth="1"/>
    <col min="13060" max="13060" width="5.5703125" style="154" customWidth="1"/>
    <col min="13061" max="13061" width="11.42578125" style="154" customWidth="1"/>
    <col min="13062" max="13062" width="7.85546875" style="154" customWidth="1"/>
    <col min="13063" max="13063" width="10.5703125" style="154" customWidth="1"/>
    <col min="13064" max="13064" width="8.7109375" style="154" customWidth="1"/>
    <col min="13065" max="13065" width="8.85546875" style="154" customWidth="1"/>
    <col min="13066" max="13066" width="7.140625" style="154" customWidth="1"/>
    <col min="13067" max="13067" width="8.5703125" style="154" customWidth="1"/>
    <col min="13068" max="13068" width="8.42578125" style="154" customWidth="1"/>
    <col min="13069" max="13069" width="7.85546875" style="154" customWidth="1"/>
    <col min="13070" max="13070" width="7.7109375" style="154" customWidth="1"/>
    <col min="13071" max="13071" width="15.28515625" style="154" customWidth="1"/>
    <col min="13072" max="13072" width="13.85546875" style="154" customWidth="1"/>
    <col min="13073" max="13073" width="18" style="154" customWidth="1"/>
    <col min="13074" max="13074" width="36" style="154" customWidth="1"/>
    <col min="13075" max="13075" width="13.7109375" style="154" customWidth="1"/>
    <col min="13076" max="13076" width="15.42578125" style="154" customWidth="1"/>
    <col min="13077" max="13077" width="9.140625" style="154"/>
    <col min="13078" max="13078" width="98.42578125" style="154" customWidth="1"/>
    <col min="13079" max="13312" width="9.140625" style="154"/>
    <col min="13313" max="13313" width="16.7109375" style="154" customWidth="1"/>
    <col min="13314" max="13315" width="6.5703125" style="154" customWidth="1"/>
    <col min="13316" max="13316" width="5.5703125" style="154" customWidth="1"/>
    <col min="13317" max="13317" width="11.42578125" style="154" customWidth="1"/>
    <col min="13318" max="13318" width="7.85546875" style="154" customWidth="1"/>
    <col min="13319" max="13319" width="10.5703125" style="154" customWidth="1"/>
    <col min="13320" max="13320" width="8.7109375" style="154" customWidth="1"/>
    <col min="13321" max="13321" width="8.85546875" style="154" customWidth="1"/>
    <col min="13322" max="13322" width="7.140625" style="154" customWidth="1"/>
    <col min="13323" max="13323" width="8.5703125" style="154" customWidth="1"/>
    <col min="13324" max="13324" width="8.42578125" style="154" customWidth="1"/>
    <col min="13325" max="13325" width="7.85546875" style="154" customWidth="1"/>
    <col min="13326" max="13326" width="7.7109375" style="154" customWidth="1"/>
    <col min="13327" max="13327" width="15.28515625" style="154" customWidth="1"/>
    <col min="13328" max="13328" width="13.85546875" style="154" customWidth="1"/>
    <col min="13329" max="13329" width="18" style="154" customWidth="1"/>
    <col min="13330" max="13330" width="36" style="154" customWidth="1"/>
    <col min="13331" max="13331" width="13.7109375" style="154" customWidth="1"/>
    <col min="13332" max="13332" width="15.42578125" style="154" customWidth="1"/>
    <col min="13333" max="13333" width="9.140625" style="154"/>
    <col min="13334" max="13334" width="98.42578125" style="154" customWidth="1"/>
    <col min="13335" max="13568" width="9.140625" style="154"/>
    <col min="13569" max="13569" width="16.7109375" style="154" customWidth="1"/>
    <col min="13570" max="13571" width="6.5703125" style="154" customWidth="1"/>
    <col min="13572" max="13572" width="5.5703125" style="154" customWidth="1"/>
    <col min="13573" max="13573" width="11.42578125" style="154" customWidth="1"/>
    <col min="13574" max="13574" width="7.85546875" style="154" customWidth="1"/>
    <col min="13575" max="13575" width="10.5703125" style="154" customWidth="1"/>
    <col min="13576" max="13576" width="8.7109375" style="154" customWidth="1"/>
    <col min="13577" max="13577" width="8.85546875" style="154" customWidth="1"/>
    <col min="13578" max="13578" width="7.140625" style="154" customWidth="1"/>
    <col min="13579" max="13579" width="8.5703125" style="154" customWidth="1"/>
    <col min="13580" max="13580" width="8.42578125" style="154" customWidth="1"/>
    <col min="13581" max="13581" width="7.85546875" style="154" customWidth="1"/>
    <col min="13582" max="13582" width="7.7109375" style="154" customWidth="1"/>
    <col min="13583" max="13583" width="15.28515625" style="154" customWidth="1"/>
    <col min="13584" max="13584" width="13.85546875" style="154" customWidth="1"/>
    <col min="13585" max="13585" width="18" style="154" customWidth="1"/>
    <col min="13586" max="13586" width="36" style="154" customWidth="1"/>
    <col min="13587" max="13587" width="13.7109375" style="154" customWidth="1"/>
    <col min="13588" max="13588" width="15.42578125" style="154" customWidth="1"/>
    <col min="13589" max="13589" width="9.140625" style="154"/>
    <col min="13590" max="13590" width="98.42578125" style="154" customWidth="1"/>
    <col min="13591" max="13824" width="9.140625" style="154"/>
    <col min="13825" max="13825" width="16.7109375" style="154" customWidth="1"/>
    <col min="13826" max="13827" width="6.5703125" style="154" customWidth="1"/>
    <col min="13828" max="13828" width="5.5703125" style="154" customWidth="1"/>
    <col min="13829" max="13829" width="11.42578125" style="154" customWidth="1"/>
    <col min="13830" max="13830" width="7.85546875" style="154" customWidth="1"/>
    <col min="13831" max="13831" width="10.5703125" style="154" customWidth="1"/>
    <col min="13832" max="13832" width="8.7109375" style="154" customWidth="1"/>
    <col min="13833" max="13833" width="8.85546875" style="154" customWidth="1"/>
    <col min="13834" max="13834" width="7.140625" style="154" customWidth="1"/>
    <col min="13835" max="13835" width="8.5703125" style="154" customWidth="1"/>
    <col min="13836" max="13836" width="8.42578125" style="154" customWidth="1"/>
    <col min="13837" max="13837" width="7.85546875" style="154" customWidth="1"/>
    <col min="13838" max="13838" width="7.7109375" style="154" customWidth="1"/>
    <col min="13839" max="13839" width="15.28515625" style="154" customWidth="1"/>
    <col min="13840" max="13840" width="13.85546875" style="154" customWidth="1"/>
    <col min="13841" max="13841" width="18" style="154" customWidth="1"/>
    <col min="13842" max="13842" width="36" style="154" customWidth="1"/>
    <col min="13843" max="13843" width="13.7109375" style="154" customWidth="1"/>
    <col min="13844" max="13844" width="15.42578125" style="154" customWidth="1"/>
    <col min="13845" max="13845" width="9.140625" style="154"/>
    <col min="13846" max="13846" width="98.42578125" style="154" customWidth="1"/>
    <col min="13847" max="14080" width="9.140625" style="154"/>
    <col min="14081" max="14081" width="16.7109375" style="154" customWidth="1"/>
    <col min="14082" max="14083" width="6.5703125" style="154" customWidth="1"/>
    <col min="14084" max="14084" width="5.5703125" style="154" customWidth="1"/>
    <col min="14085" max="14085" width="11.42578125" style="154" customWidth="1"/>
    <col min="14086" max="14086" width="7.85546875" style="154" customWidth="1"/>
    <col min="14087" max="14087" width="10.5703125" style="154" customWidth="1"/>
    <col min="14088" max="14088" width="8.7109375" style="154" customWidth="1"/>
    <col min="14089" max="14089" width="8.85546875" style="154" customWidth="1"/>
    <col min="14090" max="14090" width="7.140625" style="154" customWidth="1"/>
    <col min="14091" max="14091" width="8.5703125" style="154" customWidth="1"/>
    <col min="14092" max="14092" width="8.42578125" style="154" customWidth="1"/>
    <col min="14093" max="14093" width="7.85546875" style="154" customWidth="1"/>
    <col min="14094" max="14094" width="7.7109375" style="154" customWidth="1"/>
    <col min="14095" max="14095" width="15.28515625" style="154" customWidth="1"/>
    <col min="14096" max="14096" width="13.85546875" style="154" customWidth="1"/>
    <col min="14097" max="14097" width="18" style="154" customWidth="1"/>
    <col min="14098" max="14098" width="36" style="154" customWidth="1"/>
    <col min="14099" max="14099" width="13.7109375" style="154" customWidth="1"/>
    <col min="14100" max="14100" width="15.42578125" style="154" customWidth="1"/>
    <col min="14101" max="14101" width="9.140625" style="154"/>
    <col min="14102" max="14102" width="98.42578125" style="154" customWidth="1"/>
    <col min="14103" max="14336" width="9.140625" style="154"/>
    <col min="14337" max="14337" width="16.7109375" style="154" customWidth="1"/>
    <col min="14338" max="14339" width="6.5703125" style="154" customWidth="1"/>
    <col min="14340" max="14340" width="5.5703125" style="154" customWidth="1"/>
    <col min="14341" max="14341" width="11.42578125" style="154" customWidth="1"/>
    <col min="14342" max="14342" width="7.85546875" style="154" customWidth="1"/>
    <col min="14343" max="14343" width="10.5703125" style="154" customWidth="1"/>
    <col min="14344" max="14344" width="8.7109375" style="154" customWidth="1"/>
    <col min="14345" max="14345" width="8.85546875" style="154" customWidth="1"/>
    <col min="14346" max="14346" width="7.140625" style="154" customWidth="1"/>
    <col min="14347" max="14347" width="8.5703125" style="154" customWidth="1"/>
    <col min="14348" max="14348" width="8.42578125" style="154" customWidth="1"/>
    <col min="14349" max="14349" width="7.85546875" style="154" customWidth="1"/>
    <col min="14350" max="14350" width="7.7109375" style="154" customWidth="1"/>
    <col min="14351" max="14351" width="15.28515625" style="154" customWidth="1"/>
    <col min="14352" max="14352" width="13.85546875" style="154" customWidth="1"/>
    <col min="14353" max="14353" width="18" style="154" customWidth="1"/>
    <col min="14354" max="14354" width="36" style="154" customWidth="1"/>
    <col min="14355" max="14355" width="13.7109375" style="154" customWidth="1"/>
    <col min="14356" max="14356" width="15.42578125" style="154" customWidth="1"/>
    <col min="14357" max="14357" width="9.140625" style="154"/>
    <col min="14358" max="14358" width="98.42578125" style="154" customWidth="1"/>
    <col min="14359" max="14592" width="9.140625" style="154"/>
    <col min="14593" max="14593" width="16.7109375" style="154" customWidth="1"/>
    <col min="14594" max="14595" width="6.5703125" style="154" customWidth="1"/>
    <col min="14596" max="14596" width="5.5703125" style="154" customWidth="1"/>
    <col min="14597" max="14597" width="11.42578125" style="154" customWidth="1"/>
    <col min="14598" max="14598" width="7.85546875" style="154" customWidth="1"/>
    <col min="14599" max="14599" width="10.5703125" style="154" customWidth="1"/>
    <col min="14600" max="14600" width="8.7109375" style="154" customWidth="1"/>
    <col min="14601" max="14601" width="8.85546875" style="154" customWidth="1"/>
    <col min="14602" max="14602" width="7.140625" style="154" customWidth="1"/>
    <col min="14603" max="14603" width="8.5703125" style="154" customWidth="1"/>
    <col min="14604" max="14604" width="8.42578125" style="154" customWidth="1"/>
    <col min="14605" max="14605" width="7.85546875" style="154" customWidth="1"/>
    <col min="14606" max="14606" width="7.7109375" style="154" customWidth="1"/>
    <col min="14607" max="14607" width="15.28515625" style="154" customWidth="1"/>
    <col min="14608" max="14608" width="13.85546875" style="154" customWidth="1"/>
    <col min="14609" max="14609" width="18" style="154" customWidth="1"/>
    <col min="14610" max="14610" width="36" style="154" customWidth="1"/>
    <col min="14611" max="14611" width="13.7109375" style="154" customWidth="1"/>
    <col min="14612" max="14612" width="15.42578125" style="154" customWidth="1"/>
    <col min="14613" max="14613" width="9.140625" style="154"/>
    <col min="14614" max="14614" width="98.42578125" style="154" customWidth="1"/>
    <col min="14615" max="14848" width="9.140625" style="154"/>
    <col min="14849" max="14849" width="16.7109375" style="154" customWidth="1"/>
    <col min="14850" max="14851" width="6.5703125" style="154" customWidth="1"/>
    <col min="14852" max="14852" width="5.5703125" style="154" customWidth="1"/>
    <col min="14853" max="14853" width="11.42578125" style="154" customWidth="1"/>
    <col min="14854" max="14854" width="7.85546875" style="154" customWidth="1"/>
    <col min="14855" max="14855" width="10.5703125" style="154" customWidth="1"/>
    <col min="14856" max="14856" width="8.7109375" style="154" customWidth="1"/>
    <col min="14857" max="14857" width="8.85546875" style="154" customWidth="1"/>
    <col min="14858" max="14858" width="7.140625" style="154" customWidth="1"/>
    <col min="14859" max="14859" width="8.5703125" style="154" customWidth="1"/>
    <col min="14860" max="14860" width="8.42578125" style="154" customWidth="1"/>
    <col min="14861" max="14861" width="7.85546875" style="154" customWidth="1"/>
    <col min="14862" max="14862" width="7.7109375" style="154" customWidth="1"/>
    <col min="14863" max="14863" width="15.28515625" style="154" customWidth="1"/>
    <col min="14864" max="14864" width="13.85546875" style="154" customWidth="1"/>
    <col min="14865" max="14865" width="18" style="154" customWidth="1"/>
    <col min="14866" max="14866" width="36" style="154" customWidth="1"/>
    <col min="14867" max="14867" width="13.7109375" style="154" customWidth="1"/>
    <col min="14868" max="14868" width="15.42578125" style="154" customWidth="1"/>
    <col min="14869" max="14869" width="9.140625" style="154"/>
    <col min="14870" max="14870" width="98.42578125" style="154" customWidth="1"/>
    <col min="14871" max="15104" width="9.140625" style="154"/>
    <col min="15105" max="15105" width="16.7109375" style="154" customWidth="1"/>
    <col min="15106" max="15107" width="6.5703125" style="154" customWidth="1"/>
    <col min="15108" max="15108" width="5.5703125" style="154" customWidth="1"/>
    <col min="15109" max="15109" width="11.42578125" style="154" customWidth="1"/>
    <col min="15110" max="15110" width="7.85546875" style="154" customWidth="1"/>
    <col min="15111" max="15111" width="10.5703125" style="154" customWidth="1"/>
    <col min="15112" max="15112" width="8.7109375" style="154" customWidth="1"/>
    <col min="15113" max="15113" width="8.85546875" style="154" customWidth="1"/>
    <col min="15114" max="15114" width="7.140625" style="154" customWidth="1"/>
    <col min="15115" max="15115" width="8.5703125" style="154" customWidth="1"/>
    <col min="15116" max="15116" width="8.42578125" style="154" customWidth="1"/>
    <col min="15117" max="15117" width="7.85546875" style="154" customWidth="1"/>
    <col min="15118" max="15118" width="7.7109375" style="154" customWidth="1"/>
    <col min="15119" max="15119" width="15.28515625" style="154" customWidth="1"/>
    <col min="15120" max="15120" width="13.85546875" style="154" customWidth="1"/>
    <col min="15121" max="15121" width="18" style="154" customWidth="1"/>
    <col min="15122" max="15122" width="36" style="154" customWidth="1"/>
    <col min="15123" max="15123" width="13.7109375" style="154" customWidth="1"/>
    <col min="15124" max="15124" width="15.42578125" style="154" customWidth="1"/>
    <col min="15125" max="15125" width="9.140625" style="154"/>
    <col min="15126" max="15126" width="98.42578125" style="154" customWidth="1"/>
    <col min="15127" max="15360" width="9.140625" style="154"/>
    <col min="15361" max="15361" width="16.7109375" style="154" customWidth="1"/>
    <col min="15362" max="15363" width="6.5703125" style="154" customWidth="1"/>
    <col min="15364" max="15364" width="5.5703125" style="154" customWidth="1"/>
    <col min="15365" max="15365" width="11.42578125" style="154" customWidth="1"/>
    <col min="15366" max="15366" width="7.85546875" style="154" customWidth="1"/>
    <col min="15367" max="15367" width="10.5703125" style="154" customWidth="1"/>
    <col min="15368" max="15368" width="8.7109375" style="154" customWidth="1"/>
    <col min="15369" max="15369" width="8.85546875" style="154" customWidth="1"/>
    <col min="15370" max="15370" width="7.140625" style="154" customWidth="1"/>
    <col min="15371" max="15371" width="8.5703125" style="154" customWidth="1"/>
    <col min="15372" max="15372" width="8.42578125" style="154" customWidth="1"/>
    <col min="15373" max="15373" width="7.85546875" style="154" customWidth="1"/>
    <col min="15374" max="15374" width="7.7109375" style="154" customWidth="1"/>
    <col min="15375" max="15375" width="15.28515625" style="154" customWidth="1"/>
    <col min="15376" max="15376" width="13.85546875" style="154" customWidth="1"/>
    <col min="15377" max="15377" width="18" style="154" customWidth="1"/>
    <col min="15378" max="15378" width="36" style="154" customWidth="1"/>
    <col min="15379" max="15379" width="13.7109375" style="154" customWidth="1"/>
    <col min="15380" max="15380" width="15.42578125" style="154" customWidth="1"/>
    <col min="15381" max="15381" width="9.140625" style="154"/>
    <col min="15382" max="15382" width="98.42578125" style="154" customWidth="1"/>
    <col min="15383" max="15616" width="9.140625" style="154"/>
    <col min="15617" max="15617" width="16.7109375" style="154" customWidth="1"/>
    <col min="15618" max="15619" width="6.5703125" style="154" customWidth="1"/>
    <col min="15620" max="15620" width="5.5703125" style="154" customWidth="1"/>
    <col min="15621" max="15621" width="11.42578125" style="154" customWidth="1"/>
    <col min="15622" max="15622" width="7.85546875" style="154" customWidth="1"/>
    <col min="15623" max="15623" width="10.5703125" style="154" customWidth="1"/>
    <col min="15624" max="15624" width="8.7109375" style="154" customWidth="1"/>
    <col min="15625" max="15625" width="8.85546875" style="154" customWidth="1"/>
    <col min="15626" max="15626" width="7.140625" style="154" customWidth="1"/>
    <col min="15627" max="15627" width="8.5703125" style="154" customWidth="1"/>
    <col min="15628" max="15628" width="8.42578125" style="154" customWidth="1"/>
    <col min="15629" max="15629" width="7.85546875" style="154" customWidth="1"/>
    <col min="15630" max="15630" width="7.7109375" style="154" customWidth="1"/>
    <col min="15631" max="15631" width="15.28515625" style="154" customWidth="1"/>
    <col min="15632" max="15632" width="13.85546875" style="154" customWidth="1"/>
    <col min="15633" max="15633" width="18" style="154" customWidth="1"/>
    <col min="15634" max="15634" width="36" style="154" customWidth="1"/>
    <col min="15635" max="15635" width="13.7109375" style="154" customWidth="1"/>
    <col min="15636" max="15636" width="15.42578125" style="154" customWidth="1"/>
    <col min="15637" max="15637" width="9.140625" style="154"/>
    <col min="15638" max="15638" width="98.42578125" style="154" customWidth="1"/>
    <col min="15639" max="15872" width="9.140625" style="154"/>
    <col min="15873" max="15873" width="16.7109375" style="154" customWidth="1"/>
    <col min="15874" max="15875" width="6.5703125" style="154" customWidth="1"/>
    <col min="15876" max="15876" width="5.5703125" style="154" customWidth="1"/>
    <col min="15877" max="15877" width="11.42578125" style="154" customWidth="1"/>
    <col min="15878" max="15878" width="7.85546875" style="154" customWidth="1"/>
    <col min="15879" max="15879" width="10.5703125" style="154" customWidth="1"/>
    <col min="15880" max="15880" width="8.7109375" style="154" customWidth="1"/>
    <col min="15881" max="15881" width="8.85546875" style="154" customWidth="1"/>
    <col min="15882" max="15882" width="7.140625" style="154" customWidth="1"/>
    <col min="15883" max="15883" width="8.5703125" style="154" customWidth="1"/>
    <col min="15884" max="15884" width="8.42578125" style="154" customWidth="1"/>
    <col min="15885" max="15885" width="7.85546875" style="154" customWidth="1"/>
    <col min="15886" max="15886" width="7.7109375" style="154" customWidth="1"/>
    <col min="15887" max="15887" width="15.28515625" style="154" customWidth="1"/>
    <col min="15888" max="15888" width="13.85546875" style="154" customWidth="1"/>
    <col min="15889" max="15889" width="18" style="154" customWidth="1"/>
    <col min="15890" max="15890" width="36" style="154" customWidth="1"/>
    <col min="15891" max="15891" width="13.7109375" style="154" customWidth="1"/>
    <col min="15892" max="15892" width="15.42578125" style="154" customWidth="1"/>
    <col min="15893" max="15893" width="9.140625" style="154"/>
    <col min="15894" max="15894" width="98.42578125" style="154" customWidth="1"/>
    <col min="15895" max="16128" width="9.140625" style="154"/>
    <col min="16129" max="16129" width="16.7109375" style="154" customWidth="1"/>
    <col min="16130" max="16131" width="6.5703125" style="154" customWidth="1"/>
    <col min="16132" max="16132" width="5.5703125" style="154" customWidth="1"/>
    <col min="16133" max="16133" width="11.42578125" style="154" customWidth="1"/>
    <col min="16134" max="16134" width="7.85546875" style="154" customWidth="1"/>
    <col min="16135" max="16135" width="10.5703125" style="154" customWidth="1"/>
    <col min="16136" max="16136" width="8.7109375" style="154" customWidth="1"/>
    <col min="16137" max="16137" width="8.85546875" style="154" customWidth="1"/>
    <col min="16138" max="16138" width="7.140625" style="154" customWidth="1"/>
    <col min="16139" max="16139" width="8.5703125" style="154" customWidth="1"/>
    <col min="16140" max="16140" width="8.42578125" style="154" customWidth="1"/>
    <col min="16141" max="16141" width="7.85546875" style="154" customWidth="1"/>
    <col min="16142" max="16142" width="7.7109375" style="154" customWidth="1"/>
    <col min="16143" max="16143" width="15.28515625" style="154" customWidth="1"/>
    <col min="16144" max="16144" width="13.85546875" style="154" customWidth="1"/>
    <col min="16145" max="16145" width="18" style="154" customWidth="1"/>
    <col min="16146" max="16146" width="36" style="154" customWidth="1"/>
    <col min="16147" max="16147" width="13.7109375" style="154" customWidth="1"/>
    <col min="16148" max="16148" width="15.42578125" style="154" customWidth="1"/>
    <col min="16149" max="16149" width="9.140625" style="154"/>
    <col min="16150" max="16150" width="98.42578125" style="154" customWidth="1"/>
    <col min="16151" max="16384" width="9.140625" style="154"/>
  </cols>
  <sheetData>
    <row r="1" spans="1:23" x14ac:dyDescent="0.25">
      <c r="A1" s="154" t="s">
        <v>153</v>
      </c>
      <c r="B1" s="155" t="s">
        <v>2032</v>
      </c>
      <c r="C1" s="155" t="s">
        <v>2034</v>
      </c>
      <c r="D1" s="155" t="s">
        <v>2033</v>
      </c>
      <c r="E1" s="155" t="s">
        <v>2075</v>
      </c>
      <c r="F1" s="155" t="s">
        <v>2076</v>
      </c>
      <c r="G1" s="155" t="s">
        <v>2077</v>
      </c>
      <c r="H1" s="155" t="s">
        <v>2078</v>
      </c>
      <c r="I1" s="155" t="s">
        <v>2079</v>
      </c>
      <c r="J1" s="155" t="s">
        <v>2080</v>
      </c>
      <c r="K1" s="155" t="s">
        <v>2080</v>
      </c>
      <c r="L1" s="155" t="s">
        <v>2081</v>
      </c>
      <c r="M1" s="155" t="s">
        <v>2082</v>
      </c>
      <c r="N1" s="155" t="s">
        <v>2083</v>
      </c>
      <c r="O1" s="155" t="s">
        <v>2084</v>
      </c>
      <c r="P1" s="155" t="s">
        <v>2085</v>
      </c>
      <c r="Q1" s="155" t="s">
        <v>152</v>
      </c>
      <c r="R1" s="155" t="s">
        <v>2086</v>
      </c>
      <c r="S1" s="155" t="s">
        <v>169</v>
      </c>
      <c r="T1" s="155" t="s">
        <v>2087</v>
      </c>
      <c r="U1" s="155" t="s">
        <v>2088</v>
      </c>
      <c r="V1" s="155" t="s">
        <v>2089</v>
      </c>
    </row>
    <row r="2" spans="1:23" x14ac:dyDescent="0.25">
      <c r="A2" s="154" t="s">
        <v>2421</v>
      </c>
      <c r="B2" s="154" t="s">
        <v>2090</v>
      </c>
      <c r="C2" s="155" t="s">
        <v>2091</v>
      </c>
      <c r="D2" s="155" t="s">
        <v>2091</v>
      </c>
      <c r="E2" s="155" t="s">
        <v>2091</v>
      </c>
      <c r="F2" s="155" t="s">
        <v>2091</v>
      </c>
      <c r="G2" s="155" t="s">
        <v>2091</v>
      </c>
      <c r="H2" s="155" t="s">
        <v>2092</v>
      </c>
      <c r="I2" s="155" t="s">
        <v>2091</v>
      </c>
      <c r="J2" s="155" t="s">
        <v>2091</v>
      </c>
      <c r="K2" s="155" t="s">
        <v>2093</v>
      </c>
      <c r="L2" s="155" t="s">
        <v>2094</v>
      </c>
      <c r="M2" s="155" t="s">
        <v>2095</v>
      </c>
      <c r="N2" s="155" t="s">
        <v>2096</v>
      </c>
      <c r="O2" s="155" t="s">
        <v>2097</v>
      </c>
      <c r="P2" s="155" t="s">
        <v>2098</v>
      </c>
      <c r="R2" s="155" t="s">
        <v>2099</v>
      </c>
      <c r="S2" s="155" t="s">
        <v>173</v>
      </c>
      <c r="T2" s="155" t="s">
        <v>2100</v>
      </c>
      <c r="U2" s="155" t="s">
        <v>175</v>
      </c>
    </row>
    <row r="3" spans="1:23" x14ac:dyDescent="0.25">
      <c r="B3" s="155" t="s">
        <v>2091</v>
      </c>
      <c r="C3" s="155"/>
      <c r="D3" s="155"/>
      <c r="E3" s="155" t="s">
        <v>2101</v>
      </c>
      <c r="F3" s="155" t="s">
        <v>2102</v>
      </c>
      <c r="G3" s="155" t="s">
        <v>2103</v>
      </c>
      <c r="H3" s="155" t="s">
        <v>2104</v>
      </c>
      <c r="I3" s="155" t="s">
        <v>2105</v>
      </c>
      <c r="J3" s="155" t="s">
        <v>2106</v>
      </c>
      <c r="K3" s="155"/>
      <c r="L3" s="155" t="s">
        <v>2093</v>
      </c>
      <c r="M3" s="155" t="s">
        <v>2107</v>
      </c>
      <c r="N3" s="155"/>
    </row>
    <row r="4" spans="1:23" x14ac:dyDescent="0.25">
      <c r="A4" s="156" t="s">
        <v>414</v>
      </c>
      <c r="B4" s="157">
        <v>2</v>
      </c>
      <c r="C4" s="157">
        <v>2</v>
      </c>
      <c r="D4" s="157">
        <v>5</v>
      </c>
      <c r="E4" s="157">
        <v>1</v>
      </c>
      <c r="F4" s="157">
        <v>1</v>
      </c>
      <c r="G4" s="157">
        <v>1</v>
      </c>
      <c r="H4" s="157"/>
      <c r="I4" s="157">
        <v>1</v>
      </c>
      <c r="J4" s="158"/>
      <c r="K4" s="157">
        <v>4</v>
      </c>
      <c r="L4" s="157"/>
      <c r="M4" s="158">
        <v>22</v>
      </c>
      <c r="N4" s="157">
        <v>7</v>
      </c>
      <c r="O4" s="155" t="s">
        <v>1482</v>
      </c>
      <c r="Q4" s="156" t="s">
        <v>414</v>
      </c>
      <c r="R4" s="159" t="s">
        <v>2108</v>
      </c>
      <c r="S4" s="160">
        <v>26686.440677966104</v>
      </c>
      <c r="T4" s="161" t="s">
        <v>248</v>
      </c>
      <c r="U4" s="162">
        <v>3.5</v>
      </c>
      <c r="V4" s="163" t="s">
        <v>2109</v>
      </c>
      <c r="W4" s="154" t="s">
        <v>2110</v>
      </c>
    </row>
    <row r="5" spans="1:23" x14ac:dyDescent="0.25">
      <c r="A5" s="156" t="s">
        <v>417</v>
      </c>
      <c r="B5" s="157">
        <v>2</v>
      </c>
      <c r="C5" s="157">
        <v>2</v>
      </c>
      <c r="D5" s="157">
        <v>5</v>
      </c>
      <c r="E5" s="157">
        <v>1</v>
      </c>
      <c r="F5" s="157">
        <v>1</v>
      </c>
      <c r="G5" s="157">
        <v>1</v>
      </c>
      <c r="H5" s="157"/>
      <c r="I5" s="157">
        <v>1</v>
      </c>
      <c r="J5" s="158"/>
      <c r="K5" s="157">
        <v>5.5</v>
      </c>
      <c r="L5" s="157"/>
      <c r="M5" s="158">
        <v>25</v>
      </c>
      <c r="N5" s="157">
        <v>7</v>
      </c>
      <c r="O5" s="155" t="s">
        <v>1482</v>
      </c>
      <c r="Q5" s="156" t="s">
        <v>417</v>
      </c>
      <c r="R5" s="159" t="s">
        <v>2111</v>
      </c>
      <c r="S5" s="160">
        <v>26855.932203389832</v>
      </c>
      <c r="T5" s="161" t="s">
        <v>248</v>
      </c>
      <c r="U5" s="162">
        <v>3.5</v>
      </c>
      <c r="V5" s="163" t="s">
        <v>2112</v>
      </c>
      <c r="W5" s="154" t="s">
        <v>2110</v>
      </c>
    </row>
    <row r="6" spans="1:23" x14ac:dyDescent="0.25">
      <c r="A6" s="156" t="s">
        <v>420</v>
      </c>
      <c r="B6" s="157">
        <v>2</v>
      </c>
      <c r="C6" s="157">
        <v>2</v>
      </c>
      <c r="D6" s="157">
        <v>5</v>
      </c>
      <c r="E6" s="157">
        <v>1</v>
      </c>
      <c r="F6" s="157">
        <v>1</v>
      </c>
      <c r="G6" s="157">
        <v>1</v>
      </c>
      <c r="H6" s="157"/>
      <c r="I6" s="157">
        <v>1</v>
      </c>
      <c r="J6" s="158"/>
      <c r="K6" s="157">
        <v>7.5</v>
      </c>
      <c r="L6" s="157"/>
      <c r="M6" s="158">
        <v>30</v>
      </c>
      <c r="N6" s="157">
        <v>7</v>
      </c>
      <c r="O6" s="155" t="s">
        <v>1482</v>
      </c>
      <c r="Q6" s="156" t="s">
        <v>420</v>
      </c>
      <c r="R6" s="159" t="s">
        <v>2113</v>
      </c>
      <c r="S6" s="160">
        <v>27618.644067796613</v>
      </c>
      <c r="T6" s="161" t="s">
        <v>248</v>
      </c>
      <c r="U6" s="162">
        <v>3.5</v>
      </c>
      <c r="V6" s="163" t="s">
        <v>2114</v>
      </c>
      <c r="W6" s="154" t="s">
        <v>2110</v>
      </c>
    </row>
    <row r="7" spans="1:23" x14ac:dyDescent="0.25">
      <c r="A7" s="156" t="s">
        <v>423</v>
      </c>
      <c r="B7" s="157">
        <v>2</v>
      </c>
      <c r="C7" s="157">
        <v>2</v>
      </c>
      <c r="D7" s="157">
        <v>5</v>
      </c>
      <c r="E7" s="157">
        <v>1</v>
      </c>
      <c r="F7" s="157">
        <v>1</v>
      </c>
      <c r="G7" s="157">
        <v>1</v>
      </c>
      <c r="H7" s="157"/>
      <c r="I7" s="157">
        <v>1</v>
      </c>
      <c r="J7" s="158"/>
      <c r="K7" s="157">
        <v>11</v>
      </c>
      <c r="L7" s="157"/>
      <c r="M7" s="158">
        <v>35</v>
      </c>
      <c r="N7" s="157">
        <v>7</v>
      </c>
      <c r="O7" s="155" t="s">
        <v>1482</v>
      </c>
      <c r="Q7" s="156" t="s">
        <v>423</v>
      </c>
      <c r="R7" s="159" t="s">
        <v>2115</v>
      </c>
      <c r="S7" s="160">
        <v>30500</v>
      </c>
      <c r="T7" s="161" t="s">
        <v>425</v>
      </c>
      <c r="U7" s="162">
        <v>4.8</v>
      </c>
      <c r="V7" s="163" t="s">
        <v>2116</v>
      </c>
      <c r="W7" s="154" t="s">
        <v>2110</v>
      </c>
    </row>
    <row r="8" spans="1:23" x14ac:dyDescent="0.25">
      <c r="A8" s="156" t="s">
        <v>427</v>
      </c>
      <c r="B8" s="157">
        <v>2</v>
      </c>
      <c r="C8" s="157">
        <v>2</v>
      </c>
      <c r="D8" s="157">
        <v>5</v>
      </c>
      <c r="E8" s="157">
        <v>1</v>
      </c>
      <c r="F8" s="157">
        <v>1</v>
      </c>
      <c r="G8" s="157">
        <v>1</v>
      </c>
      <c r="H8" s="157"/>
      <c r="I8" s="157">
        <v>1</v>
      </c>
      <c r="J8" s="158"/>
      <c r="K8" s="157">
        <v>15</v>
      </c>
      <c r="L8" s="157"/>
      <c r="M8" s="158">
        <v>42</v>
      </c>
      <c r="N8" s="157">
        <v>7</v>
      </c>
      <c r="O8" s="155" t="s">
        <v>1482</v>
      </c>
      <c r="Q8" s="156" t="s">
        <v>427</v>
      </c>
      <c r="R8" s="159" t="s">
        <v>2117</v>
      </c>
      <c r="S8" s="160">
        <v>31601.69491525424</v>
      </c>
      <c r="T8" s="161" t="s">
        <v>425</v>
      </c>
      <c r="U8" s="162">
        <v>4.8</v>
      </c>
      <c r="V8" s="163" t="s">
        <v>2118</v>
      </c>
      <c r="W8" s="154" t="s">
        <v>2110</v>
      </c>
    </row>
    <row r="9" spans="1:23" x14ac:dyDescent="0.25">
      <c r="A9" s="156" t="s">
        <v>455</v>
      </c>
      <c r="B9" s="157">
        <v>2</v>
      </c>
      <c r="C9" s="157">
        <v>2</v>
      </c>
      <c r="D9" s="157">
        <v>5</v>
      </c>
      <c r="E9" s="157">
        <v>1</v>
      </c>
      <c r="F9" s="157">
        <v>1</v>
      </c>
      <c r="G9" s="157">
        <v>1</v>
      </c>
      <c r="H9" s="157"/>
      <c r="I9" s="157">
        <v>1</v>
      </c>
      <c r="J9" s="158"/>
      <c r="K9" s="157">
        <v>4</v>
      </c>
      <c r="L9" s="157"/>
      <c r="M9" s="158">
        <v>22</v>
      </c>
      <c r="N9" s="157">
        <v>7</v>
      </c>
      <c r="O9" s="155" t="s">
        <v>1486</v>
      </c>
      <c r="Q9" s="156" t="s">
        <v>455</v>
      </c>
      <c r="R9" s="159" t="s">
        <v>2119</v>
      </c>
      <c r="S9" s="160">
        <v>29483.050847457627</v>
      </c>
      <c r="T9" s="161" t="s">
        <v>248</v>
      </c>
      <c r="U9" s="162">
        <v>3.5</v>
      </c>
      <c r="V9" s="163" t="s">
        <v>2120</v>
      </c>
      <c r="W9" s="154" t="s">
        <v>2110</v>
      </c>
    </row>
    <row r="10" spans="1:23" x14ac:dyDescent="0.25">
      <c r="A10" s="156" t="s">
        <v>458</v>
      </c>
      <c r="B10" s="157">
        <v>2</v>
      </c>
      <c r="C10" s="157">
        <v>2</v>
      </c>
      <c r="D10" s="157">
        <v>5</v>
      </c>
      <c r="E10" s="157">
        <v>1</v>
      </c>
      <c r="F10" s="157">
        <v>1</v>
      </c>
      <c r="G10" s="157">
        <v>1</v>
      </c>
      <c r="H10" s="157"/>
      <c r="I10" s="157">
        <v>1</v>
      </c>
      <c r="J10" s="158"/>
      <c r="K10" s="157">
        <v>5.5</v>
      </c>
      <c r="L10" s="157"/>
      <c r="M10" s="158">
        <v>25</v>
      </c>
      <c r="N10" s="157">
        <v>7</v>
      </c>
      <c r="O10" s="155" t="s">
        <v>1486</v>
      </c>
      <c r="Q10" s="156" t="s">
        <v>458</v>
      </c>
      <c r="R10" s="159" t="s">
        <v>2121</v>
      </c>
      <c r="S10" s="160">
        <v>29652.542372881358</v>
      </c>
      <c r="T10" s="161" t="s">
        <v>248</v>
      </c>
      <c r="U10" s="162">
        <v>3.5</v>
      </c>
      <c r="V10" s="163" t="s">
        <v>2122</v>
      </c>
      <c r="W10" s="154" t="s">
        <v>2110</v>
      </c>
    </row>
    <row r="11" spans="1:23" x14ac:dyDescent="0.25">
      <c r="A11" s="156" t="s">
        <v>460</v>
      </c>
      <c r="B11" s="157">
        <v>2</v>
      </c>
      <c r="C11" s="157">
        <v>2</v>
      </c>
      <c r="D11" s="157">
        <v>5</v>
      </c>
      <c r="E11" s="157">
        <v>1</v>
      </c>
      <c r="F11" s="157">
        <v>1</v>
      </c>
      <c r="G11" s="157">
        <v>1</v>
      </c>
      <c r="H11" s="157"/>
      <c r="I11" s="157">
        <v>1</v>
      </c>
      <c r="J11" s="158"/>
      <c r="K11" s="157">
        <v>7.5</v>
      </c>
      <c r="L11" s="157"/>
      <c r="M11" s="158">
        <v>30</v>
      </c>
      <c r="N11" s="157">
        <v>7</v>
      </c>
      <c r="O11" s="155" t="s">
        <v>1486</v>
      </c>
      <c r="Q11" s="156" t="s">
        <v>460</v>
      </c>
      <c r="R11" s="159" t="s">
        <v>2123</v>
      </c>
      <c r="S11" s="160">
        <v>29991.525423728814</v>
      </c>
      <c r="T11" s="161" t="s">
        <v>248</v>
      </c>
      <c r="U11" s="162">
        <v>3.5</v>
      </c>
      <c r="V11" s="163" t="s">
        <v>2124</v>
      </c>
      <c r="W11" s="154" t="s">
        <v>2110</v>
      </c>
    </row>
    <row r="12" spans="1:23" x14ac:dyDescent="0.25">
      <c r="A12" s="156" t="s">
        <v>462</v>
      </c>
      <c r="B12" s="157">
        <v>2</v>
      </c>
      <c r="C12" s="157">
        <v>2</v>
      </c>
      <c r="D12" s="157">
        <v>5</v>
      </c>
      <c r="E12" s="157">
        <v>1</v>
      </c>
      <c r="F12" s="157">
        <v>1</v>
      </c>
      <c r="G12" s="157">
        <v>1</v>
      </c>
      <c r="H12" s="157"/>
      <c r="I12" s="157">
        <v>1</v>
      </c>
      <c r="J12" s="158"/>
      <c r="K12" s="157">
        <v>11</v>
      </c>
      <c r="L12" s="157"/>
      <c r="M12" s="158">
        <v>35</v>
      </c>
      <c r="N12" s="157">
        <v>7</v>
      </c>
      <c r="O12" s="155" t="s">
        <v>1486</v>
      </c>
      <c r="Q12" s="156" t="s">
        <v>462</v>
      </c>
      <c r="R12" s="159" t="s">
        <v>2125</v>
      </c>
      <c r="S12" s="160">
        <v>32957.627118644072</v>
      </c>
      <c r="T12" s="161" t="s">
        <v>425</v>
      </c>
      <c r="U12" s="162">
        <v>4.8</v>
      </c>
      <c r="V12" s="163" t="s">
        <v>2126</v>
      </c>
      <c r="W12" s="154" t="s">
        <v>2110</v>
      </c>
    </row>
    <row r="13" spans="1:23" x14ac:dyDescent="0.25">
      <c r="A13" s="156" t="s">
        <v>464</v>
      </c>
      <c r="B13" s="157">
        <v>2</v>
      </c>
      <c r="C13" s="157">
        <v>2</v>
      </c>
      <c r="D13" s="157">
        <v>5</v>
      </c>
      <c r="E13" s="157">
        <v>1</v>
      </c>
      <c r="F13" s="157">
        <v>1</v>
      </c>
      <c r="G13" s="157">
        <v>1</v>
      </c>
      <c r="H13" s="157"/>
      <c r="I13" s="157">
        <v>1</v>
      </c>
      <c r="J13" s="158"/>
      <c r="K13" s="157">
        <v>15</v>
      </c>
      <c r="L13" s="157"/>
      <c r="M13" s="158">
        <v>42</v>
      </c>
      <c r="N13" s="157">
        <v>7</v>
      </c>
      <c r="O13" s="155" t="s">
        <v>1486</v>
      </c>
      <c r="Q13" s="156" t="s">
        <v>464</v>
      </c>
      <c r="R13" s="159" t="s">
        <v>2127</v>
      </c>
      <c r="S13" s="160">
        <v>34652.542372881355</v>
      </c>
      <c r="T13" s="161" t="s">
        <v>425</v>
      </c>
      <c r="U13" s="162">
        <v>4.8</v>
      </c>
      <c r="V13" s="163" t="s">
        <v>2128</v>
      </c>
      <c r="W13" s="154" t="s">
        <v>2110</v>
      </c>
    </row>
    <row r="14" spans="1:23" x14ac:dyDescent="0.25">
      <c r="A14" s="156" t="s">
        <v>490</v>
      </c>
      <c r="B14" s="157">
        <v>1</v>
      </c>
      <c r="C14" s="157">
        <v>1</v>
      </c>
      <c r="D14" s="157">
        <v>6</v>
      </c>
      <c r="E14" s="157"/>
      <c r="F14" s="157">
        <v>1</v>
      </c>
      <c r="G14" s="157">
        <v>1</v>
      </c>
      <c r="H14" s="157"/>
      <c r="I14" s="157">
        <v>2</v>
      </c>
      <c r="J14" s="157">
        <v>1</v>
      </c>
      <c r="K14" s="157">
        <v>4</v>
      </c>
      <c r="L14" s="157">
        <v>16</v>
      </c>
      <c r="M14" s="158">
        <v>40</v>
      </c>
      <c r="N14" s="157"/>
      <c r="O14" s="155" t="s">
        <v>1482</v>
      </c>
      <c r="Q14" s="156" t="s">
        <v>490</v>
      </c>
      <c r="R14" s="159" t="s">
        <v>2129</v>
      </c>
      <c r="S14" s="160">
        <v>25415.254237288136</v>
      </c>
      <c r="T14" s="161" t="s">
        <v>248</v>
      </c>
      <c r="U14" s="162">
        <v>4.0999999999999996</v>
      </c>
      <c r="V14" s="163" t="s">
        <v>2130</v>
      </c>
      <c r="W14" s="154" t="s">
        <v>2110</v>
      </c>
    </row>
    <row r="15" spans="1:23" x14ac:dyDescent="0.25">
      <c r="A15" s="156" t="s">
        <v>493</v>
      </c>
      <c r="B15" s="157">
        <v>1</v>
      </c>
      <c r="C15" s="157">
        <v>1</v>
      </c>
      <c r="D15" s="157">
        <v>6</v>
      </c>
      <c r="E15" s="157"/>
      <c r="F15" s="157">
        <v>1</v>
      </c>
      <c r="G15" s="157">
        <v>1</v>
      </c>
      <c r="H15" s="157"/>
      <c r="I15" s="157">
        <v>2</v>
      </c>
      <c r="J15" s="157">
        <v>1</v>
      </c>
      <c r="K15" s="157">
        <v>4</v>
      </c>
      <c r="L15" s="157">
        <v>24</v>
      </c>
      <c r="M15" s="158">
        <v>52</v>
      </c>
      <c r="N15" s="157"/>
      <c r="O15" s="155" t="s">
        <v>1482</v>
      </c>
      <c r="Q15" s="156" t="s">
        <v>493</v>
      </c>
      <c r="R15" s="159" t="s">
        <v>2131</v>
      </c>
      <c r="S15" s="160">
        <v>26771.186440677968</v>
      </c>
      <c r="T15" s="161" t="s">
        <v>248</v>
      </c>
      <c r="U15" s="162">
        <v>4.0999999999999996</v>
      </c>
      <c r="V15" s="163" t="s">
        <v>2132</v>
      </c>
      <c r="W15" s="154" t="s">
        <v>2110</v>
      </c>
    </row>
    <row r="16" spans="1:23" x14ac:dyDescent="0.25">
      <c r="A16" s="156" t="s">
        <v>496</v>
      </c>
      <c r="B16" s="157">
        <v>1</v>
      </c>
      <c r="C16" s="157">
        <v>1</v>
      </c>
      <c r="D16" s="157">
        <v>6</v>
      </c>
      <c r="E16" s="157"/>
      <c r="F16" s="157">
        <v>1</v>
      </c>
      <c r="G16" s="157"/>
      <c r="H16" s="157"/>
      <c r="I16" s="157">
        <v>3</v>
      </c>
      <c r="J16" s="157">
        <v>1</v>
      </c>
      <c r="K16" s="157">
        <v>4</v>
      </c>
      <c r="L16" s="157">
        <v>16</v>
      </c>
      <c r="M16" s="157">
        <v>62</v>
      </c>
      <c r="N16" s="157"/>
      <c r="O16" s="155" t="s">
        <v>1482</v>
      </c>
      <c r="Q16" s="156" t="s">
        <v>496</v>
      </c>
      <c r="R16" s="159" t="s">
        <v>2133</v>
      </c>
      <c r="S16" s="160">
        <v>31093.220338983054</v>
      </c>
      <c r="T16" s="161" t="s">
        <v>498</v>
      </c>
      <c r="U16" s="162">
        <v>5.6</v>
      </c>
      <c r="V16" s="163" t="s">
        <v>2134</v>
      </c>
      <c r="W16" s="154" t="s">
        <v>2110</v>
      </c>
    </row>
    <row r="17" spans="1:23" x14ac:dyDescent="0.25">
      <c r="A17" s="156" t="s">
        <v>500</v>
      </c>
      <c r="B17" s="157">
        <v>1</v>
      </c>
      <c r="C17" s="157">
        <v>1</v>
      </c>
      <c r="D17" s="157">
        <v>6</v>
      </c>
      <c r="E17" s="157"/>
      <c r="F17" s="157">
        <v>1</v>
      </c>
      <c r="G17" s="157"/>
      <c r="H17" s="157"/>
      <c r="I17" s="157">
        <v>3</v>
      </c>
      <c r="J17" s="157">
        <v>1</v>
      </c>
      <c r="K17" s="157">
        <v>4</v>
      </c>
      <c r="L17" s="157">
        <v>24</v>
      </c>
      <c r="M17" s="158">
        <v>89</v>
      </c>
      <c r="N17" s="157"/>
      <c r="O17" s="155" t="s">
        <v>1482</v>
      </c>
      <c r="Q17" s="156" t="s">
        <v>500</v>
      </c>
      <c r="R17" s="159" t="s">
        <v>2135</v>
      </c>
      <c r="S17" s="160">
        <v>34906.779661016953</v>
      </c>
      <c r="T17" s="161" t="s">
        <v>498</v>
      </c>
      <c r="U17" s="162">
        <v>5.8</v>
      </c>
      <c r="V17" s="163" t="s">
        <v>2136</v>
      </c>
      <c r="W17" s="154" t="s">
        <v>2110</v>
      </c>
    </row>
    <row r="18" spans="1:23" x14ac:dyDescent="0.25">
      <c r="A18" s="156" t="s">
        <v>673</v>
      </c>
      <c r="B18" s="157">
        <v>1</v>
      </c>
      <c r="C18" s="157">
        <v>1</v>
      </c>
      <c r="D18" s="157">
        <v>6</v>
      </c>
      <c r="E18" s="157"/>
      <c r="F18" s="157">
        <v>1</v>
      </c>
      <c r="G18" s="157">
        <v>1</v>
      </c>
      <c r="H18" s="157"/>
      <c r="I18" s="157">
        <v>2</v>
      </c>
      <c r="J18" s="157">
        <v>1</v>
      </c>
      <c r="K18" s="157">
        <v>4</v>
      </c>
      <c r="L18" s="157">
        <v>16</v>
      </c>
      <c r="M18" s="158">
        <v>40</v>
      </c>
      <c r="N18" s="157"/>
      <c r="O18" s="155" t="s">
        <v>1486</v>
      </c>
      <c r="Q18" s="156" t="s">
        <v>673</v>
      </c>
      <c r="R18" s="159" t="s">
        <v>2137</v>
      </c>
      <c r="S18" s="160">
        <v>27788.135593220341</v>
      </c>
      <c r="T18" s="161" t="s">
        <v>248</v>
      </c>
      <c r="U18" s="162">
        <v>4.0999999999999996</v>
      </c>
      <c r="V18" s="163" t="s">
        <v>2138</v>
      </c>
      <c r="W18" s="154" t="s">
        <v>2110</v>
      </c>
    </row>
    <row r="19" spans="1:23" x14ac:dyDescent="0.25">
      <c r="A19" s="156" t="s">
        <v>675</v>
      </c>
      <c r="B19" s="157">
        <v>1</v>
      </c>
      <c r="C19" s="157">
        <v>1</v>
      </c>
      <c r="D19" s="157">
        <v>6</v>
      </c>
      <c r="E19" s="157"/>
      <c r="F19" s="157">
        <v>1</v>
      </c>
      <c r="G19" s="157">
        <v>1</v>
      </c>
      <c r="H19" s="157"/>
      <c r="I19" s="157">
        <v>2</v>
      </c>
      <c r="J19" s="157">
        <v>1</v>
      </c>
      <c r="K19" s="157">
        <v>4</v>
      </c>
      <c r="L19" s="157">
        <v>24</v>
      </c>
      <c r="M19" s="158">
        <v>52</v>
      </c>
      <c r="N19" s="157"/>
      <c r="O19" s="155" t="s">
        <v>1486</v>
      </c>
      <c r="Q19" s="156" t="s">
        <v>675</v>
      </c>
      <c r="R19" s="159" t="s">
        <v>2139</v>
      </c>
      <c r="S19" s="160">
        <v>29567.796610169495</v>
      </c>
      <c r="T19" s="161" t="s">
        <v>248</v>
      </c>
      <c r="U19" s="162">
        <v>4.2</v>
      </c>
      <c r="V19" s="163" t="s">
        <v>2140</v>
      </c>
      <c r="W19" s="154" t="s">
        <v>2110</v>
      </c>
    </row>
    <row r="20" spans="1:23" x14ac:dyDescent="0.25">
      <c r="A20" s="156" t="s">
        <v>677</v>
      </c>
      <c r="B20" s="157">
        <v>1</v>
      </c>
      <c r="C20" s="157">
        <v>1</v>
      </c>
      <c r="D20" s="157">
        <v>6</v>
      </c>
      <c r="E20" s="157"/>
      <c r="F20" s="157">
        <v>1</v>
      </c>
      <c r="G20" s="157"/>
      <c r="H20" s="157"/>
      <c r="I20" s="157">
        <v>3</v>
      </c>
      <c r="J20" s="157">
        <v>1</v>
      </c>
      <c r="K20" s="157">
        <v>4</v>
      </c>
      <c r="L20" s="157">
        <v>16</v>
      </c>
      <c r="M20" s="157">
        <v>62</v>
      </c>
      <c r="N20" s="157"/>
      <c r="O20" s="155" t="s">
        <v>1486</v>
      </c>
      <c r="Q20" s="156" t="s">
        <v>677</v>
      </c>
      <c r="R20" s="159" t="s">
        <v>2141</v>
      </c>
      <c r="S20" s="160">
        <v>34144.067796610172</v>
      </c>
      <c r="T20" s="161" t="s">
        <v>498</v>
      </c>
      <c r="U20" s="162">
        <v>5.6</v>
      </c>
      <c r="V20" s="163" t="s">
        <v>2142</v>
      </c>
      <c r="W20" s="154" t="s">
        <v>2110</v>
      </c>
    </row>
    <row r="21" spans="1:23" x14ac:dyDescent="0.25">
      <c r="A21" s="156" t="s">
        <v>679</v>
      </c>
      <c r="B21" s="157">
        <v>1</v>
      </c>
      <c r="C21" s="157">
        <v>1</v>
      </c>
      <c r="D21" s="157">
        <v>6</v>
      </c>
      <c r="E21" s="157"/>
      <c r="F21" s="157">
        <v>1</v>
      </c>
      <c r="G21" s="157"/>
      <c r="H21" s="157"/>
      <c r="I21" s="157">
        <v>3</v>
      </c>
      <c r="J21" s="157">
        <v>1</v>
      </c>
      <c r="K21" s="157">
        <v>4</v>
      </c>
      <c r="L21" s="157">
        <v>24</v>
      </c>
      <c r="M21" s="158">
        <v>89</v>
      </c>
      <c r="N21" s="157"/>
      <c r="O21" s="155" t="s">
        <v>1486</v>
      </c>
      <c r="Q21" s="156" t="s">
        <v>679</v>
      </c>
      <c r="R21" s="159" t="s">
        <v>2143</v>
      </c>
      <c r="S21" s="160">
        <v>37618.644067796609</v>
      </c>
      <c r="T21" s="161" t="s">
        <v>498</v>
      </c>
      <c r="U21" s="162">
        <v>5.8</v>
      </c>
      <c r="V21" s="163" t="s">
        <v>2144</v>
      </c>
      <c r="W21" s="154" t="s">
        <v>2110</v>
      </c>
    </row>
    <row r="22" spans="1:23" x14ac:dyDescent="0.25">
      <c r="A22" s="164" t="s">
        <v>719</v>
      </c>
      <c r="B22" s="157">
        <v>3</v>
      </c>
      <c r="C22" s="157">
        <v>5</v>
      </c>
      <c r="D22" s="157">
        <v>2</v>
      </c>
      <c r="E22" s="157">
        <v>1</v>
      </c>
      <c r="F22" s="157">
        <v>1</v>
      </c>
      <c r="G22" s="157">
        <v>2</v>
      </c>
      <c r="H22" s="157"/>
      <c r="I22" s="157"/>
      <c r="J22" s="157">
        <v>2</v>
      </c>
      <c r="K22" s="157">
        <v>5.5</v>
      </c>
      <c r="L22" s="157"/>
      <c r="M22" s="157">
        <v>33</v>
      </c>
      <c r="N22" s="157">
        <v>14</v>
      </c>
      <c r="O22" s="155" t="s">
        <v>1482</v>
      </c>
      <c r="Q22" s="164" t="s">
        <v>719</v>
      </c>
      <c r="R22" s="159" t="s">
        <v>2145</v>
      </c>
      <c r="S22" s="160">
        <v>32119.491525423731</v>
      </c>
      <c r="T22" s="165" t="s">
        <v>498</v>
      </c>
      <c r="U22" s="162">
        <v>6.3</v>
      </c>
      <c r="V22" s="163" t="s">
        <v>2146</v>
      </c>
    </row>
    <row r="23" spans="1:23" x14ac:dyDescent="0.25">
      <c r="A23" s="164" t="s">
        <v>722</v>
      </c>
      <c r="B23" s="157">
        <v>3</v>
      </c>
      <c r="C23" s="157">
        <v>5</v>
      </c>
      <c r="D23" s="157">
        <v>2</v>
      </c>
      <c r="E23" s="157">
        <v>1</v>
      </c>
      <c r="F23" s="157">
        <v>1</v>
      </c>
      <c r="G23" s="157">
        <v>2</v>
      </c>
      <c r="H23" s="157"/>
      <c r="I23" s="157"/>
      <c r="J23" s="157">
        <v>2</v>
      </c>
      <c r="K23" s="157">
        <v>7.5</v>
      </c>
      <c r="L23" s="157"/>
      <c r="M23" s="157">
        <v>41</v>
      </c>
      <c r="N23" s="157">
        <v>14</v>
      </c>
      <c r="O23" s="155" t="s">
        <v>1482</v>
      </c>
      <c r="Q23" s="164" t="s">
        <v>722</v>
      </c>
      <c r="R23" s="159" t="s">
        <v>2147</v>
      </c>
      <c r="S23" s="160">
        <v>33455.084745762717</v>
      </c>
      <c r="T23" s="165" t="s">
        <v>498</v>
      </c>
      <c r="U23" s="162">
        <v>6.3</v>
      </c>
      <c r="V23" s="163" t="s">
        <v>2148</v>
      </c>
    </row>
    <row r="24" spans="1:23" x14ac:dyDescent="0.25">
      <c r="A24" s="164" t="s">
        <v>725</v>
      </c>
      <c r="B24" s="157">
        <v>3</v>
      </c>
      <c r="C24" s="157">
        <v>5</v>
      </c>
      <c r="D24" s="157">
        <v>2</v>
      </c>
      <c r="E24" s="157">
        <v>1</v>
      </c>
      <c r="F24" s="157">
        <v>1</v>
      </c>
      <c r="G24" s="157">
        <v>2</v>
      </c>
      <c r="H24" s="157"/>
      <c r="I24" s="157"/>
      <c r="J24" s="157">
        <v>2</v>
      </c>
      <c r="K24" s="157">
        <v>11</v>
      </c>
      <c r="L24" s="157"/>
      <c r="M24" s="157">
        <v>53</v>
      </c>
      <c r="N24" s="157">
        <v>28</v>
      </c>
      <c r="O24" s="155" t="s">
        <v>1482</v>
      </c>
      <c r="Q24" s="164" t="s">
        <v>725</v>
      </c>
      <c r="R24" s="159" t="s">
        <v>2149</v>
      </c>
      <c r="S24" s="160">
        <v>34685.593220338982</v>
      </c>
      <c r="T24" s="165" t="s">
        <v>498</v>
      </c>
      <c r="U24" s="162">
        <v>6.5</v>
      </c>
      <c r="V24" s="163" t="s">
        <v>2150</v>
      </c>
    </row>
    <row r="25" spans="1:23" x14ac:dyDescent="0.25">
      <c r="A25" s="164" t="s">
        <v>728</v>
      </c>
      <c r="B25" s="157">
        <v>3</v>
      </c>
      <c r="C25" s="157">
        <v>5</v>
      </c>
      <c r="D25" s="157">
        <v>2</v>
      </c>
      <c r="E25" s="157">
        <v>1</v>
      </c>
      <c r="F25" s="157">
        <v>1</v>
      </c>
      <c r="G25" s="157">
        <v>2</v>
      </c>
      <c r="H25" s="157"/>
      <c r="I25" s="157"/>
      <c r="J25" s="157">
        <v>2</v>
      </c>
      <c r="K25" s="157">
        <v>15</v>
      </c>
      <c r="L25" s="157"/>
      <c r="M25" s="157">
        <v>68</v>
      </c>
      <c r="N25" s="157">
        <v>28</v>
      </c>
      <c r="O25" s="155" t="s">
        <v>1482</v>
      </c>
      <c r="Q25" s="164" t="s">
        <v>728</v>
      </c>
      <c r="R25" s="159" t="s">
        <v>2151</v>
      </c>
      <c r="S25" s="160">
        <v>36977.966101694918</v>
      </c>
      <c r="T25" s="165" t="s">
        <v>498</v>
      </c>
      <c r="U25" s="162">
        <v>6.5</v>
      </c>
      <c r="V25" s="163" t="s">
        <v>2152</v>
      </c>
    </row>
    <row r="26" spans="1:23" x14ac:dyDescent="0.25">
      <c r="A26" s="164" t="s">
        <v>731</v>
      </c>
      <c r="B26" s="157">
        <v>3</v>
      </c>
      <c r="C26" s="157">
        <v>5</v>
      </c>
      <c r="D26" s="157">
        <v>2</v>
      </c>
      <c r="E26" s="157">
        <v>1</v>
      </c>
      <c r="F26" s="157">
        <v>1</v>
      </c>
      <c r="G26" s="157">
        <v>2</v>
      </c>
      <c r="H26" s="157"/>
      <c r="I26" s="157"/>
      <c r="J26" s="157">
        <v>2</v>
      </c>
      <c r="K26" s="157">
        <v>5.5</v>
      </c>
      <c r="L26" s="157"/>
      <c r="M26" s="157">
        <v>33</v>
      </c>
      <c r="N26" s="157">
        <v>14</v>
      </c>
      <c r="O26" s="155" t="s">
        <v>1486</v>
      </c>
      <c r="Q26" s="164" t="s">
        <v>731</v>
      </c>
      <c r="R26" s="159" t="s">
        <v>2153</v>
      </c>
      <c r="S26" s="160">
        <v>34539.830508474581</v>
      </c>
      <c r="T26" s="165" t="s">
        <v>498</v>
      </c>
      <c r="U26" s="162">
        <v>6.3</v>
      </c>
      <c r="V26" s="163" t="s">
        <v>2154</v>
      </c>
    </row>
    <row r="27" spans="1:23" x14ac:dyDescent="0.25">
      <c r="A27" s="164" t="s">
        <v>733</v>
      </c>
      <c r="B27" s="157">
        <v>3</v>
      </c>
      <c r="C27" s="157">
        <v>5</v>
      </c>
      <c r="D27" s="157">
        <v>2</v>
      </c>
      <c r="E27" s="157">
        <v>1</v>
      </c>
      <c r="F27" s="157">
        <v>1</v>
      </c>
      <c r="G27" s="157">
        <v>2</v>
      </c>
      <c r="H27" s="157"/>
      <c r="I27" s="157"/>
      <c r="J27" s="157">
        <v>2</v>
      </c>
      <c r="K27" s="157">
        <v>7.5</v>
      </c>
      <c r="L27" s="157"/>
      <c r="M27" s="157">
        <v>41</v>
      </c>
      <c r="N27" s="157">
        <v>14</v>
      </c>
      <c r="O27" s="155" t="s">
        <v>1486</v>
      </c>
      <c r="Q27" s="164" t="s">
        <v>733</v>
      </c>
      <c r="R27" s="159" t="s">
        <v>2155</v>
      </c>
      <c r="S27" s="160">
        <v>35916.101694915254</v>
      </c>
      <c r="T27" s="165" t="s">
        <v>498</v>
      </c>
      <c r="U27" s="162">
        <v>6.3</v>
      </c>
      <c r="V27" s="163" t="s">
        <v>2156</v>
      </c>
    </row>
    <row r="28" spans="1:23" x14ac:dyDescent="0.25">
      <c r="A28" s="164" t="s">
        <v>735</v>
      </c>
      <c r="B28" s="157">
        <v>3</v>
      </c>
      <c r="C28" s="157">
        <v>5</v>
      </c>
      <c r="D28" s="157">
        <v>2</v>
      </c>
      <c r="E28" s="157">
        <v>1</v>
      </c>
      <c r="F28" s="157">
        <v>1</v>
      </c>
      <c r="G28" s="157">
        <v>2</v>
      </c>
      <c r="H28" s="157"/>
      <c r="I28" s="157"/>
      <c r="J28" s="157">
        <v>2</v>
      </c>
      <c r="K28" s="157">
        <v>11</v>
      </c>
      <c r="L28" s="157"/>
      <c r="M28" s="157">
        <v>53</v>
      </c>
      <c r="N28" s="157">
        <v>28</v>
      </c>
      <c r="O28" s="155" t="s">
        <v>1486</v>
      </c>
      <c r="Q28" s="164" t="s">
        <v>735</v>
      </c>
      <c r="R28" s="159" t="s">
        <v>2157</v>
      </c>
      <c r="S28" s="160">
        <v>37187.288135593226</v>
      </c>
      <c r="T28" s="165" t="s">
        <v>498</v>
      </c>
      <c r="U28" s="162">
        <v>6.5</v>
      </c>
      <c r="V28" s="163" t="s">
        <v>2158</v>
      </c>
    </row>
    <row r="29" spans="1:23" x14ac:dyDescent="0.25">
      <c r="A29" s="164" t="s">
        <v>737</v>
      </c>
      <c r="B29" s="157">
        <v>3</v>
      </c>
      <c r="C29" s="157">
        <v>5</v>
      </c>
      <c r="D29" s="157">
        <v>2</v>
      </c>
      <c r="E29" s="157">
        <v>1</v>
      </c>
      <c r="F29" s="157">
        <v>1</v>
      </c>
      <c r="G29" s="157">
        <v>2</v>
      </c>
      <c r="H29" s="157"/>
      <c r="I29" s="157"/>
      <c r="J29" s="157">
        <v>2</v>
      </c>
      <c r="K29" s="157">
        <v>15</v>
      </c>
      <c r="L29" s="157"/>
      <c r="M29" s="157">
        <v>68</v>
      </c>
      <c r="N29" s="157">
        <v>28</v>
      </c>
      <c r="O29" s="155" t="s">
        <v>1486</v>
      </c>
      <c r="Q29" s="164" t="s">
        <v>737</v>
      </c>
      <c r="R29" s="159" t="s">
        <v>2159</v>
      </c>
      <c r="S29" s="160">
        <v>39522.881355932208</v>
      </c>
      <c r="T29" s="165" t="s">
        <v>498</v>
      </c>
      <c r="U29" s="162">
        <v>6.5</v>
      </c>
      <c r="V29" s="163" t="s">
        <v>2160</v>
      </c>
    </row>
    <row r="30" spans="1:23" x14ac:dyDescent="0.25">
      <c r="A30" s="164" t="s">
        <v>739</v>
      </c>
      <c r="B30" s="157">
        <v>3</v>
      </c>
      <c r="C30" s="157">
        <v>5</v>
      </c>
      <c r="D30" s="157">
        <v>6</v>
      </c>
      <c r="E30" s="157">
        <v>1</v>
      </c>
      <c r="F30" s="157">
        <v>1</v>
      </c>
      <c r="G30" s="157">
        <v>3</v>
      </c>
      <c r="H30" s="157"/>
      <c r="I30" s="157"/>
      <c r="J30" s="157">
        <v>2</v>
      </c>
      <c r="K30" s="157">
        <v>5.5</v>
      </c>
      <c r="L30" s="157"/>
      <c r="M30" s="157">
        <v>35</v>
      </c>
      <c r="N30" s="157">
        <v>14</v>
      </c>
      <c r="O30" s="155" t="s">
        <v>1489</v>
      </c>
      <c r="Q30" s="164" t="s">
        <v>739</v>
      </c>
      <c r="R30" s="159" t="s">
        <v>2161</v>
      </c>
      <c r="S30" s="160">
        <v>40132.203389830509</v>
      </c>
      <c r="T30" s="165" t="s">
        <v>498</v>
      </c>
      <c r="U30" s="162">
        <v>6.3</v>
      </c>
      <c r="V30" s="163" t="s">
        <v>2162</v>
      </c>
    </row>
    <row r="31" spans="1:23" x14ac:dyDescent="0.25">
      <c r="A31" s="164" t="s">
        <v>742</v>
      </c>
      <c r="B31" s="157">
        <v>3</v>
      </c>
      <c r="C31" s="157">
        <v>5</v>
      </c>
      <c r="D31" s="157">
        <v>6</v>
      </c>
      <c r="E31" s="157">
        <v>1</v>
      </c>
      <c r="F31" s="157">
        <v>1</v>
      </c>
      <c r="G31" s="157">
        <v>3</v>
      </c>
      <c r="H31" s="157"/>
      <c r="I31" s="157"/>
      <c r="J31" s="157">
        <v>2</v>
      </c>
      <c r="K31" s="157">
        <v>7.5</v>
      </c>
      <c r="L31" s="157"/>
      <c r="M31" s="157">
        <v>43</v>
      </c>
      <c r="N31" s="157">
        <v>14</v>
      </c>
      <c r="O31" s="155" t="s">
        <v>1489</v>
      </c>
      <c r="Q31" s="164" t="s">
        <v>742</v>
      </c>
      <c r="R31" s="159" t="s">
        <v>2163</v>
      </c>
      <c r="S31" s="160">
        <v>41602.542372881355</v>
      </c>
      <c r="T31" s="165" t="s">
        <v>498</v>
      </c>
      <c r="U31" s="162">
        <v>6.3</v>
      </c>
      <c r="V31" s="163" t="s">
        <v>2164</v>
      </c>
    </row>
    <row r="32" spans="1:23" x14ac:dyDescent="0.25">
      <c r="A32" s="164" t="s">
        <v>745</v>
      </c>
      <c r="B32" s="157">
        <v>3</v>
      </c>
      <c r="C32" s="157">
        <v>5</v>
      </c>
      <c r="D32" s="157">
        <v>6</v>
      </c>
      <c r="E32" s="157">
        <v>1</v>
      </c>
      <c r="F32" s="157">
        <v>1</v>
      </c>
      <c r="G32" s="157">
        <v>3</v>
      </c>
      <c r="H32" s="157"/>
      <c r="I32" s="157"/>
      <c r="J32" s="157">
        <v>2</v>
      </c>
      <c r="K32" s="157">
        <v>11</v>
      </c>
      <c r="L32" s="157"/>
      <c r="M32" s="157">
        <v>55</v>
      </c>
      <c r="N32" s="157">
        <v>28</v>
      </c>
      <c r="O32" s="155" t="s">
        <v>1489</v>
      </c>
      <c r="Q32" s="164" t="s">
        <v>745</v>
      </c>
      <c r="R32" s="159" t="s">
        <v>2165</v>
      </c>
      <c r="S32" s="160">
        <v>42965.254237288136</v>
      </c>
      <c r="T32" s="165" t="s">
        <v>498</v>
      </c>
      <c r="U32" s="162">
        <v>6.5</v>
      </c>
      <c r="V32" s="163" t="s">
        <v>2166</v>
      </c>
    </row>
    <row r="33" spans="1:22" x14ac:dyDescent="0.25">
      <c r="A33" s="164" t="s">
        <v>748</v>
      </c>
      <c r="B33" s="157">
        <v>3</v>
      </c>
      <c r="C33" s="157">
        <v>5</v>
      </c>
      <c r="D33" s="157">
        <v>6</v>
      </c>
      <c r="E33" s="157">
        <v>1</v>
      </c>
      <c r="F33" s="157">
        <v>1</v>
      </c>
      <c r="G33" s="157">
        <v>3</v>
      </c>
      <c r="H33" s="157"/>
      <c r="I33" s="157"/>
      <c r="J33" s="157">
        <v>2</v>
      </c>
      <c r="K33" s="157">
        <v>15</v>
      </c>
      <c r="L33" s="157"/>
      <c r="M33" s="157">
        <v>70</v>
      </c>
      <c r="N33" s="157">
        <v>28</v>
      </c>
      <c r="O33" s="155" t="s">
        <v>1489</v>
      </c>
      <c r="Q33" s="164" t="s">
        <v>748</v>
      </c>
      <c r="R33" s="159" t="s">
        <v>2167</v>
      </c>
      <c r="S33" s="160">
        <v>45414.406779661018</v>
      </c>
      <c r="T33" s="165" t="s">
        <v>498</v>
      </c>
      <c r="U33" s="162">
        <v>6.5</v>
      </c>
      <c r="V33" s="163" t="s">
        <v>2168</v>
      </c>
    </row>
    <row r="34" spans="1:22" x14ac:dyDescent="0.25">
      <c r="A34" s="164" t="s">
        <v>751</v>
      </c>
      <c r="B34" s="157">
        <v>3</v>
      </c>
      <c r="C34" s="157">
        <v>5</v>
      </c>
      <c r="D34" s="157">
        <v>6</v>
      </c>
      <c r="E34" s="157">
        <v>1</v>
      </c>
      <c r="F34" s="157">
        <v>1</v>
      </c>
      <c r="G34" s="157">
        <v>3</v>
      </c>
      <c r="H34" s="157"/>
      <c r="I34" s="157"/>
      <c r="J34" s="157">
        <v>2</v>
      </c>
      <c r="K34" s="157">
        <v>5.5</v>
      </c>
      <c r="L34" s="157"/>
      <c r="M34" s="157">
        <v>35</v>
      </c>
      <c r="N34" s="157">
        <v>14</v>
      </c>
      <c r="O34" s="155" t="s">
        <v>1492</v>
      </c>
      <c r="Q34" s="164" t="s">
        <v>751</v>
      </c>
      <c r="R34" s="159" t="s">
        <v>2169</v>
      </c>
      <c r="S34" s="160">
        <v>43028.813559322036</v>
      </c>
      <c r="T34" s="165" t="s">
        <v>498</v>
      </c>
      <c r="U34" s="162">
        <v>6.3</v>
      </c>
      <c r="V34" s="163" t="s">
        <v>2170</v>
      </c>
    </row>
    <row r="35" spans="1:22" x14ac:dyDescent="0.25">
      <c r="A35" s="164" t="s">
        <v>753</v>
      </c>
      <c r="B35" s="157">
        <v>3</v>
      </c>
      <c r="C35" s="157">
        <v>5</v>
      </c>
      <c r="D35" s="157">
        <v>6</v>
      </c>
      <c r="E35" s="157">
        <v>1</v>
      </c>
      <c r="F35" s="157">
        <v>1</v>
      </c>
      <c r="G35" s="157">
        <v>3</v>
      </c>
      <c r="H35" s="157"/>
      <c r="I35" s="157"/>
      <c r="J35" s="157">
        <v>2</v>
      </c>
      <c r="K35" s="157">
        <v>7.5</v>
      </c>
      <c r="L35" s="157"/>
      <c r="M35" s="157">
        <v>43</v>
      </c>
      <c r="N35" s="157">
        <v>14</v>
      </c>
      <c r="O35" s="155" t="s">
        <v>1492</v>
      </c>
      <c r="Q35" s="164" t="s">
        <v>753</v>
      </c>
      <c r="R35" s="159" t="s">
        <v>2171</v>
      </c>
      <c r="S35" s="160">
        <v>44547.457627118645</v>
      </c>
      <c r="T35" s="165" t="s">
        <v>498</v>
      </c>
      <c r="U35" s="162">
        <v>6.3</v>
      </c>
      <c r="V35" s="163" t="s">
        <v>2172</v>
      </c>
    </row>
    <row r="36" spans="1:22" x14ac:dyDescent="0.25">
      <c r="A36" s="164" t="s">
        <v>755</v>
      </c>
      <c r="B36" s="157">
        <v>3</v>
      </c>
      <c r="C36" s="157">
        <v>5</v>
      </c>
      <c r="D36" s="157">
        <v>6</v>
      </c>
      <c r="E36" s="157">
        <v>1</v>
      </c>
      <c r="F36" s="157">
        <v>1</v>
      </c>
      <c r="G36" s="157">
        <v>3</v>
      </c>
      <c r="H36" s="157"/>
      <c r="I36" s="157"/>
      <c r="J36" s="157">
        <v>2</v>
      </c>
      <c r="K36" s="157">
        <v>11</v>
      </c>
      <c r="L36" s="157"/>
      <c r="M36" s="157">
        <v>55</v>
      </c>
      <c r="N36" s="157">
        <v>28</v>
      </c>
      <c r="O36" s="155" t="s">
        <v>1492</v>
      </c>
      <c r="Q36" s="164" t="s">
        <v>755</v>
      </c>
      <c r="R36" s="159" t="s">
        <v>2173</v>
      </c>
      <c r="S36" s="160">
        <v>45959.322033898308</v>
      </c>
      <c r="T36" s="165" t="s">
        <v>498</v>
      </c>
      <c r="U36" s="162">
        <v>6.5</v>
      </c>
      <c r="V36" s="163" t="s">
        <v>2174</v>
      </c>
    </row>
    <row r="37" spans="1:22" x14ac:dyDescent="0.25">
      <c r="A37" s="164" t="s">
        <v>757</v>
      </c>
      <c r="B37" s="157">
        <v>3</v>
      </c>
      <c r="C37" s="157">
        <v>5</v>
      </c>
      <c r="D37" s="157">
        <v>6</v>
      </c>
      <c r="E37" s="157">
        <v>1</v>
      </c>
      <c r="F37" s="157">
        <v>1</v>
      </c>
      <c r="G37" s="157">
        <v>3</v>
      </c>
      <c r="H37" s="157"/>
      <c r="I37" s="157"/>
      <c r="J37" s="157">
        <v>2</v>
      </c>
      <c r="K37" s="157">
        <v>15</v>
      </c>
      <c r="L37" s="157"/>
      <c r="M37" s="157">
        <v>70</v>
      </c>
      <c r="N37" s="157">
        <v>28</v>
      </c>
      <c r="O37" s="155" t="s">
        <v>1492</v>
      </c>
      <c r="Q37" s="164" t="s">
        <v>757</v>
      </c>
      <c r="R37" s="159" t="s">
        <v>2175</v>
      </c>
      <c r="S37" s="160">
        <v>48456.779661016953</v>
      </c>
      <c r="T37" s="165" t="s">
        <v>498</v>
      </c>
      <c r="U37" s="162">
        <v>6.5</v>
      </c>
      <c r="V37" s="163" t="s">
        <v>2176</v>
      </c>
    </row>
    <row r="38" spans="1:22" x14ac:dyDescent="0.25">
      <c r="A38" s="164" t="s">
        <v>759</v>
      </c>
      <c r="B38" s="157">
        <v>3</v>
      </c>
      <c r="C38" s="157">
        <v>5</v>
      </c>
      <c r="D38" s="157">
        <v>6</v>
      </c>
      <c r="E38" s="157">
        <v>1</v>
      </c>
      <c r="F38" s="157">
        <v>1</v>
      </c>
      <c r="G38" s="157">
        <v>3</v>
      </c>
      <c r="H38" s="157"/>
      <c r="I38" s="157"/>
      <c r="J38" s="157">
        <v>2</v>
      </c>
      <c r="K38" s="157">
        <v>5.5</v>
      </c>
      <c r="L38" s="157"/>
      <c r="M38" s="157">
        <v>35</v>
      </c>
      <c r="N38" s="157">
        <v>14</v>
      </c>
      <c r="O38" s="155" t="s">
        <v>1494</v>
      </c>
      <c r="Q38" s="164" t="s">
        <v>759</v>
      </c>
      <c r="R38" s="159" t="s">
        <v>2177</v>
      </c>
      <c r="S38" s="160">
        <v>47077.118644067799</v>
      </c>
      <c r="T38" s="166" t="s">
        <v>761</v>
      </c>
      <c r="U38" s="167">
        <v>16.399999999999999</v>
      </c>
      <c r="V38" s="163" t="s">
        <v>2178</v>
      </c>
    </row>
    <row r="39" spans="1:22" x14ac:dyDescent="0.25">
      <c r="A39" s="164" t="s">
        <v>763</v>
      </c>
      <c r="B39" s="157">
        <v>3</v>
      </c>
      <c r="C39" s="157">
        <v>5</v>
      </c>
      <c r="D39" s="157">
        <v>6</v>
      </c>
      <c r="E39" s="157">
        <v>1</v>
      </c>
      <c r="F39" s="157">
        <v>1</v>
      </c>
      <c r="G39" s="157">
        <v>3</v>
      </c>
      <c r="H39" s="157"/>
      <c r="I39" s="157"/>
      <c r="J39" s="157">
        <v>2</v>
      </c>
      <c r="K39" s="157">
        <v>7.5</v>
      </c>
      <c r="L39" s="157"/>
      <c r="M39" s="157">
        <v>43</v>
      </c>
      <c r="N39" s="157">
        <v>14</v>
      </c>
      <c r="O39" s="155" t="s">
        <v>1494</v>
      </c>
      <c r="Q39" s="164" t="s">
        <v>763</v>
      </c>
      <c r="R39" s="159" t="s">
        <v>2179</v>
      </c>
      <c r="S39" s="160">
        <v>48665.254237288136</v>
      </c>
      <c r="T39" s="166" t="s">
        <v>761</v>
      </c>
      <c r="U39" s="167">
        <v>16.399999999999999</v>
      </c>
      <c r="V39" s="163" t="s">
        <v>2180</v>
      </c>
    </row>
    <row r="40" spans="1:22" x14ac:dyDescent="0.25">
      <c r="A40" s="164" t="s">
        <v>766</v>
      </c>
      <c r="B40" s="157">
        <v>3</v>
      </c>
      <c r="C40" s="157">
        <v>5</v>
      </c>
      <c r="D40" s="157">
        <v>6</v>
      </c>
      <c r="E40" s="157">
        <v>1</v>
      </c>
      <c r="F40" s="157">
        <v>1</v>
      </c>
      <c r="G40" s="157">
        <v>3</v>
      </c>
      <c r="H40" s="157"/>
      <c r="I40" s="157"/>
      <c r="J40" s="157">
        <v>2</v>
      </c>
      <c r="K40" s="157">
        <v>11</v>
      </c>
      <c r="L40" s="157"/>
      <c r="M40" s="157">
        <v>55</v>
      </c>
      <c r="N40" s="157">
        <v>28</v>
      </c>
      <c r="O40" s="155" t="s">
        <v>1494</v>
      </c>
      <c r="Q40" s="164" t="s">
        <v>766</v>
      </c>
      <c r="R40" s="159" t="s">
        <v>2181</v>
      </c>
      <c r="S40" s="160">
        <v>50148.305084745763</v>
      </c>
      <c r="T40" s="166" t="s">
        <v>761</v>
      </c>
      <c r="U40" s="167">
        <v>16.399999999999999</v>
      </c>
      <c r="V40" s="163" t="s">
        <v>2182</v>
      </c>
    </row>
    <row r="41" spans="1:22" x14ac:dyDescent="0.25">
      <c r="A41" s="164" t="s">
        <v>769</v>
      </c>
      <c r="B41" s="157">
        <v>3</v>
      </c>
      <c r="C41" s="157">
        <v>5</v>
      </c>
      <c r="D41" s="157">
        <v>6</v>
      </c>
      <c r="E41" s="157">
        <v>1</v>
      </c>
      <c r="F41" s="157">
        <v>1</v>
      </c>
      <c r="G41" s="157">
        <v>3</v>
      </c>
      <c r="H41" s="157"/>
      <c r="I41" s="157"/>
      <c r="J41" s="157">
        <v>2</v>
      </c>
      <c r="K41" s="157">
        <v>15</v>
      </c>
      <c r="L41" s="157"/>
      <c r="M41" s="157">
        <v>70</v>
      </c>
      <c r="N41" s="157">
        <v>28</v>
      </c>
      <c r="O41" s="155" t="s">
        <v>1494</v>
      </c>
      <c r="Q41" s="164" t="s">
        <v>769</v>
      </c>
      <c r="R41" s="159" t="s">
        <v>2183</v>
      </c>
      <c r="S41" s="160">
        <v>53236.440677966108</v>
      </c>
      <c r="T41" s="166" t="s">
        <v>761</v>
      </c>
      <c r="U41" s="167">
        <v>16.399999999999999</v>
      </c>
      <c r="V41" s="163" t="s">
        <v>2184</v>
      </c>
    </row>
    <row r="42" spans="1:22" x14ac:dyDescent="0.25">
      <c r="A42" s="164" t="s">
        <v>772</v>
      </c>
      <c r="B42" s="157">
        <v>3</v>
      </c>
      <c r="C42" s="157">
        <v>5</v>
      </c>
      <c r="D42" s="157">
        <v>2</v>
      </c>
      <c r="E42" s="157"/>
      <c r="F42" s="157"/>
      <c r="G42" s="157"/>
      <c r="H42" s="157">
        <v>2</v>
      </c>
      <c r="I42" s="157">
        <v>2</v>
      </c>
      <c r="J42" s="157"/>
      <c r="K42" s="157">
        <v>5.5</v>
      </c>
      <c r="L42" s="155">
        <v>10</v>
      </c>
      <c r="M42" s="157">
        <v>46</v>
      </c>
      <c r="N42" s="157">
        <v>14</v>
      </c>
      <c r="O42" s="155" t="s">
        <v>1482</v>
      </c>
      <c r="Q42" s="164" t="s">
        <v>772</v>
      </c>
      <c r="R42" s="168" t="s">
        <v>2185</v>
      </c>
      <c r="S42" s="160">
        <v>33644.067796610172</v>
      </c>
      <c r="T42" s="165" t="s">
        <v>498</v>
      </c>
      <c r="U42" s="162">
        <v>6.6</v>
      </c>
      <c r="V42" s="163" t="s">
        <v>2186</v>
      </c>
    </row>
    <row r="43" spans="1:22" x14ac:dyDescent="0.25">
      <c r="A43" s="164" t="s">
        <v>775</v>
      </c>
      <c r="B43" s="157">
        <v>3</v>
      </c>
      <c r="C43" s="157">
        <v>5</v>
      </c>
      <c r="D43" s="157">
        <v>2</v>
      </c>
      <c r="E43" s="157"/>
      <c r="F43" s="157"/>
      <c r="G43" s="157"/>
      <c r="H43" s="157">
        <v>2</v>
      </c>
      <c r="I43" s="157">
        <v>2</v>
      </c>
      <c r="J43" s="157"/>
      <c r="K43" s="157">
        <v>7.5</v>
      </c>
      <c r="L43" s="155">
        <v>13</v>
      </c>
      <c r="M43" s="157">
        <v>54</v>
      </c>
      <c r="N43" s="157">
        <v>14</v>
      </c>
      <c r="O43" s="155" t="s">
        <v>1482</v>
      </c>
      <c r="Q43" s="164" t="s">
        <v>775</v>
      </c>
      <c r="R43" s="168" t="s">
        <v>2187</v>
      </c>
      <c r="S43" s="160">
        <v>35017.796610169491</v>
      </c>
      <c r="T43" s="165" t="s">
        <v>498</v>
      </c>
      <c r="U43" s="162">
        <v>6.6</v>
      </c>
      <c r="V43" s="163" t="s">
        <v>2188</v>
      </c>
    </row>
    <row r="44" spans="1:22" x14ac:dyDescent="0.25">
      <c r="A44" s="164" t="s">
        <v>778</v>
      </c>
      <c r="B44" s="157">
        <v>3</v>
      </c>
      <c r="C44" s="157">
        <v>5</v>
      </c>
      <c r="D44" s="157">
        <v>2</v>
      </c>
      <c r="E44" s="157"/>
      <c r="F44" s="157"/>
      <c r="G44" s="157"/>
      <c r="H44" s="157">
        <v>2</v>
      </c>
      <c r="I44" s="157">
        <v>2</v>
      </c>
      <c r="J44" s="157"/>
      <c r="K44" s="157">
        <v>11</v>
      </c>
      <c r="L44" s="155">
        <v>16</v>
      </c>
      <c r="M44" s="157">
        <v>64</v>
      </c>
      <c r="N44" s="157">
        <v>28</v>
      </c>
      <c r="O44" s="155" t="s">
        <v>1482</v>
      </c>
      <c r="Q44" s="164" t="s">
        <v>778</v>
      </c>
      <c r="R44" s="168" t="s">
        <v>2189</v>
      </c>
      <c r="S44" s="160">
        <v>37294.91525423729</v>
      </c>
      <c r="T44" s="165" t="s">
        <v>498</v>
      </c>
      <c r="U44" s="162">
        <v>6.8</v>
      </c>
      <c r="V44" s="163" t="s">
        <v>2190</v>
      </c>
    </row>
    <row r="45" spans="1:22" x14ac:dyDescent="0.25">
      <c r="A45" s="164" t="s">
        <v>781</v>
      </c>
      <c r="B45" s="157">
        <v>3</v>
      </c>
      <c r="C45" s="157">
        <v>5</v>
      </c>
      <c r="D45" s="157">
        <v>2</v>
      </c>
      <c r="E45" s="157"/>
      <c r="F45" s="157"/>
      <c r="G45" s="157"/>
      <c r="H45" s="157">
        <v>2</v>
      </c>
      <c r="I45" s="157">
        <v>2</v>
      </c>
      <c r="J45" s="157"/>
      <c r="K45" s="157">
        <v>15</v>
      </c>
      <c r="L45" s="155">
        <v>21</v>
      </c>
      <c r="M45" s="169">
        <v>78</v>
      </c>
      <c r="N45" s="157">
        <v>28</v>
      </c>
      <c r="O45" s="155" t="s">
        <v>1482</v>
      </c>
      <c r="Q45" s="164" t="s">
        <v>781</v>
      </c>
      <c r="R45" s="168" t="s">
        <v>2191</v>
      </c>
      <c r="S45" s="160">
        <v>40297.457627118645</v>
      </c>
      <c r="T45" s="165" t="s">
        <v>498</v>
      </c>
      <c r="U45" s="162">
        <v>6.8</v>
      </c>
      <c r="V45" s="163" t="s">
        <v>2192</v>
      </c>
    </row>
    <row r="46" spans="1:22" x14ac:dyDescent="0.25">
      <c r="A46" s="164" t="s">
        <v>784</v>
      </c>
      <c r="B46" s="157">
        <v>3</v>
      </c>
      <c r="C46" s="157">
        <v>5</v>
      </c>
      <c r="D46" s="157">
        <v>2</v>
      </c>
      <c r="E46" s="157"/>
      <c r="F46" s="157"/>
      <c r="G46" s="157"/>
      <c r="H46" s="157">
        <v>2</v>
      </c>
      <c r="I46" s="157">
        <v>2</v>
      </c>
      <c r="J46" s="157"/>
      <c r="K46" s="157">
        <v>5.5</v>
      </c>
      <c r="L46" s="155">
        <v>10</v>
      </c>
      <c r="M46" s="157">
        <v>46</v>
      </c>
      <c r="N46" s="157">
        <v>14</v>
      </c>
      <c r="O46" s="155" t="s">
        <v>1486</v>
      </c>
      <c r="Q46" s="164" t="s">
        <v>784</v>
      </c>
      <c r="R46" s="168" t="s">
        <v>2193</v>
      </c>
      <c r="S46" s="160">
        <v>36064.406779661018</v>
      </c>
      <c r="T46" s="165" t="s">
        <v>498</v>
      </c>
      <c r="U46" s="162">
        <v>6.6</v>
      </c>
      <c r="V46" s="163" t="s">
        <v>2194</v>
      </c>
    </row>
    <row r="47" spans="1:22" x14ac:dyDescent="0.25">
      <c r="A47" s="164" t="s">
        <v>787</v>
      </c>
      <c r="B47" s="157">
        <v>3</v>
      </c>
      <c r="C47" s="157">
        <v>5</v>
      </c>
      <c r="D47" s="157">
        <v>2</v>
      </c>
      <c r="E47" s="157"/>
      <c r="F47" s="157"/>
      <c r="G47" s="157"/>
      <c r="H47" s="157">
        <v>2</v>
      </c>
      <c r="I47" s="157">
        <v>2</v>
      </c>
      <c r="J47" s="157"/>
      <c r="K47" s="157">
        <v>7.5</v>
      </c>
      <c r="L47" s="155">
        <v>13</v>
      </c>
      <c r="M47" s="157">
        <v>54</v>
      </c>
      <c r="N47" s="157">
        <v>14</v>
      </c>
      <c r="O47" s="155" t="s">
        <v>1486</v>
      </c>
      <c r="Q47" s="164" t="s">
        <v>787</v>
      </c>
      <c r="R47" s="168" t="s">
        <v>2195</v>
      </c>
      <c r="S47" s="160">
        <v>37479.661016949154</v>
      </c>
      <c r="T47" s="165" t="s">
        <v>498</v>
      </c>
      <c r="U47" s="162">
        <v>6.6</v>
      </c>
      <c r="V47" s="163" t="s">
        <v>2196</v>
      </c>
    </row>
    <row r="48" spans="1:22" x14ac:dyDescent="0.25">
      <c r="A48" s="164" t="s">
        <v>789</v>
      </c>
      <c r="B48" s="157">
        <v>3</v>
      </c>
      <c r="C48" s="157">
        <v>5</v>
      </c>
      <c r="D48" s="157">
        <v>2</v>
      </c>
      <c r="E48" s="157"/>
      <c r="F48" s="157"/>
      <c r="G48" s="157"/>
      <c r="H48" s="157">
        <v>2</v>
      </c>
      <c r="I48" s="157">
        <v>2</v>
      </c>
      <c r="J48" s="157"/>
      <c r="K48" s="157">
        <v>11</v>
      </c>
      <c r="L48" s="155">
        <v>16</v>
      </c>
      <c r="M48" s="157">
        <v>64</v>
      </c>
      <c r="N48" s="157">
        <v>28</v>
      </c>
      <c r="O48" s="155" t="s">
        <v>1486</v>
      </c>
      <c r="Q48" s="164" t="s">
        <v>789</v>
      </c>
      <c r="R48" s="168" t="s">
        <v>2197</v>
      </c>
      <c r="S48" s="160">
        <v>39799.152542372882</v>
      </c>
      <c r="T48" s="165" t="s">
        <v>498</v>
      </c>
      <c r="U48" s="162">
        <v>6.8</v>
      </c>
      <c r="V48" s="163" t="s">
        <v>2198</v>
      </c>
    </row>
    <row r="49" spans="1:22" x14ac:dyDescent="0.25">
      <c r="A49" s="164" t="s">
        <v>791</v>
      </c>
      <c r="B49" s="157">
        <v>3</v>
      </c>
      <c r="C49" s="157">
        <v>5</v>
      </c>
      <c r="D49" s="157">
        <v>2</v>
      </c>
      <c r="E49" s="157"/>
      <c r="F49" s="157"/>
      <c r="G49" s="157"/>
      <c r="H49" s="157">
        <v>2</v>
      </c>
      <c r="I49" s="157">
        <v>2</v>
      </c>
      <c r="J49" s="157"/>
      <c r="K49" s="157">
        <v>15</v>
      </c>
      <c r="L49" s="155">
        <v>21</v>
      </c>
      <c r="M49" s="169">
        <v>78</v>
      </c>
      <c r="N49" s="157">
        <v>28</v>
      </c>
      <c r="O49" s="155" t="s">
        <v>1486</v>
      </c>
      <c r="Q49" s="164" t="s">
        <v>791</v>
      </c>
      <c r="R49" s="168" t="s">
        <v>2199</v>
      </c>
      <c r="S49" s="160">
        <v>42843.220338983054</v>
      </c>
      <c r="T49" s="165" t="s">
        <v>498</v>
      </c>
      <c r="U49" s="162">
        <v>6.8</v>
      </c>
      <c r="V49" s="163" t="s">
        <v>2200</v>
      </c>
    </row>
    <row r="50" spans="1:22" x14ac:dyDescent="0.25">
      <c r="A50" s="164" t="s">
        <v>793</v>
      </c>
      <c r="B50" s="157">
        <v>3</v>
      </c>
      <c r="C50" s="157">
        <v>5</v>
      </c>
      <c r="D50" s="157">
        <v>6</v>
      </c>
      <c r="E50" s="157"/>
      <c r="F50" s="157"/>
      <c r="G50" s="157"/>
      <c r="H50" s="157">
        <v>3</v>
      </c>
      <c r="I50" s="157">
        <v>3</v>
      </c>
      <c r="J50" s="157"/>
      <c r="K50" s="157">
        <v>5.5</v>
      </c>
      <c r="L50" s="155">
        <v>10</v>
      </c>
      <c r="M50" s="157">
        <v>57</v>
      </c>
      <c r="N50" s="157">
        <v>14</v>
      </c>
      <c r="O50" s="155" t="s">
        <v>1489</v>
      </c>
      <c r="Q50" s="164" t="s">
        <v>793</v>
      </c>
      <c r="R50" s="168" t="s">
        <v>2201</v>
      </c>
      <c r="S50" s="160">
        <v>48252.542372881362</v>
      </c>
      <c r="T50" s="165" t="s">
        <v>795</v>
      </c>
      <c r="U50" s="162">
        <v>8.4</v>
      </c>
      <c r="V50" s="163" t="s">
        <v>2202</v>
      </c>
    </row>
    <row r="51" spans="1:22" x14ac:dyDescent="0.25">
      <c r="A51" s="164" t="s">
        <v>797</v>
      </c>
      <c r="B51" s="157">
        <v>3</v>
      </c>
      <c r="C51" s="157">
        <v>5</v>
      </c>
      <c r="D51" s="157">
        <v>6</v>
      </c>
      <c r="E51" s="157"/>
      <c r="F51" s="157"/>
      <c r="G51" s="157"/>
      <c r="H51" s="157">
        <v>3</v>
      </c>
      <c r="I51" s="157">
        <v>3</v>
      </c>
      <c r="J51" s="157"/>
      <c r="K51" s="157">
        <v>7.5</v>
      </c>
      <c r="L51" s="155">
        <v>13</v>
      </c>
      <c r="M51" s="157">
        <v>69</v>
      </c>
      <c r="N51" s="157">
        <v>14</v>
      </c>
      <c r="O51" s="155" t="s">
        <v>1489</v>
      </c>
      <c r="Q51" s="164" t="s">
        <v>797</v>
      </c>
      <c r="R51" s="168" t="s">
        <v>2203</v>
      </c>
      <c r="S51" s="160">
        <v>49877.966101694918</v>
      </c>
      <c r="T51" s="165" t="s">
        <v>795</v>
      </c>
      <c r="U51" s="162">
        <v>8.4</v>
      </c>
      <c r="V51" s="163" t="s">
        <v>2204</v>
      </c>
    </row>
    <row r="52" spans="1:22" x14ac:dyDescent="0.25">
      <c r="A52" s="164" t="s">
        <v>800</v>
      </c>
      <c r="B52" s="157">
        <v>3</v>
      </c>
      <c r="C52" s="157">
        <v>5</v>
      </c>
      <c r="D52" s="157">
        <v>6</v>
      </c>
      <c r="E52" s="157"/>
      <c r="F52" s="157"/>
      <c r="G52" s="157"/>
      <c r="H52" s="157">
        <v>3</v>
      </c>
      <c r="I52" s="157">
        <v>3</v>
      </c>
      <c r="J52" s="157"/>
      <c r="K52" s="157">
        <v>11</v>
      </c>
      <c r="L52" s="155">
        <v>16</v>
      </c>
      <c r="M52" s="157">
        <v>84</v>
      </c>
      <c r="N52" s="157">
        <v>28</v>
      </c>
      <c r="O52" s="155" t="s">
        <v>1489</v>
      </c>
      <c r="Q52" s="164" t="s">
        <v>800</v>
      </c>
      <c r="R52" s="168" t="s">
        <v>2205</v>
      </c>
      <c r="S52" s="160">
        <v>53508.47457627119</v>
      </c>
      <c r="T52" s="165" t="s">
        <v>795</v>
      </c>
      <c r="U52" s="162">
        <v>8.6999999999999993</v>
      </c>
      <c r="V52" s="163" t="s">
        <v>2206</v>
      </c>
    </row>
    <row r="53" spans="1:22" x14ac:dyDescent="0.25">
      <c r="A53" s="164" t="s">
        <v>803</v>
      </c>
      <c r="B53" s="157">
        <v>3</v>
      </c>
      <c r="C53" s="157">
        <v>5</v>
      </c>
      <c r="D53" s="157">
        <v>6</v>
      </c>
      <c r="E53" s="157"/>
      <c r="F53" s="157"/>
      <c r="G53" s="157"/>
      <c r="H53" s="157">
        <v>3</v>
      </c>
      <c r="I53" s="157">
        <v>3</v>
      </c>
      <c r="J53" s="157"/>
      <c r="K53" s="157">
        <v>15</v>
      </c>
      <c r="L53" s="155">
        <v>21</v>
      </c>
      <c r="M53" s="169">
        <v>115</v>
      </c>
      <c r="N53" s="157">
        <v>28</v>
      </c>
      <c r="O53" s="155" t="s">
        <v>1489</v>
      </c>
      <c r="Q53" s="164" t="s">
        <v>803</v>
      </c>
      <c r="R53" s="168" t="s">
        <v>2207</v>
      </c>
      <c r="S53" s="160">
        <v>56355.932203389835</v>
      </c>
      <c r="T53" s="165" t="s">
        <v>795</v>
      </c>
      <c r="U53" s="162">
        <v>8.6999999999999993</v>
      </c>
      <c r="V53" s="163" t="s">
        <v>2208</v>
      </c>
    </row>
    <row r="54" spans="1:22" x14ac:dyDescent="0.25">
      <c r="A54" s="164" t="s">
        <v>806</v>
      </c>
      <c r="B54" s="157">
        <v>3</v>
      </c>
      <c r="C54" s="157">
        <v>5</v>
      </c>
      <c r="D54" s="157">
        <v>6</v>
      </c>
      <c r="E54" s="157"/>
      <c r="F54" s="157"/>
      <c r="G54" s="157"/>
      <c r="H54" s="157">
        <v>3</v>
      </c>
      <c r="I54" s="157">
        <v>3</v>
      </c>
      <c r="J54" s="157"/>
      <c r="K54" s="157">
        <v>5.5</v>
      </c>
      <c r="L54" s="155">
        <v>10</v>
      </c>
      <c r="M54" s="157">
        <v>57</v>
      </c>
      <c r="N54" s="157">
        <v>14</v>
      </c>
      <c r="O54" s="155" t="s">
        <v>1492</v>
      </c>
      <c r="Q54" s="164" t="s">
        <v>806</v>
      </c>
      <c r="R54" s="168" t="s">
        <v>2209</v>
      </c>
      <c r="S54" s="160">
        <v>51148.305084745763</v>
      </c>
      <c r="T54" s="165" t="s">
        <v>795</v>
      </c>
      <c r="U54" s="162">
        <v>8.4</v>
      </c>
      <c r="V54" s="163" t="s">
        <v>2210</v>
      </c>
    </row>
    <row r="55" spans="1:22" x14ac:dyDescent="0.25">
      <c r="A55" s="164" t="s">
        <v>808</v>
      </c>
      <c r="B55" s="157">
        <v>3</v>
      </c>
      <c r="C55" s="157">
        <v>5</v>
      </c>
      <c r="D55" s="157">
        <v>6</v>
      </c>
      <c r="E55" s="157"/>
      <c r="F55" s="157"/>
      <c r="G55" s="157"/>
      <c r="H55" s="157">
        <v>3</v>
      </c>
      <c r="I55" s="157">
        <v>3</v>
      </c>
      <c r="J55" s="157"/>
      <c r="K55" s="157">
        <v>7.5</v>
      </c>
      <c r="L55" s="155">
        <v>13</v>
      </c>
      <c r="M55" s="157">
        <v>69</v>
      </c>
      <c r="N55" s="157">
        <v>14</v>
      </c>
      <c r="O55" s="155" t="s">
        <v>1492</v>
      </c>
      <c r="Q55" s="164" t="s">
        <v>808</v>
      </c>
      <c r="R55" s="168" t="s">
        <v>2211</v>
      </c>
      <c r="S55" s="160">
        <v>52822.881355932208</v>
      </c>
      <c r="T55" s="165" t="s">
        <v>795</v>
      </c>
      <c r="U55" s="162">
        <v>8.4</v>
      </c>
      <c r="V55" s="163" t="s">
        <v>2212</v>
      </c>
    </row>
    <row r="56" spans="1:22" x14ac:dyDescent="0.25">
      <c r="A56" s="164" t="s">
        <v>810</v>
      </c>
      <c r="B56" s="157">
        <v>3</v>
      </c>
      <c r="C56" s="157">
        <v>5</v>
      </c>
      <c r="D56" s="157">
        <v>6</v>
      </c>
      <c r="E56" s="157"/>
      <c r="F56" s="157"/>
      <c r="G56" s="157"/>
      <c r="H56" s="157">
        <v>3</v>
      </c>
      <c r="I56" s="157">
        <v>3</v>
      </c>
      <c r="J56" s="157"/>
      <c r="K56" s="157">
        <v>11</v>
      </c>
      <c r="L56" s="155">
        <v>16</v>
      </c>
      <c r="M56" s="157">
        <v>84</v>
      </c>
      <c r="N56" s="157">
        <v>28</v>
      </c>
      <c r="O56" s="155" t="s">
        <v>1492</v>
      </c>
      <c r="Q56" s="164" t="s">
        <v>810</v>
      </c>
      <c r="R56" s="168" t="s">
        <v>2213</v>
      </c>
      <c r="S56" s="160">
        <v>56501.694915254244</v>
      </c>
      <c r="T56" s="165" t="s">
        <v>795</v>
      </c>
      <c r="U56" s="162">
        <v>8.6999999999999993</v>
      </c>
      <c r="V56" s="163" t="s">
        <v>2214</v>
      </c>
    </row>
    <row r="57" spans="1:22" x14ac:dyDescent="0.25">
      <c r="A57" s="164" t="s">
        <v>812</v>
      </c>
      <c r="B57" s="157">
        <v>3</v>
      </c>
      <c r="C57" s="157">
        <v>5</v>
      </c>
      <c r="D57" s="157">
        <v>6</v>
      </c>
      <c r="E57" s="157"/>
      <c r="F57" s="157"/>
      <c r="G57" s="157"/>
      <c r="H57" s="157">
        <v>3</v>
      </c>
      <c r="I57" s="157">
        <v>3</v>
      </c>
      <c r="J57" s="157"/>
      <c r="K57" s="157">
        <v>15</v>
      </c>
      <c r="L57" s="155">
        <v>21</v>
      </c>
      <c r="M57" s="169">
        <v>115</v>
      </c>
      <c r="N57" s="157">
        <v>28</v>
      </c>
      <c r="O57" s="155" t="s">
        <v>1492</v>
      </c>
      <c r="Q57" s="164" t="s">
        <v>812</v>
      </c>
      <c r="R57" s="168" t="s">
        <v>2215</v>
      </c>
      <c r="S57" s="160">
        <v>59398.305084745763</v>
      </c>
      <c r="T57" s="165" t="s">
        <v>795</v>
      </c>
      <c r="U57" s="162">
        <v>8.6999999999999993</v>
      </c>
      <c r="V57" s="163" t="s">
        <v>2216</v>
      </c>
    </row>
    <row r="58" spans="1:22" x14ac:dyDescent="0.25">
      <c r="A58" s="164" t="s">
        <v>814</v>
      </c>
      <c r="B58" s="157">
        <v>3</v>
      </c>
      <c r="C58" s="157">
        <v>5</v>
      </c>
      <c r="D58" s="157">
        <v>6</v>
      </c>
      <c r="E58" s="157"/>
      <c r="F58" s="157"/>
      <c r="G58" s="157"/>
      <c r="H58" s="157">
        <v>3</v>
      </c>
      <c r="I58" s="157">
        <v>3</v>
      </c>
      <c r="J58" s="157"/>
      <c r="K58" s="157">
        <v>5.5</v>
      </c>
      <c r="L58" s="155">
        <v>10</v>
      </c>
      <c r="M58" s="157">
        <v>57</v>
      </c>
      <c r="N58" s="157">
        <v>14</v>
      </c>
      <c r="O58" s="155" t="s">
        <v>1492</v>
      </c>
      <c r="Q58" s="164" t="s">
        <v>814</v>
      </c>
      <c r="R58" s="159" t="s">
        <v>2217</v>
      </c>
      <c r="S58" s="160">
        <v>57144.91525423729</v>
      </c>
      <c r="T58" s="166" t="s">
        <v>816</v>
      </c>
      <c r="U58" s="167">
        <v>22.5</v>
      </c>
      <c r="V58" s="163" t="s">
        <v>2218</v>
      </c>
    </row>
    <row r="59" spans="1:22" x14ac:dyDescent="0.25">
      <c r="A59" s="164" t="s">
        <v>818</v>
      </c>
      <c r="B59" s="157">
        <v>3</v>
      </c>
      <c r="C59" s="157">
        <v>5</v>
      </c>
      <c r="D59" s="157">
        <v>6</v>
      </c>
      <c r="E59" s="157"/>
      <c r="F59" s="157"/>
      <c r="G59" s="157"/>
      <c r="H59" s="157">
        <v>3</v>
      </c>
      <c r="I59" s="157">
        <v>3</v>
      </c>
      <c r="J59" s="157"/>
      <c r="K59" s="157">
        <v>7.5</v>
      </c>
      <c r="L59" s="155">
        <v>13</v>
      </c>
      <c r="M59" s="157">
        <v>69</v>
      </c>
      <c r="N59" s="157">
        <v>14</v>
      </c>
      <c r="O59" s="155" t="s">
        <v>1492</v>
      </c>
      <c r="Q59" s="164" t="s">
        <v>818</v>
      </c>
      <c r="R59" s="159" t="s">
        <v>2219</v>
      </c>
      <c r="S59" s="160">
        <v>58950.847457627118</v>
      </c>
      <c r="T59" s="166" t="s">
        <v>816</v>
      </c>
      <c r="U59" s="167">
        <v>22.5</v>
      </c>
      <c r="V59" s="163" t="s">
        <v>2220</v>
      </c>
    </row>
    <row r="60" spans="1:22" x14ac:dyDescent="0.25">
      <c r="A60" s="164" t="s">
        <v>821</v>
      </c>
      <c r="B60" s="157">
        <v>3</v>
      </c>
      <c r="C60" s="157">
        <v>5</v>
      </c>
      <c r="D60" s="157">
        <v>6</v>
      </c>
      <c r="E60" s="157"/>
      <c r="F60" s="157"/>
      <c r="G60" s="157"/>
      <c r="H60" s="157">
        <v>3</v>
      </c>
      <c r="I60" s="157">
        <v>3</v>
      </c>
      <c r="J60" s="157"/>
      <c r="K60" s="157">
        <v>11</v>
      </c>
      <c r="L60" s="155">
        <v>16</v>
      </c>
      <c r="M60" s="157">
        <v>84</v>
      </c>
      <c r="N60" s="157">
        <v>28</v>
      </c>
      <c r="O60" s="155" t="s">
        <v>1492</v>
      </c>
      <c r="Q60" s="164" t="s">
        <v>821</v>
      </c>
      <c r="R60" s="159" t="s">
        <v>2221</v>
      </c>
      <c r="S60" s="160">
        <v>63231.355932203391</v>
      </c>
      <c r="T60" s="166" t="s">
        <v>816</v>
      </c>
      <c r="U60" s="167">
        <v>22.5</v>
      </c>
      <c r="V60" s="163" t="s">
        <v>2222</v>
      </c>
    </row>
    <row r="61" spans="1:22" x14ac:dyDescent="0.25">
      <c r="A61" s="164" t="s">
        <v>824</v>
      </c>
      <c r="B61" s="157">
        <v>3</v>
      </c>
      <c r="C61" s="157">
        <v>5</v>
      </c>
      <c r="D61" s="157">
        <v>6</v>
      </c>
      <c r="E61" s="157"/>
      <c r="F61" s="157"/>
      <c r="G61" s="157"/>
      <c r="H61" s="157">
        <v>3</v>
      </c>
      <c r="I61" s="157">
        <v>3</v>
      </c>
      <c r="J61" s="157"/>
      <c r="K61" s="157">
        <v>15</v>
      </c>
      <c r="L61" s="155">
        <v>21</v>
      </c>
      <c r="M61" s="169">
        <v>115</v>
      </c>
      <c r="N61" s="157">
        <v>28</v>
      </c>
      <c r="O61" s="155" t="s">
        <v>1492</v>
      </c>
      <c r="Q61" s="164" t="s">
        <v>824</v>
      </c>
      <c r="R61" s="159" t="s">
        <v>2223</v>
      </c>
      <c r="S61" s="160">
        <v>66291.525423728817</v>
      </c>
      <c r="T61" s="166" t="s">
        <v>816</v>
      </c>
      <c r="U61" s="167">
        <v>22.5</v>
      </c>
      <c r="V61" s="163" t="s">
        <v>2224</v>
      </c>
    </row>
    <row r="62" spans="1:22" x14ac:dyDescent="0.25">
      <c r="A62" s="164" t="s">
        <v>828</v>
      </c>
      <c r="B62" s="170">
        <v>4</v>
      </c>
      <c r="C62" s="170">
        <v>8</v>
      </c>
      <c r="D62" s="170">
        <v>8</v>
      </c>
      <c r="E62" s="170">
        <v>1</v>
      </c>
      <c r="F62" s="170">
        <v>2</v>
      </c>
      <c r="G62" s="170">
        <v>4</v>
      </c>
      <c r="J62" s="170">
        <v>3</v>
      </c>
      <c r="K62" s="157">
        <v>5.5</v>
      </c>
      <c r="M62" s="170">
        <v>62</v>
      </c>
      <c r="N62" s="157">
        <v>28</v>
      </c>
      <c r="O62" s="155" t="s">
        <v>1515</v>
      </c>
      <c r="Q62" s="164" t="s">
        <v>828</v>
      </c>
      <c r="R62" s="159" t="s">
        <v>2225</v>
      </c>
      <c r="S62" s="160">
        <v>68710.169491525434</v>
      </c>
      <c r="T62" s="165" t="s">
        <v>795</v>
      </c>
      <c r="U62" s="162">
        <v>8.6999999999999993</v>
      </c>
      <c r="V62" s="163" t="s">
        <v>2226</v>
      </c>
    </row>
    <row r="63" spans="1:22" x14ac:dyDescent="0.25">
      <c r="A63" s="164" t="s">
        <v>831</v>
      </c>
      <c r="B63" s="170">
        <v>4</v>
      </c>
      <c r="C63" s="170">
        <v>8</v>
      </c>
      <c r="D63" s="170">
        <v>8</v>
      </c>
      <c r="E63" s="170">
        <v>1</v>
      </c>
      <c r="F63" s="170">
        <v>2</v>
      </c>
      <c r="G63" s="170">
        <v>4</v>
      </c>
      <c r="J63" s="170">
        <v>3</v>
      </c>
      <c r="K63" s="157">
        <v>7.5</v>
      </c>
      <c r="M63" s="170">
        <v>74</v>
      </c>
      <c r="N63" s="157">
        <v>28</v>
      </c>
      <c r="O63" s="155" t="s">
        <v>1515</v>
      </c>
      <c r="Q63" s="164" t="s">
        <v>831</v>
      </c>
      <c r="R63" s="159" t="s">
        <v>2227</v>
      </c>
      <c r="S63" s="160">
        <v>70244.067796610179</v>
      </c>
      <c r="T63" s="165" t="s">
        <v>795</v>
      </c>
      <c r="U63" s="162">
        <v>8.6999999999999993</v>
      </c>
      <c r="V63" s="163" t="s">
        <v>2228</v>
      </c>
    </row>
    <row r="64" spans="1:22" x14ac:dyDescent="0.25">
      <c r="A64" s="164" t="s">
        <v>834</v>
      </c>
      <c r="B64" s="170">
        <v>4</v>
      </c>
      <c r="C64" s="170">
        <v>8</v>
      </c>
      <c r="D64" s="170">
        <v>8</v>
      </c>
      <c r="E64" s="170">
        <v>1</v>
      </c>
      <c r="F64" s="170">
        <v>2</v>
      </c>
      <c r="G64" s="170">
        <v>4</v>
      </c>
      <c r="J64" s="170">
        <v>3</v>
      </c>
      <c r="K64" s="157">
        <v>11</v>
      </c>
      <c r="M64" s="170">
        <v>90</v>
      </c>
      <c r="N64" s="157">
        <v>28</v>
      </c>
      <c r="O64" s="155" t="s">
        <v>1515</v>
      </c>
      <c r="Q64" s="164" t="s">
        <v>834</v>
      </c>
      <c r="R64" s="159" t="s">
        <v>2229</v>
      </c>
      <c r="S64" s="160">
        <v>71904.237288135599</v>
      </c>
      <c r="T64" s="165" t="s">
        <v>795</v>
      </c>
      <c r="U64" s="162">
        <v>8.9</v>
      </c>
      <c r="V64" s="163" t="s">
        <v>2230</v>
      </c>
    </row>
    <row r="65" spans="1:22" x14ac:dyDescent="0.25">
      <c r="A65" s="164" t="s">
        <v>837</v>
      </c>
      <c r="B65" s="170">
        <v>4</v>
      </c>
      <c r="C65" s="170">
        <v>8</v>
      </c>
      <c r="D65" s="170">
        <v>8</v>
      </c>
      <c r="E65" s="170">
        <v>1</v>
      </c>
      <c r="F65" s="170">
        <v>2</v>
      </c>
      <c r="G65" s="170">
        <v>4</v>
      </c>
      <c r="J65" s="170">
        <v>3</v>
      </c>
      <c r="K65" s="157">
        <v>15</v>
      </c>
      <c r="M65" s="170">
        <v>112</v>
      </c>
      <c r="N65" s="157">
        <v>28</v>
      </c>
      <c r="O65" s="155" t="s">
        <v>1515</v>
      </c>
      <c r="Q65" s="164" t="s">
        <v>837</v>
      </c>
      <c r="R65" s="159" t="s">
        <v>2231</v>
      </c>
      <c r="S65" s="160">
        <v>75822.881355932201</v>
      </c>
      <c r="T65" s="165" t="s">
        <v>795</v>
      </c>
      <c r="U65" s="162">
        <v>8.9</v>
      </c>
      <c r="V65" s="163" t="s">
        <v>2232</v>
      </c>
    </row>
    <row r="66" spans="1:22" x14ac:dyDescent="0.25">
      <c r="A66" s="164" t="s">
        <v>864</v>
      </c>
      <c r="B66" s="170">
        <v>5</v>
      </c>
      <c r="C66" s="170">
        <v>12</v>
      </c>
      <c r="D66" s="170">
        <v>12</v>
      </c>
      <c r="E66" s="170">
        <v>1</v>
      </c>
      <c r="F66" s="170">
        <v>3</v>
      </c>
      <c r="G66" s="171">
        <v>5</v>
      </c>
      <c r="J66" s="170">
        <v>4</v>
      </c>
      <c r="K66" s="157">
        <v>5.5</v>
      </c>
      <c r="M66" s="170">
        <v>80</v>
      </c>
      <c r="N66" s="157">
        <v>28</v>
      </c>
      <c r="O66" s="155" t="s">
        <v>1519</v>
      </c>
      <c r="Q66" s="164" t="s">
        <v>864</v>
      </c>
      <c r="R66" s="159" t="s">
        <v>2233</v>
      </c>
      <c r="S66" s="160">
        <v>86138.983050847455</v>
      </c>
      <c r="T66" s="165" t="s">
        <v>795</v>
      </c>
      <c r="U66" s="162">
        <v>8.9</v>
      </c>
      <c r="V66" s="163" t="s">
        <v>2234</v>
      </c>
    </row>
    <row r="67" spans="1:22" x14ac:dyDescent="0.25">
      <c r="A67" s="164" t="s">
        <v>867</v>
      </c>
      <c r="B67" s="170">
        <v>5</v>
      </c>
      <c r="C67" s="170">
        <v>12</v>
      </c>
      <c r="D67" s="170">
        <v>12</v>
      </c>
      <c r="E67" s="170">
        <v>1</v>
      </c>
      <c r="F67" s="170">
        <v>3</v>
      </c>
      <c r="G67" s="171">
        <v>5</v>
      </c>
      <c r="J67" s="170">
        <v>4</v>
      </c>
      <c r="K67" s="157">
        <v>7.5</v>
      </c>
      <c r="M67" s="170">
        <v>96</v>
      </c>
      <c r="N67" s="157">
        <v>28</v>
      </c>
      <c r="O67" s="155" t="s">
        <v>1519</v>
      </c>
      <c r="Q67" s="164" t="s">
        <v>867</v>
      </c>
      <c r="R67" s="159" t="s">
        <v>2235</v>
      </c>
      <c r="S67" s="160">
        <v>89050</v>
      </c>
      <c r="T67" s="165" t="s">
        <v>795</v>
      </c>
      <c r="U67" s="162">
        <v>8.9</v>
      </c>
      <c r="V67" s="163" t="s">
        <v>2236</v>
      </c>
    </row>
    <row r="68" spans="1:22" x14ac:dyDescent="0.25">
      <c r="A68" s="164" t="s">
        <v>870</v>
      </c>
      <c r="B68" s="170">
        <v>5</v>
      </c>
      <c r="C68" s="170">
        <v>12</v>
      </c>
      <c r="D68" s="170">
        <v>12</v>
      </c>
      <c r="E68" s="170">
        <v>1</v>
      </c>
      <c r="F68" s="170">
        <v>3</v>
      </c>
      <c r="G68" s="171">
        <v>5</v>
      </c>
      <c r="J68" s="170">
        <v>4</v>
      </c>
      <c r="K68" s="157">
        <v>11</v>
      </c>
      <c r="M68" s="171">
        <v>115</v>
      </c>
      <c r="N68" s="157">
        <v>28</v>
      </c>
      <c r="O68" s="155" t="s">
        <v>1519</v>
      </c>
      <c r="Q68" s="164" t="s">
        <v>870</v>
      </c>
      <c r="R68" s="159" t="s">
        <v>2237</v>
      </c>
      <c r="S68" s="160">
        <v>90622.881355932215</v>
      </c>
      <c r="T68" s="165" t="s">
        <v>795</v>
      </c>
      <c r="U68" s="162">
        <v>9.1</v>
      </c>
      <c r="V68" s="163" t="s">
        <v>2238</v>
      </c>
    </row>
    <row r="69" spans="1:22" x14ac:dyDescent="0.25">
      <c r="A69" s="164" t="s">
        <v>873</v>
      </c>
      <c r="B69" s="170">
        <v>5</v>
      </c>
      <c r="C69" s="170">
        <v>12</v>
      </c>
      <c r="D69" s="170">
        <v>12</v>
      </c>
      <c r="E69" s="170">
        <v>1</v>
      </c>
      <c r="F69" s="170">
        <v>3</v>
      </c>
      <c r="G69" s="171">
        <v>5</v>
      </c>
      <c r="J69" s="170">
        <v>4</v>
      </c>
      <c r="K69" s="157">
        <v>15</v>
      </c>
      <c r="M69" s="171">
        <v>115</v>
      </c>
      <c r="N69" s="157">
        <v>28</v>
      </c>
      <c r="O69" s="155" t="s">
        <v>1519</v>
      </c>
      <c r="Q69" s="164" t="s">
        <v>873</v>
      </c>
      <c r="R69" s="159" t="s">
        <v>2239</v>
      </c>
      <c r="S69" s="160">
        <v>94837.288135593219</v>
      </c>
      <c r="T69" s="165" t="s">
        <v>795</v>
      </c>
      <c r="U69" s="162">
        <v>9.1</v>
      </c>
      <c r="V69" s="163" t="s">
        <v>2240</v>
      </c>
    </row>
    <row r="70" spans="1:22" x14ac:dyDescent="0.25">
      <c r="A70" s="164" t="s">
        <v>900</v>
      </c>
      <c r="B70" s="170">
        <v>6</v>
      </c>
      <c r="C70" s="170">
        <v>16</v>
      </c>
      <c r="D70" s="170">
        <v>16</v>
      </c>
      <c r="E70" s="170">
        <v>1</v>
      </c>
      <c r="F70" s="170">
        <v>3</v>
      </c>
      <c r="G70" s="170">
        <v>7</v>
      </c>
      <c r="J70" s="170">
        <v>5</v>
      </c>
      <c r="K70" s="157">
        <v>5.5</v>
      </c>
      <c r="M70" s="170">
        <v>98</v>
      </c>
      <c r="N70" s="157">
        <v>28</v>
      </c>
      <c r="O70" s="155" t="s">
        <v>1519</v>
      </c>
      <c r="P70" s="155" t="s">
        <v>1497</v>
      </c>
      <c r="Q70" s="164" t="s">
        <v>900</v>
      </c>
      <c r="R70" s="159" t="s">
        <v>2241</v>
      </c>
      <c r="S70" s="160">
        <v>105446.61016949153</v>
      </c>
      <c r="T70" s="165" t="s">
        <v>902</v>
      </c>
      <c r="U70" s="167">
        <v>10.199999999999999</v>
      </c>
      <c r="V70" s="163" t="s">
        <v>2242</v>
      </c>
    </row>
    <row r="71" spans="1:22" x14ac:dyDescent="0.25">
      <c r="A71" s="164" t="s">
        <v>904</v>
      </c>
      <c r="B71" s="170">
        <v>6</v>
      </c>
      <c r="C71" s="170">
        <v>16</v>
      </c>
      <c r="D71" s="170">
        <v>16</v>
      </c>
      <c r="E71" s="170">
        <v>1</v>
      </c>
      <c r="F71" s="170">
        <v>3</v>
      </c>
      <c r="G71" s="170">
        <v>7</v>
      </c>
      <c r="J71" s="170">
        <v>5</v>
      </c>
      <c r="K71" s="157">
        <v>7.5</v>
      </c>
      <c r="M71" s="171">
        <v>115</v>
      </c>
      <c r="N71" s="157">
        <v>28</v>
      </c>
      <c r="O71" s="155" t="s">
        <v>1519</v>
      </c>
      <c r="P71" s="155" t="s">
        <v>1497</v>
      </c>
      <c r="Q71" s="164" t="s">
        <v>904</v>
      </c>
      <c r="R71" s="159" t="s">
        <v>2243</v>
      </c>
      <c r="S71" s="160">
        <v>108168.64406779662</v>
      </c>
      <c r="T71" s="165" t="s">
        <v>902</v>
      </c>
      <c r="U71" s="167">
        <v>10.199999999999999</v>
      </c>
      <c r="V71" s="163" t="s">
        <v>2244</v>
      </c>
    </row>
    <row r="72" spans="1:22" x14ac:dyDescent="0.25">
      <c r="A72" s="164" t="s">
        <v>907</v>
      </c>
      <c r="B72" s="170">
        <v>4</v>
      </c>
      <c r="C72" s="170">
        <v>8</v>
      </c>
      <c r="D72" s="170">
        <v>8</v>
      </c>
      <c r="E72" s="170"/>
      <c r="F72" s="170"/>
      <c r="G72" s="170"/>
      <c r="H72" s="170">
        <v>4</v>
      </c>
      <c r="I72" s="170">
        <v>4</v>
      </c>
      <c r="K72" s="157">
        <v>5.5</v>
      </c>
      <c r="L72" s="155">
        <v>10</v>
      </c>
      <c r="M72" s="170">
        <v>77</v>
      </c>
      <c r="N72" s="157">
        <v>28</v>
      </c>
      <c r="O72" s="155" t="s">
        <v>1515</v>
      </c>
      <c r="Q72" s="164" t="s">
        <v>907</v>
      </c>
      <c r="R72" s="159" t="s">
        <v>2245</v>
      </c>
      <c r="S72" s="160">
        <v>87768.644067796617</v>
      </c>
      <c r="T72" s="165" t="s">
        <v>902</v>
      </c>
      <c r="U72" s="167">
        <v>10.4</v>
      </c>
      <c r="V72" s="163" t="s">
        <v>2246</v>
      </c>
    </row>
    <row r="73" spans="1:22" x14ac:dyDescent="0.25">
      <c r="A73" s="164" t="s">
        <v>910</v>
      </c>
      <c r="B73" s="170">
        <v>4</v>
      </c>
      <c r="C73" s="170">
        <v>8</v>
      </c>
      <c r="D73" s="170">
        <v>8</v>
      </c>
      <c r="E73" s="170"/>
      <c r="F73" s="170"/>
      <c r="G73" s="170"/>
      <c r="H73" s="170">
        <v>4</v>
      </c>
      <c r="I73" s="170">
        <v>4</v>
      </c>
      <c r="K73" s="157">
        <v>7.5</v>
      </c>
      <c r="L73" s="155">
        <v>13</v>
      </c>
      <c r="M73" s="170">
        <v>94</v>
      </c>
      <c r="N73" s="157">
        <v>28</v>
      </c>
      <c r="O73" s="155" t="s">
        <v>1515</v>
      </c>
      <c r="Q73" s="164" t="s">
        <v>910</v>
      </c>
      <c r="R73" s="159" t="s">
        <v>2247</v>
      </c>
      <c r="S73" s="160">
        <v>90275.423728813563</v>
      </c>
      <c r="T73" s="165" t="s">
        <v>902</v>
      </c>
      <c r="U73" s="167">
        <v>10.4</v>
      </c>
      <c r="V73" s="163" t="s">
        <v>2248</v>
      </c>
    </row>
    <row r="74" spans="1:22" x14ac:dyDescent="0.25">
      <c r="A74" s="164" t="s">
        <v>913</v>
      </c>
      <c r="B74" s="170">
        <v>4</v>
      </c>
      <c r="C74" s="170">
        <v>8</v>
      </c>
      <c r="D74" s="170">
        <v>8</v>
      </c>
      <c r="E74" s="170"/>
      <c r="F74" s="170"/>
      <c r="G74" s="170"/>
      <c r="H74" s="170">
        <v>4</v>
      </c>
      <c r="I74" s="170">
        <v>4</v>
      </c>
      <c r="K74" s="157">
        <v>11</v>
      </c>
      <c r="L74" s="155">
        <v>16</v>
      </c>
      <c r="M74" s="170">
        <v>115</v>
      </c>
      <c r="N74" s="157">
        <v>28</v>
      </c>
      <c r="O74" s="155" t="s">
        <v>1515</v>
      </c>
      <c r="Q74" s="164" t="s">
        <v>913</v>
      </c>
      <c r="R74" s="159" t="s">
        <v>2249</v>
      </c>
      <c r="S74" s="160">
        <v>95607.627118644072</v>
      </c>
      <c r="T74" s="165" t="s">
        <v>902</v>
      </c>
      <c r="U74" s="167">
        <v>10.7</v>
      </c>
      <c r="V74" s="163" t="s">
        <v>2250</v>
      </c>
    </row>
    <row r="75" spans="1:22" x14ac:dyDescent="0.25">
      <c r="A75" s="164" t="s">
        <v>916</v>
      </c>
      <c r="B75" s="170">
        <v>4</v>
      </c>
      <c r="C75" s="170">
        <v>8</v>
      </c>
      <c r="D75" s="170">
        <v>8</v>
      </c>
      <c r="E75" s="170"/>
      <c r="F75" s="170"/>
      <c r="G75" s="170"/>
      <c r="H75" s="170">
        <v>4</v>
      </c>
      <c r="I75" s="170">
        <v>4</v>
      </c>
      <c r="K75" s="157">
        <v>15</v>
      </c>
      <c r="L75" s="155">
        <v>21</v>
      </c>
      <c r="M75" s="170">
        <v>120</v>
      </c>
      <c r="N75" s="157">
        <v>28</v>
      </c>
      <c r="O75" s="155" t="s">
        <v>1515</v>
      </c>
      <c r="Q75" s="164" t="s">
        <v>916</v>
      </c>
      <c r="R75" s="159" t="s">
        <v>2251</v>
      </c>
      <c r="S75" s="160">
        <v>101609.32203389831</v>
      </c>
      <c r="T75" s="165" t="s">
        <v>902</v>
      </c>
      <c r="U75" s="167">
        <v>10.7</v>
      </c>
      <c r="V75" s="163" t="s">
        <v>2252</v>
      </c>
    </row>
    <row r="76" spans="1:22" x14ac:dyDescent="0.25">
      <c r="A76" s="164" t="s">
        <v>919</v>
      </c>
      <c r="B76" s="170">
        <v>5</v>
      </c>
      <c r="C76" s="170">
        <v>12</v>
      </c>
      <c r="D76" s="170">
        <v>12</v>
      </c>
      <c r="E76" s="170"/>
      <c r="F76" s="170"/>
      <c r="G76" s="170"/>
      <c r="H76" s="170">
        <v>5</v>
      </c>
      <c r="I76" s="170">
        <v>5</v>
      </c>
      <c r="K76" s="157">
        <v>5.5</v>
      </c>
      <c r="L76" s="155">
        <v>10</v>
      </c>
      <c r="M76" s="170">
        <v>93</v>
      </c>
      <c r="N76" s="157">
        <v>28</v>
      </c>
      <c r="O76" s="155" t="s">
        <v>1519</v>
      </c>
      <c r="Q76" s="164" t="s">
        <v>919</v>
      </c>
      <c r="R76" s="159" t="s">
        <v>2253</v>
      </c>
      <c r="S76" s="160">
        <v>110052.54237288136</v>
      </c>
      <c r="T76" s="165" t="s">
        <v>902</v>
      </c>
      <c r="U76" s="167">
        <v>11.4</v>
      </c>
      <c r="V76" s="163" t="s">
        <v>2254</v>
      </c>
    </row>
    <row r="77" spans="1:22" x14ac:dyDescent="0.25">
      <c r="A77" s="164" t="s">
        <v>922</v>
      </c>
      <c r="B77" s="170">
        <v>5</v>
      </c>
      <c r="C77" s="170">
        <v>12</v>
      </c>
      <c r="D77" s="170">
        <v>12</v>
      </c>
      <c r="E77" s="170"/>
      <c r="F77" s="170"/>
      <c r="G77" s="170"/>
      <c r="H77" s="170">
        <v>5</v>
      </c>
      <c r="I77" s="170">
        <v>5</v>
      </c>
      <c r="K77" s="157">
        <v>7.5</v>
      </c>
      <c r="L77" s="155">
        <v>13</v>
      </c>
      <c r="M77" s="170">
        <v>120</v>
      </c>
      <c r="N77" s="157">
        <v>28</v>
      </c>
      <c r="O77" s="155" t="s">
        <v>1519</v>
      </c>
      <c r="Q77" s="164" t="s">
        <v>922</v>
      </c>
      <c r="R77" s="159" t="s">
        <v>2255</v>
      </c>
      <c r="S77" s="160">
        <v>114172.88135593222</v>
      </c>
      <c r="T77" s="165" t="s">
        <v>902</v>
      </c>
      <c r="U77" s="167">
        <v>11.4</v>
      </c>
      <c r="V77" s="163" t="s">
        <v>2256</v>
      </c>
    </row>
    <row r="78" spans="1:22" x14ac:dyDescent="0.25">
      <c r="A78" s="164" t="s">
        <v>925</v>
      </c>
      <c r="B78" s="170">
        <v>4</v>
      </c>
      <c r="C78" s="170">
        <v>8</v>
      </c>
      <c r="D78" s="170">
        <v>8</v>
      </c>
      <c r="E78" s="170">
        <v>1</v>
      </c>
      <c r="F78" s="170">
        <v>2</v>
      </c>
      <c r="G78" s="170">
        <v>4</v>
      </c>
      <c r="J78" s="170">
        <v>3</v>
      </c>
      <c r="K78" s="157">
        <v>5.5</v>
      </c>
      <c r="M78" s="170">
        <v>62</v>
      </c>
      <c r="N78" s="157">
        <v>28</v>
      </c>
      <c r="O78" s="155" t="s">
        <v>1515</v>
      </c>
      <c r="Q78" s="164" t="s">
        <v>925</v>
      </c>
      <c r="R78" s="159" t="s">
        <v>2257</v>
      </c>
      <c r="S78" s="160">
        <v>90660.169491525434</v>
      </c>
      <c r="T78" s="166" t="s">
        <v>578</v>
      </c>
      <c r="U78" s="172">
        <v>41</v>
      </c>
      <c r="V78" s="163" t="s">
        <v>2258</v>
      </c>
    </row>
    <row r="79" spans="1:22" x14ac:dyDescent="0.25">
      <c r="A79" s="164" t="s">
        <v>928</v>
      </c>
      <c r="B79" s="170">
        <v>4</v>
      </c>
      <c r="C79" s="170">
        <v>8</v>
      </c>
      <c r="D79" s="170">
        <v>8</v>
      </c>
      <c r="E79" s="170">
        <v>1</v>
      </c>
      <c r="F79" s="170">
        <v>2</v>
      </c>
      <c r="G79" s="170">
        <v>4</v>
      </c>
      <c r="J79" s="170">
        <v>3</v>
      </c>
      <c r="K79" s="157">
        <v>7.5</v>
      </c>
      <c r="M79" s="170">
        <v>74</v>
      </c>
      <c r="N79" s="157">
        <v>28</v>
      </c>
      <c r="O79" s="155" t="s">
        <v>1515</v>
      </c>
      <c r="Q79" s="164" t="s">
        <v>928</v>
      </c>
      <c r="R79" s="159" t="s">
        <v>2259</v>
      </c>
      <c r="S79" s="160">
        <v>93530.508474576272</v>
      </c>
      <c r="T79" s="166" t="s">
        <v>578</v>
      </c>
      <c r="U79" s="172">
        <v>41</v>
      </c>
      <c r="V79" s="163" t="s">
        <v>2260</v>
      </c>
    </row>
    <row r="80" spans="1:22" x14ac:dyDescent="0.25">
      <c r="A80" s="164" t="s">
        <v>931</v>
      </c>
      <c r="B80" s="170">
        <v>4</v>
      </c>
      <c r="C80" s="170">
        <v>8</v>
      </c>
      <c r="D80" s="170">
        <v>8</v>
      </c>
      <c r="E80" s="170">
        <v>1</v>
      </c>
      <c r="F80" s="170">
        <v>2</v>
      </c>
      <c r="G80" s="170">
        <v>4</v>
      </c>
      <c r="J80" s="170">
        <v>3</v>
      </c>
      <c r="K80" s="157">
        <v>11</v>
      </c>
      <c r="M80" s="170">
        <v>90</v>
      </c>
      <c r="N80" s="157">
        <v>28</v>
      </c>
      <c r="O80" s="155" t="s">
        <v>1515</v>
      </c>
      <c r="Q80" s="164" t="s">
        <v>931</v>
      </c>
      <c r="R80" s="159" t="s">
        <v>2261</v>
      </c>
      <c r="S80" s="160">
        <v>96592.372881355943</v>
      </c>
      <c r="T80" s="166" t="s">
        <v>578</v>
      </c>
      <c r="U80" s="172">
        <v>41</v>
      </c>
      <c r="V80" s="163" t="s">
        <v>2262</v>
      </c>
    </row>
    <row r="81" spans="1:22" x14ac:dyDescent="0.25">
      <c r="A81" s="164" t="s">
        <v>934</v>
      </c>
      <c r="B81" s="170">
        <v>4</v>
      </c>
      <c r="C81" s="170">
        <v>8</v>
      </c>
      <c r="D81" s="170">
        <v>8</v>
      </c>
      <c r="E81" s="170">
        <v>1</v>
      </c>
      <c r="F81" s="170">
        <v>2</v>
      </c>
      <c r="G81" s="170">
        <v>4</v>
      </c>
      <c r="J81" s="170">
        <v>3</v>
      </c>
      <c r="K81" s="157">
        <v>15</v>
      </c>
      <c r="M81" s="170">
        <v>112</v>
      </c>
      <c r="N81" s="157">
        <v>28</v>
      </c>
      <c r="O81" s="155" t="s">
        <v>1515</v>
      </c>
      <c r="Q81" s="164" t="s">
        <v>934</v>
      </c>
      <c r="R81" s="159" t="s">
        <v>2263</v>
      </c>
      <c r="S81" s="160">
        <v>100509.32203389831</v>
      </c>
      <c r="T81" s="166" t="s">
        <v>578</v>
      </c>
      <c r="U81" s="172">
        <v>41</v>
      </c>
      <c r="V81" s="163" t="s">
        <v>2264</v>
      </c>
    </row>
    <row r="82" spans="1:22" x14ac:dyDescent="0.25">
      <c r="A82" s="164" t="s">
        <v>937</v>
      </c>
      <c r="B82" s="170">
        <v>4</v>
      </c>
      <c r="C82" s="170">
        <v>8</v>
      </c>
      <c r="D82" s="170">
        <v>8</v>
      </c>
      <c r="E82" s="170">
        <v>1</v>
      </c>
      <c r="F82" s="170">
        <v>2</v>
      </c>
      <c r="G82" s="170">
        <v>4</v>
      </c>
      <c r="J82" s="170">
        <v>3</v>
      </c>
      <c r="K82" s="157">
        <v>18.5</v>
      </c>
      <c r="M82" s="170">
        <v>134</v>
      </c>
      <c r="N82" s="170">
        <v>40</v>
      </c>
      <c r="O82" s="155" t="s">
        <v>1515</v>
      </c>
      <c r="Q82" s="164" t="s">
        <v>937</v>
      </c>
      <c r="R82" s="159" t="s">
        <v>2265</v>
      </c>
      <c r="S82" s="160">
        <v>114458.4745762712</v>
      </c>
      <c r="T82" s="166" t="s">
        <v>578</v>
      </c>
      <c r="U82" s="172">
        <v>43</v>
      </c>
      <c r="V82" s="163" t="s">
        <v>2266</v>
      </c>
    </row>
    <row r="83" spans="1:22" x14ac:dyDescent="0.25">
      <c r="A83" s="164" t="s">
        <v>940</v>
      </c>
      <c r="B83" s="170">
        <v>4</v>
      </c>
      <c r="C83" s="170">
        <v>8</v>
      </c>
      <c r="D83" s="170">
        <v>8</v>
      </c>
      <c r="E83" s="170">
        <v>1</v>
      </c>
      <c r="F83" s="170">
        <v>2</v>
      </c>
      <c r="G83" s="170">
        <v>4</v>
      </c>
      <c r="J83" s="170">
        <v>3</v>
      </c>
      <c r="K83" s="157">
        <v>22</v>
      </c>
      <c r="M83" s="170">
        <v>166</v>
      </c>
      <c r="N83" s="170">
        <v>40</v>
      </c>
      <c r="O83" s="155" t="s">
        <v>1515</v>
      </c>
      <c r="Q83" s="164" t="s">
        <v>940</v>
      </c>
      <c r="R83" s="159" t="s">
        <v>2267</v>
      </c>
      <c r="S83" s="160">
        <v>119689.83050847458</v>
      </c>
      <c r="T83" s="166" t="s">
        <v>578</v>
      </c>
      <c r="U83" s="172">
        <v>43</v>
      </c>
      <c r="V83" s="163" t="s">
        <v>2268</v>
      </c>
    </row>
    <row r="84" spans="1:22" x14ac:dyDescent="0.25">
      <c r="A84" s="164" t="s">
        <v>943</v>
      </c>
      <c r="B84" s="170">
        <v>4</v>
      </c>
      <c r="C84" s="170">
        <v>8</v>
      </c>
      <c r="D84" s="170">
        <v>8</v>
      </c>
      <c r="E84" s="170">
        <v>1</v>
      </c>
      <c r="F84" s="170">
        <v>2</v>
      </c>
      <c r="G84" s="170">
        <v>4</v>
      </c>
      <c r="J84" s="170">
        <v>3</v>
      </c>
      <c r="K84" s="157">
        <v>30</v>
      </c>
      <c r="M84" s="170">
        <v>206</v>
      </c>
      <c r="N84" s="170">
        <v>40</v>
      </c>
      <c r="O84" s="155" t="s">
        <v>1515</v>
      </c>
      <c r="Q84" s="164" t="s">
        <v>943</v>
      </c>
      <c r="R84" s="159" t="s">
        <v>2269</v>
      </c>
      <c r="S84" s="160">
        <v>119158.4745762712</v>
      </c>
      <c r="T84" s="166" t="s">
        <v>578</v>
      </c>
      <c r="U84" s="172">
        <v>43</v>
      </c>
      <c r="V84" s="163" t="s">
        <v>2270</v>
      </c>
    </row>
    <row r="85" spans="1:22" x14ac:dyDescent="0.25">
      <c r="A85" s="164" t="s">
        <v>988</v>
      </c>
      <c r="B85" s="170">
        <v>5</v>
      </c>
      <c r="C85" s="170">
        <v>12</v>
      </c>
      <c r="D85" s="170">
        <v>12</v>
      </c>
      <c r="E85" s="170">
        <v>1</v>
      </c>
      <c r="F85" s="170">
        <v>3</v>
      </c>
      <c r="G85" s="170">
        <v>5</v>
      </c>
      <c r="J85" s="170">
        <v>4</v>
      </c>
      <c r="K85" s="157">
        <v>5.5</v>
      </c>
      <c r="M85" s="170">
        <v>80</v>
      </c>
      <c r="N85" s="157">
        <v>28</v>
      </c>
      <c r="O85" s="155" t="s">
        <v>1519</v>
      </c>
      <c r="Q85" s="164" t="s">
        <v>988</v>
      </c>
      <c r="R85" s="159" t="s">
        <v>2271</v>
      </c>
      <c r="S85" s="160">
        <v>110024.57627118645</v>
      </c>
      <c r="T85" s="166" t="s">
        <v>578</v>
      </c>
      <c r="U85" s="172">
        <v>42</v>
      </c>
      <c r="V85" s="163" t="s">
        <v>2272</v>
      </c>
    </row>
    <row r="86" spans="1:22" x14ac:dyDescent="0.25">
      <c r="A86" s="164" t="s">
        <v>991</v>
      </c>
      <c r="B86" s="170">
        <v>5</v>
      </c>
      <c r="C86" s="170">
        <v>12</v>
      </c>
      <c r="D86" s="170">
        <v>12</v>
      </c>
      <c r="E86" s="170">
        <v>1</v>
      </c>
      <c r="F86" s="170">
        <v>3</v>
      </c>
      <c r="G86" s="170">
        <v>5</v>
      </c>
      <c r="J86" s="170">
        <v>4</v>
      </c>
      <c r="K86" s="157">
        <v>7.5</v>
      </c>
      <c r="M86" s="170">
        <v>96</v>
      </c>
      <c r="N86" s="157">
        <v>28</v>
      </c>
      <c r="O86" s="155" t="s">
        <v>1519</v>
      </c>
      <c r="Q86" s="164" t="s">
        <v>991</v>
      </c>
      <c r="R86" s="159" t="s">
        <v>2273</v>
      </c>
      <c r="S86" s="160">
        <v>114716.10169491525</v>
      </c>
      <c r="T86" s="166" t="s">
        <v>578</v>
      </c>
      <c r="U86" s="172">
        <v>42</v>
      </c>
      <c r="V86" s="163" t="s">
        <v>2274</v>
      </c>
    </row>
    <row r="87" spans="1:22" x14ac:dyDescent="0.25">
      <c r="A87" s="164" t="s">
        <v>994</v>
      </c>
      <c r="B87" s="170">
        <v>5</v>
      </c>
      <c r="C87" s="170">
        <v>12</v>
      </c>
      <c r="D87" s="170">
        <v>12</v>
      </c>
      <c r="E87" s="170">
        <v>1</v>
      </c>
      <c r="F87" s="170">
        <v>3</v>
      </c>
      <c r="G87" s="170">
        <v>5</v>
      </c>
      <c r="J87" s="170">
        <v>4</v>
      </c>
      <c r="K87" s="157">
        <v>11</v>
      </c>
      <c r="M87" s="170">
        <v>118</v>
      </c>
      <c r="N87" s="157">
        <v>28</v>
      </c>
      <c r="O87" s="155" t="s">
        <v>1519</v>
      </c>
      <c r="Q87" s="164" t="s">
        <v>994</v>
      </c>
      <c r="R87" s="159" t="s">
        <v>2275</v>
      </c>
      <c r="S87" s="160">
        <v>116815.25423728814</v>
      </c>
      <c r="T87" s="166" t="s">
        <v>578</v>
      </c>
      <c r="U87" s="172">
        <v>42</v>
      </c>
      <c r="V87" s="163" t="s">
        <v>2276</v>
      </c>
    </row>
    <row r="88" spans="1:22" x14ac:dyDescent="0.25">
      <c r="A88" s="164" t="s">
        <v>997</v>
      </c>
      <c r="B88" s="170">
        <v>5</v>
      </c>
      <c r="C88" s="170">
        <v>12</v>
      </c>
      <c r="D88" s="170">
        <v>12</v>
      </c>
      <c r="E88" s="170">
        <v>1</v>
      </c>
      <c r="F88" s="170">
        <v>3</v>
      </c>
      <c r="G88" s="170">
        <v>5</v>
      </c>
      <c r="J88" s="170">
        <v>4</v>
      </c>
      <c r="K88" s="157">
        <v>15</v>
      </c>
      <c r="M88" s="170">
        <v>146</v>
      </c>
      <c r="N88" s="157">
        <v>28</v>
      </c>
      <c r="O88" s="155" t="s">
        <v>1519</v>
      </c>
      <c r="Q88" s="164" t="s">
        <v>997</v>
      </c>
      <c r="R88" s="159" t="s">
        <v>2277</v>
      </c>
      <c r="S88" s="160">
        <v>125161.86440677967</v>
      </c>
      <c r="T88" s="166" t="s">
        <v>578</v>
      </c>
      <c r="U88" s="172">
        <v>42</v>
      </c>
      <c r="V88" s="163" t="s">
        <v>2278</v>
      </c>
    </row>
    <row r="89" spans="1:22" x14ac:dyDescent="0.25">
      <c r="A89" s="164" t="s">
        <v>1000</v>
      </c>
      <c r="B89" s="170">
        <v>5</v>
      </c>
      <c r="C89" s="170">
        <v>12</v>
      </c>
      <c r="D89" s="170">
        <v>12</v>
      </c>
      <c r="E89" s="170">
        <v>1</v>
      </c>
      <c r="F89" s="170">
        <v>3</v>
      </c>
      <c r="G89" s="170">
        <v>5</v>
      </c>
      <c r="J89" s="170">
        <v>4</v>
      </c>
      <c r="K89" s="157">
        <v>18.5</v>
      </c>
      <c r="M89" s="170">
        <v>178</v>
      </c>
      <c r="N89" s="170">
        <v>40</v>
      </c>
      <c r="O89" s="155" t="s">
        <v>1519</v>
      </c>
      <c r="Q89" s="164" t="s">
        <v>1000</v>
      </c>
      <c r="R89" s="159" t="s">
        <v>2279</v>
      </c>
      <c r="S89" s="160">
        <v>143744.06779661018</v>
      </c>
      <c r="T89" s="166" t="s">
        <v>1002</v>
      </c>
      <c r="U89" s="172">
        <v>51</v>
      </c>
      <c r="V89" s="163" t="s">
        <v>2280</v>
      </c>
    </row>
    <row r="90" spans="1:22" x14ac:dyDescent="0.25">
      <c r="A90" s="164" t="s">
        <v>1004</v>
      </c>
      <c r="B90" s="170">
        <v>5</v>
      </c>
      <c r="C90" s="170">
        <v>12</v>
      </c>
      <c r="D90" s="170">
        <v>12</v>
      </c>
      <c r="E90" s="170">
        <v>1</v>
      </c>
      <c r="F90" s="170">
        <v>3</v>
      </c>
      <c r="G90" s="170">
        <v>5</v>
      </c>
      <c r="J90" s="170">
        <v>4</v>
      </c>
      <c r="K90" s="157">
        <v>22</v>
      </c>
      <c r="M90" s="170">
        <v>219</v>
      </c>
      <c r="N90" s="170">
        <v>40</v>
      </c>
      <c r="O90" s="155" t="s">
        <v>1519</v>
      </c>
      <c r="Q90" s="164" t="s">
        <v>1004</v>
      </c>
      <c r="R90" s="159" t="s">
        <v>2281</v>
      </c>
      <c r="S90" s="160">
        <v>143932.20338983051</v>
      </c>
      <c r="T90" s="166" t="s">
        <v>1002</v>
      </c>
      <c r="U90" s="172">
        <v>51</v>
      </c>
      <c r="V90" s="163" t="s">
        <v>2282</v>
      </c>
    </row>
    <row r="91" spans="1:22" x14ac:dyDescent="0.25">
      <c r="A91" s="164" t="s">
        <v>1007</v>
      </c>
      <c r="B91" s="170">
        <v>5</v>
      </c>
      <c r="C91" s="170">
        <v>12</v>
      </c>
      <c r="D91" s="170">
        <v>12</v>
      </c>
      <c r="E91" s="170">
        <v>1</v>
      </c>
      <c r="F91" s="170">
        <v>3</v>
      </c>
      <c r="G91" s="170">
        <v>5</v>
      </c>
      <c r="J91" s="170">
        <v>4</v>
      </c>
      <c r="K91" s="157">
        <v>30</v>
      </c>
      <c r="M91" s="170">
        <v>269</v>
      </c>
      <c r="N91" s="170">
        <v>40</v>
      </c>
      <c r="O91" s="155" t="s">
        <v>1519</v>
      </c>
      <c r="Q91" s="164" t="s">
        <v>1007</v>
      </c>
      <c r="R91" s="159" t="s">
        <v>2283</v>
      </c>
      <c r="S91" s="160">
        <v>150970.33898305087</v>
      </c>
      <c r="T91" s="166" t="s">
        <v>1002</v>
      </c>
      <c r="U91" s="172">
        <v>51</v>
      </c>
      <c r="V91" s="163" t="s">
        <v>2284</v>
      </c>
    </row>
    <row r="92" spans="1:22" x14ac:dyDescent="0.25">
      <c r="A92" s="164" t="s">
        <v>1052</v>
      </c>
      <c r="B92" s="170">
        <v>6</v>
      </c>
      <c r="C92" s="170">
        <v>16</v>
      </c>
      <c r="D92" s="170">
        <v>16</v>
      </c>
      <c r="E92" s="170">
        <v>1</v>
      </c>
      <c r="F92" s="170">
        <v>3</v>
      </c>
      <c r="G92" s="170">
        <v>7</v>
      </c>
      <c r="J92" s="170">
        <v>5</v>
      </c>
      <c r="K92" s="157">
        <v>5.5</v>
      </c>
      <c r="M92" s="170">
        <v>96</v>
      </c>
      <c r="N92" s="157">
        <v>28</v>
      </c>
      <c r="O92" s="155" t="s">
        <v>1519</v>
      </c>
      <c r="P92" s="155" t="s">
        <v>1497</v>
      </c>
      <c r="Q92" s="164" t="s">
        <v>1052</v>
      </c>
      <c r="R92" s="159" t="s">
        <v>2285</v>
      </c>
      <c r="S92" s="160">
        <v>129846.61016949153</v>
      </c>
      <c r="T92" s="166" t="s">
        <v>578</v>
      </c>
      <c r="U92" s="172">
        <v>43</v>
      </c>
      <c r="V92" s="163" t="s">
        <v>2286</v>
      </c>
    </row>
    <row r="93" spans="1:22" x14ac:dyDescent="0.25">
      <c r="A93" s="164" t="s">
        <v>1055</v>
      </c>
      <c r="B93" s="170">
        <v>6</v>
      </c>
      <c r="C93" s="170">
        <v>16</v>
      </c>
      <c r="D93" s="170">
        <v>16</v>
      </c>
      <c r="E93" s="170">
        <v>1</v>
      </c>
      <c r="F93" s="170">
        <v>3</v>
      </c>
      <c r="G93" s="170">
        <v>7</v>
      </c>
      <c r="J93" s="170">
        <v>5</v>
      </c>
      <c r="K93" s="157">
        <v>7.5</v>
      </c>
      <c r="M93" s="170">
        <v>115</v>
      </c>
      <c r="N93" s="157">
        <v>28</v>
      </c>
      <c r="O93" s="155" t="s">
        <v>1519</v>
      </c>
      <c r="P93" s="155" t="s">
        <v>1497</v>
      </c>
      <c r="Q93" s="164" t="s">
        <v>1055</v>
      </c>
      <c r="R93" s="159" t="s">
        <v>2287</v>
      </c>
      <c r="S93" s="160">
        <v>133357.62711864407</v>
      </c>
      <c r="T93" s="166" t="s">
        <v>578</v>
      </c>
      <c r="U93" s="172">
        <v>43</v>
      </c>
      <c r="V93" s="163" t="s">
        <v>2288</v>
      </c>
    </row>
    <row r="94" spans="1:22" x14ac:dyDescent="0.25">
      <c r="A94" s="164" t="s">
        <v>1058</v>
      </c>
      <c r="B94" s="170">
        <v>6</v>
      </c>
      <c r="C94" s="170">
        <v>16</v>
      </c>
      <c r="D94" s="170">
        <v>16</v>
      </c>
      <c r="E94" s="170">
        <v>1</v>
      </c>
      <c r="F94" s="170">
        <v>3</v>
      </c>
      <c r="G94" s="170">
        <v>7</v>
      </c>
      <c r="J94" s="170">
        <v>5</v>
      </c>
      <c r="K94" s="157">
        <v>11</v>
      </c>
      <c r="M94" s="170">
        <v>143</v>
      </c>
      <c r="N94" s="157">
        <v>28</v>
      </c>
      <c r="O94" s="155" t="s">
        <v>1519</v>
      </c>
      <c r="P94" s="155" t="s">
        <v>1497</v>
      </c>
      <c r="Q94" s="164" t="s">
        <v>1058</v>
      </c>
      <c r="R94" s="159" t="s">
        <v>2289</v>
      </c>
      <c r="S94" s="160">
        <v>139782.20338983051</v>
      </c>
      <c r="T94" s="166" t="s">
        <v>578</v>
      </c>
      <c r="U94" s="172">
        <v>43</v>
      </c>
      <c r="V94" s="163" t="s">
        <v>2290</v>
      </c>
    </row>
    <row r="95" spans="1:22" x14ac:dyDescent="0.25">
      <c r="A95" s="164" t="s">
        <v>1061</v>
      </c>
      <c r="B95" s="170">
        <v>6</v>
      </c>
      <c r="C95" s="170">
        <v>16</v>
      </c>
      <c r="D95" s="170">
        <v>16</v>
      </c>
      <c r="E95" s="170">
        <v>1</v>
      </c>
      <c r="F95" s="170">
        <v>3</v>
      </c>
      <c r="G95" s="170">
        <v>7</v>
      </c>
      <c r="J95" s="170">
        <v>5</v>
      </c>
      <c r="K95" s="157">
        <v>15</v>
      </c>
      <c r="M95" s="170">
        <v>178</v>
      </c>
      <c r="N95" s="157">
        <v>28</v>
      </c>
      <c r="O95" s="155" t="s">
        <v>1519</v>
      </c>
      <c r="P95" s="155" t="s">
        <v>1497</v>
      </c>
      <c r="Q95" s="164" t="s">
        <v>1061</v>
      </c>
      <c r="R95" s="159" t="s">
        <v>2291</v>
      </c>
      <c r="S95" s="160">
        <v>156055.08474576272</v>
      </c>
      <c r="T95" s="166" t="s">
        <v>1002</v>
      </c>
      <c r="U95" s="172">
        <v>53</v>
      </c>
      <c r="V95" s="163" t="s">
        <v>2292</v>
      </c>
    </row>
    <row r="96" spans="1:22" x14ac:dyDescent="0.25">
      <c r="A96" s="164" t="s">
        <v>1064</v>
      </c>
      <c r="B96" s="170">
        <v>6</v>
      </c>
      <c r="C96" s="170">
        <v>16</v>
      </c>
      <c r="D96" s="170">
        <v>16</v>
      </c>
      <c r="E96" s="170">
        <v>1</v>
      </c>
      <c r="F96" s="170">
        <v>3</v>
      </c>
      <c r="G96" s="170">
        <v>7</v>
      </c>
      <c r="J96" s="170">
        <v>5</v>
      </c>
      <c r="K96" s="157">
        <v>18.5</v>
      </c>
      <c r="M96" s="170">
        <v>218</v>
      </c>
      <c r="N96" s="170">
        <v>63</v>
      </c>
      <c r="O96" s="155" t="s">
        <v>1519</v>
      </c>
      <c r="P96" s="155" t="s">
        <v>1497</v>
      </c>
      <c r="Q96" s="164" t="s">
        <v>1064</v>
      </c>
      <c r="R96" s="159" t="s">
        <v>2293</v>
      </c>
      <c r="S96" s="160">
        <v>163636.44067796611</v>
      </c>
      <c r="T96" s="166" t="s">
        <v>1002</v>
      </c>
      <c r="U96" s="172">
        <v>53</v>
      </c>
      <c r="V96" s="163" t="s">
        <v>2294</v>
      </c>
    </row>
    <row r="97" spans="1:22" x14ac:dyDescent="0.25">
      <c r="A97" s="164" t="s">
        <v>1067</v>
      </c>
      <c r="B97" s="170">
        <v>6</v>
      </c>
      <c r="C97" s="170">
        <v>16</v>
      </c>
      <c r="D97" s="170">
        <v>16</v>
      </c>
      <c r="E97" s="170">
        <v>1</v>
      </c>
      <c r="F97" s="170">
        <v>3</v>
      </c>
      <c r="G97" s="170">
        <v>7</v>
      </c>
      <c r="J97" s="170">
        <v>5</v>
      </c>
      <c r="K97" s="157">
        <v>22</v>
      </c>
      <c r="M97" s="170">
        <v>275</v>
      </c>
      <c r="N97" s="170">
        <v>63</v>
      </c>
      <c r="O97" s="155" t="s">
        <v>1519</v>
      </c>
      <c r="P97" s="155" t="s">
        <v>1497</v>
      </c>
      <c r="Q97" s="164" t="s">
        <v>1067</v>
      </c>
      <c r="R97" s="159" t="s">
        <v>2295</v>
      </c>
      <c r="S97" s="160">
        <v>170354.2372881356</v>
      </c>
      <c r="T97" s="166" t="s">
        <v>1002</v>
      </c>
      <c r="U97" s="172">
        <v>54</v>
      </c>
      <c r="V97" s="163" t="s">
        <v>2296</v>
      </c>
    </row>
    <row r="98" spans="1:22" x14ac:dyDescent="0.25">
      <c r="A98" s="164" t="s">
        <v>1070</v>
      </c>
      <c r="B98" s="170">
        <v>6</v>
      </c>
      <c r="C98" s="170">
        <v>16</v>
      </c>
      <c r="D98" s="170">
        <v>16</v>
      </c>
      <c r="E98" s="170">
        <v>1</v>
      </c>
      <c r="F98" s="170">
        <v>3</v>
      </c>
      <c r="G98" s="170">
        <v>7</v>
      </c>
      <c r="J98" s="170">
        <v>5</v>
      </c>
      <c r="K98" s="157">
        <v>30</v>
      </c>
      <c r="M98" s="170">
        <v>332</v>
      </c>
      <c r="N98" s="170">
        <v>63</v>
      </c>
      <c r="O98" s="155" t="s">
        <v>1519</v>
      </c>
      <c r="P98" s="155" t="s">
        <v>1497</v>
      </c>
      <c r="Q98" s="164" t="s">
        <v>1070</v>
      </c>
      <c r="R98" s="159" t="s">
        <v>2297</v>
      </c>
      <c r="S98" s="160">
        <v>174932.20338983051</v>
      </c>
      <c r="T98" s="166" t="s">
        <v>1002</v>
      </c>
      <c r="U98" s="172">
        <v>55</v>
      </c>
      <c r="V98" s="163" t="s">
        <v>2298</v>
      </c>
    </row>
    <row r="99" spans="1:22" x14ac:dyDescent="0.25">
      <c r="A99" s="164" t="s">
        <v>1115</v>
      </c>
      <c r="B99" s="170">
        <v>4</v>
      </c>
      <c r="C99" s="170">
        <v>8</v>
      </c>
      <c r="D99" s="170">
        <v>8</v>
      </c>
      <c r="E99" s="170"/>
      <c r="F99" s="170"/>
      <c r="G99" s="170"/>
      <c r="H99" s="170">
        <v>4</v>
      </c>
      <c r="I99" s="170">
        <v>4</v>
      </c>
      <c r="J99" s="170"/>
      <c r="K99" s="157">
        <v>5.5</v>
      </c>
      <c r="L99" s="155">
        <v>10</v>
      </c>
      <c r="M99" s="170">
        <v>77</v>
      </c>
      <c r="N99" s="157">
        <v>28</v>
      </c>
      <c r="O99" s="155" t="s">
        <v>1515</v>
      </c>
      <c r="Q99" s="164" t="s">
        <v>1115</v>
      </c>
      <c r="R99" s="159" t="s">
        <v>2299</v>
      </c>
      <c r="S99" s="160">
        <v>104900</v>
      </c>
      <c r="T99" s="166" t="s">
        <v>578</v>
      </c>
      <c r="U99" s="172">
        <v>44</v>
      </c>
      <c r="V99" s="163" t="s">
        <v>2300</v>
      </c>
    </row>
    <row r="100" spans="1:22" x14ac:dyDescent="0.25">
      <c r="A100" s="164" t="s">
        <v>1118</v>
      </c>
      <c r="B100" s="170">
        <v>4</v>
      </c>
      <c r="C100" s="170">
        <v>8</v>
      </c>
      <c r="D100" s="170">
        <v>8</v>
      </c>
      <c r="E100" s="170"/>
      <c r="F100" s="170"/>
      <c r="G100" s="170"/>
      <c r="H100" s="170">
        <v>4</v>
      </c>
      <c r="I100" s="170">
        <v>4</v>
      </c>
      <c r="J100" s="170"/>
      <c r="K100" s="157">
        <v>7.5</v>
      </c>
      <c r="L100" s="155">
        <v>13</v>
      </c>
      <c r="M100" s="170">
        <v>94</v>
      </c>
      <c r="N100" s="157">
        <v>28</v>
      </c>
      <c r="O100" s="155" t="s">
        <v>1515</v>
      </c>
      <c r="Q100" s="164" t="s">
        <v>1118</v>
      </c>
      <c r="R100" s="159" t="s">
        <v>2301</v>
      </c>
      <c r="S100" s="160">
        <v>108677.1186440678</v>
      </c>
      <c r="T100" s="166" t="s">
        <v>578</v>
      </c>
      <c r="U100" s="172">
        <v>44</v>
      </c>
      <c r="V100" s="163" t="s">
        <v>2302</v>
      </c>
    </row>
    <row r="101" spans="1:22" x14ac:dyDescent="0.25">
      <c r="A101" s="164" t="s">
        <v>1121</v>
      </c>
      <c r="B101" s="170">
        <v>4</v>
      </c>
      <c r="C101" s="170">
        <v>8</v>
      </c>
      <c r="D101" s="170">
        <v>8</v>
      </c>
      <c r="E101" s="170"/>
      <c r="F101" s="170"/>
      <c r="G101" s="170"/>
      <c r="H101" s="170">
        <v>4</v>
      </c>
      <c r="I101" s="170">
        <v>4</v>
      </c>
      <c r="J101" s="170"/>
      <c r="K101" s="157">
        <v>11</v>
      </c>
      <c r="L101" s="155">
        <v>16</v>
      </c>
      <c r="M101" s="170">
        <v>115</v>
      </c>
      <c r="N101" s="157">
        <v>28</v>
      </c>
      <c r="O101" s="155" t="s">
        <v>1515</v>
      </c>
      <c r="Q101" s="164" t="s">
        <v>1121</v>
      </c>
      <c r="R101" s="159" t="s">
        <v>2303</v>
      </c>
      <c r="S101" s="160">
        <v>119651.69491525424</v>
      </c>
      <c r="T101" s="166" t="s">
        <v>1002</v>
      </c>
      <c r="U101" s="172">
        <v>56</v>
      </c>
      <c r="V101" s="163" t="s">
        <v>2304</v>
      </c>
    </row>
    <row r="102" spans="1:22" x14ac:dyDescent="0.25">
      <c r="A102" s="164" t="s">
        <v>1124</v>
      </c>
      <c r="B102" s="170">
        <v>4</v>
      </c>
      <c r="C102" s="170">
        <v>8</v>
      </c>
      <c r="D102" s="170">
        <v>8</v>
      </c>
      <c r="E102" s="170"/>
      <c r="F102" s="170"/>
      <c r="G102" s="170"/>
      <c r="H102" s="170">
        <v>4</v>
      </c>
      <c r="I102" s="170">
        <v>4</v>
      </c>
      <c r="J102" s="170"/>
      <c r="K102" s="157">
        <v>15</v>
      </c>
      <c r="L102" s="155">
        <v>21</v>
      </c>
      <c r="M102" s="170">
        <v>142</v>
      </c>
      <c r="N102" s="157">
        <v>28</v>
      </c>
      <c r="O102" s="155" t="s">
        <v>1515</v>
      </c>
      <c r="Q102" s="164" t="s">
        <v>1124</v>
      </c>
      <c r="R102" s="159" t="s">
        <v>2305</v>
      </c>
      <c r="S102" s="160">
        <v>139260.16949152542</v>
      </c>
      <c r="T102" s="166" t="s">
        <v>1002</v>
      </c>
      <c r="U102" s="172">
        <v>56</v>
      </c>
      <c r="V102" s="163" t="s">
        <v>2306</v>
      </c>
    </row>
    <row r="103" spans="1:22" x14ac:dyDescent="0.25">
      <c r="A103" s="164" t="s">
        <v>1127</v>
      </c>
      <c r="B103" s="170">
        <v>4</v>
      </c>
      <c r="C103" s="170">
        <v>8</v>
      </c>
      <c r="D103" s="170">
        <v>8</v>
      </c>
      <c r="E103" s="170"/>
      <c r="F103" s="170"/>
      <c r="G103" s="170"/>
      <c r="H103" s="170">
        <v>4</v>
      </c>
      <c r="I103" s="170">
        <v>4</v>
      </c>
      <c r="J103" s="170"/>
      <c r="K103" s="157">
        <v>18.5</v>
      </c>
      <c r="L103" s="155">
        <v>26</v>
      </c>
      <c r="M103" s="170">
        <v>169</v>
      </c>
      <c r="N103" s="170">
        <v>40</v>
      </c>
      <c r="O103" s="155" t="s">
        <v>1515</v>
      </c>
      <c r="Q103" s="164" t="s">
        <v>1127</v>
      </c>
      <c r="R103" s="159" t="s">
        <v>2307</v>
      </c>
      <c r="S103" s="160">
        <v>149543.22033898305</v>
      </c>
      <c r="T103" s="166" t="s">
        <v>1002</v>
      </c>
      <c r="U103" s="172">
        <v>56</v>
      </c>
      <c r="V103" s="163" t="s">
        <v>2308</v>
      </c>
    </row>
    <row r="104" spans="1:22" x14ac:dyDescent="0.25">
      <c r="A104" s="164" t="s">
        <v>1130</v>
      </c>
      <c r="B104" s="170">
        <v>4</v>
      </c>
      <c r="C104" s="170">
        <v>8</v>
      </c>
      <c r="D104" s="170">
        <v>8</v>
      </c>
      <c r="E104" s="170"/>
      <c r="F104" s="170"/>
      <c r="G104" s="170"/>
      <c r="H104" s="170">
        <v>4</v>
      </c>
      <c r="I104" s="170">
        <v>4</v>
      </c>
      <c r="J104" s="170"/>
      <c r="K104" s="157">
        <v>22</v>
      </c>
      <c r="L104" s="155">
        <v>33</v>
      </c>
      <c r="M104" s="170">
        <v>218</v>
      </c>
      <c r="N104" s="170">
        <v>40</v>
      </c>
      <c r="O104" s="155" t="s">
        <v>1515</v>
      </c>
      <c r="Q104" s="164" t="s">
        <v>1130</v>
      </c>
      <c r="R104" s="159" t="s">
        <v>2309</v>
      </c>
      <c r="S104" s="160">
        <v>158755.93220338985</v>
      </c>
      <c r="T104" s="166" t="s">
        <v>1002</v>
      </c>
      <c r="U104" s="172">
        <v>58</v>
      </c>
      <c r="V104" s="163" t="s">
        <v>2310</v>
      </c>
    </row>
    <row r="105" spans="1:22" x14ac:dyDescent="0.25">
      <c r="A105" s="164" t="s">
        <v>1133</v>
      </c>
      <c r="B105" s="170">
        <v>4</v>
      </c>
      <c r="C105" s="170">
        <v>8</v>
      </c>
      <c r="D105" s="170">
        <v>8</v>
      </c>
      <c r="E105" s="170"/>
      <c r="F105" s="170"/>
      <c r="G105" s="170"/>
      <c r="H105" s="170">
        <v>4</v>
      </c>
      <c r="I105" s="170">
        <v>4</v>
      </c>
      <c r="J105" s="170"/>
      <c r="K105" s="157">
        <v>30</v>
      </c>
      <c r="L105" s="155">
        <v>41</v>
      </c>
      <c r="M105" s="170">
        <v>275</v>
      </c>
      <c r="N105" s="170">
        <v>40</v>
      </c>
      <c r="O105" s="155" t="s">
        <v>1515</v>
      </c>
      <c r="Q105" s="164" t="s">
        <v>1133</v>
      </c>
      <c r="R105" s="159" t="s">
        <v>2311</v>
      </c>
      <c r="S105" s="160">
        <v>235540.67796610171</v>
      </c>
      <c r="T105" s="166" t="s">
        <v>1135</v>
      </c>
      <c r="U105" s="172">
        <v>109</v>
      </c>
      <c r="V105" s="163" t="s">
        <v>2312</v>
      </c>
    </row>
    <row r="106" spans="1:22" x14ac:dyDescent="0.25">
      <c r="A106" s="164" t="s">
        <v>1137</v>
      </c>
      <c r="B106" s="170">
        <v>5</v>
      </c>
      <c r="C106" s="170">
        <v>12</v>
      </c>
      <c r="D106" s="170">
        <v>12</v>
      </c>
      <c r="E106" s="170"/>
      <c r="F106" s="170"/>
      <c r="G106" s="170"/>
      <c r="H106" s="170">
        <v>5</v>
      </c>
      <c r="I106" s="170">
        <v>5</v>
      </c>
      <c r="J106" s="170"/>
      <c r="K106" s="157">
        <v>5.5</v>
      </c>
      <c r="L106" s="155">
        <v>10</v>
      </c>
      <c r="M106" s="170">
        <v>98</v>
      </c>
      <c r="N106" s="157">
        <v>28</v>
      </c>
      <c r="O106" s="155" t="s">
        <v>1519</v>
      </c>
      <c r="Q106" s="164" t="s">
        <v>1137</v>
      </c>
      <c r="R106" s="159" t="s">
        <v>2313</v>
      </c>
      <c r="S106" s="160">
        <v>133710.16949152542</v>
      </c>
      <c r="T106" s="166" t="s">
        <v>1002</v>
      </c>
      <c r="U106" s="172">
        <v>61</v>
      </c>
      <c r="V106" s="163" t="s">
        <v>2314</v>
      </c>
    </row>
    <row r="107" spans="1:22" x14ac:dyDescent="0.25">
      <c r="A107" s="164" t="s">
        <v>1140</v>
      </c>
      <c r="B107" s="170">
        <v>5</v>
      </c>
      <c r="C107" s="170">
        <v>12</v>
      </c>
      <c r="D107" s="170">
        <v>12</v>
      </c>
      <c r="E107" s="170"/>
      <c r="F107" s="170"/>
      <c r="G107" s="170"/>
      <c r="H107" s="170">
        <v>5</v>
      </c>
      <c r="I107" s="170">
        <v>5</v>
      </c>
      <c r="J107" s="170"/>
      <c r="K107" s="157">
        <v>7.5</v>
      </c>
      <c r="L107" s="155">
        <v>13</v>
      </c>
      <c r="M107" s="170">
        <v>119</v>
      </c>
      <c r="N107" s="157">
        <v>28</v>
      </c>
      <c r="O107" s="155" t="s">
        <v>1519</v>
      </c>
      <c r="Q107" s="164" t="s">
        <v>1140</v>
      </c>
      <c r="R107" s="159" t="s">
        <v>2315</v>
      </c>
      <c r="S107" s="160">
        <v>137216.94915254239</v>
      </c>
      <c r="T107" s="166" t="s">
        <v>1002</v>
      </c>
      <c r="U107" s="172">
        <v>61</v>
      </c>
      <c r="V107" s="163" t="s">
        <v>2316</v>
      </c>
    </row>
    <row r="108" spans="1:22" x14ac:dyDescent="0.25">
      <c r="A108" s="164" t="s">
        <v>1143</v>
      </c>
      <c r="B108" s="170">
        <v>5</v>
      </c>
      <c r="C108" s="170">
        <v>12</v>
      </c>
      <c r="D108" s="170">
        <v>12</v>
      </c>
      <c r="E108" s="170"/>
      <c r="F108" s="170"/>
      <c r="G108" s="170"/>
      <c r="H108" s="170">
        <v>5</v>
      </c>
      <c r="I108" s="170">
        <v>5</v>
      </c>
      <c r="J108" s="170"/>
      <c r="K108" s="157">
        <v>11</v>
      </c>
      <c r="L108" s="155">
        <v>16</v>
      </c>
      <c r="M108" s="170">
        <v>139</v>
      </c>
      <c r="N108" s="157">
        <v>28</v>
      </c>
      <c r="O108" s="155" t="s">
        <v>1519</v>
      </c>
      <c r="Q108" s="164" t="s">
        <v>1143</v>
      </c>
      <c r="R108" s="159" t="s">
        <v>2317</v>
      </c>
      <c r="S108" s="160">
        <v>158910.16949152542</v>
      </c>
      <c r="T108" s="166" t="s">
        <v>1002</v>
      </c>
      <c r="U108" s="172">
        <v>61</v>
      </c>
      <c r="V108" s="163" t="s">
        <v>2318</v>
      </c>
    </row>
    <row r="109" spans="1:22" x14ac:dyDescent="0.25">
      <c r="A109" s="164" t="s">
        <v>1146</v>
      </c>
      <c r="B109" s="170">
        <v>5</v>
      </c>
      <c r="C109" s="170">
        <v>12</v>
      </c>
      <c r="D109" s="170">
        <v>12</v>
      </c>
      <c r="E109" s="170"/>
      <c r="F109" s="170"/>
      <c r="G109" s="170"/>
      <c r="H109" s="170">
        <v>5</v>
      </c>
      <c r="I109" s="170">
        <v>5</v>
      </c>
      <c r="J109" s="170"/>
      <c r="K109" s="157">
        <v>15</v>
      </c>
      <c r="L109" s="155">
        <v>21</v>
      </c>
      <c r="M109" s="170">
        <v>169</v>
      </c>
      <c r="N109" s="157">
        <v>28</v>
      </c>
      <c r="O109" s="155" t="s">
        <v>1519</v>
      </c>
      <c r="Q109" s="164" t="s">
        <v>1146</v>
      </c>
      <c r="R109" s="159" t="s">
        <v>2319</v>
      </c>
      <c r="S109" s="160">
        <v>167837.28813559323</v>
      </c>
      <c r="T109" s="166" t="s">
        <v>1002</v>
      </c>
      <c r="U109" s="172">
        <v>63</v>
      </c>
      <c r="V109" s="163" t="s">
        <v>2320</v>
      </c>
    </row>
    <row r="110" spans="1:22" x14ac:dyDescent="0.25">
      <c r="A110" s="164" t="s">
        <v>1149</v>
      </c>
      <c r="B110" s="170">
        <v>5</v>
      </c>
      <c r="C110" s="170">
        <v>12</v>
      </c>
      <c r="D110" s="170">
        <v>12</v>
      </c>
      <c r="E110" s="170"/>
      <c r="F110" s="170"/>
      <c r="G110" s="170"/>
      <c r="H110" s="170">
        <v>5</v>
      </c>
      <c r="I110" s="170">
        <v>5</v>
      </c>
      <c r="J110" s="170"/>
      <c r="K110" s="157">
        <v>18.5</v>
      </c>
      <c r="L110" s="155">
        <v>26</v>
      </c>
      <c r="M110" s="170">
        <v>216</v>
      </c>
      <c r="N110" s="170">
        <v>40</v>
      </c>
      <c r="O110" s="155" t="s">
        <v>1519</v>
      </c>
      <c r="Q110" s="164" t="s">
        <v>1149</v>
      </c>
      <c r="R110" s="159" t="s">
        <v>2321</v>
      </c>
      <c r="S110" s="160">
        <v>183191.52542372883</v>
      </c>
      <c r="T110" s="166" t="s">
        <v>1002</v>
      </c>
      <c r="U110" s="172">
        <v>65</v>
      </c>
      <c r="V110" s="163" t="s">
        <v>2322</v>
      </c>
    </row>
    <row r="111" spans="1:22" x14ac:dyDescent="0.25">
      <c r="A111" s="164" t="s">
        <v>1152</v>
      </c>
      <c r="B111" s="170">
        <v>5</v>
      </c>
      <c r="C111" s="170">
        <v>12</v>
      </c>
      <c r="D111" s="170">
        <v>12</v>
      </c>
      <c r="E111" s="170"/>
      <c r="F111" s="170"/>
      <c r="G111" s="170"/>
      <c r="H111" s="170">
        <v>5</v>
      </c>
      <c r="I111" s="170">
        <v>5</v>
      </c>
      <c r="J111" s="170"/>
      <c r="K111" s="157">
        <v>22</v>
      </c>
      <c r="L111" s="155">
        <v>33</v>
      </c>
      <c r="M111" s="170">
        <v>274</v>
      </c>
      <c r="N111" s="170">
        <v>40</v>
      </c>
      <c r="O111" s="155" t="s">
        <v>1519</v>
      </c>
      <c r="Q111" s="164" t="s">
        <v>1152</v>
      </c>
      <c r="R111" s="159" t="s">
        <v>2323</v>
      </c>
      <c r="S111" s="160">
        <v>258307.62711864407</v>
      </c>
      <c r="T111" s="166" t="s">
        <v>1135</v>
      </c>
      <c r="U111" s="172">
        <v>113</v>
      </c>
      <c r="V111" s="163" t="s">
        <v>2324</v>
      </c>
    </row>
    <row r="112" spans="1:22" x14ac:dyDescent="0.25">
      <c r="A112" s="164" t="s">
        <v>1155</v>
      </c>
      <c r="B112" s="170">
        <v>5</v>
      </c>
      <c r="C112" s="170">
        <v>12</v>
      </c>
      <c r="D112" s="170">
        <v>12</v>
      </c>
      <c r="E112" s="170"/>
      <c r="F112" s="170"/>
      <c r="G112" s="170"/>
      <c r="H112" s="170">
        <v>5</v>
      </c>
      <c r="I112" s="170">
        <v>5</v>
      </c>
      <c r="J112" s="170"/>
      <c r="K112" s="157">
        <v>30</v>
      </c>
      <c r="L112" s="155">
        <v>41</v>
      </c>
      <c r="M112" s="170">
        <v>337</v>
      </c>
      <c r="N112" s="170">
        <v>40</v>
      </c>
      <c r="O112" s="155" t="s">
        <v>1519</v>
      </c>
      <c r="Q112" s="164" t="s">
        <v>1155</v>
      </c>
      <c r="R112" s="159" t="s">
        <v>2325</v>
      </c>
      <c r="S112" s="160">
        <v>270609.32203389832</v>
      </c>
      <c r="T112" s="166" t="s">
        <v>1135</v>
      </c>
      <c r="U112" s="172">
        <v>115</v>
      </c>
      <c r="V112" s="163" t="s">
        <v>2326</v>
      </c>
    </row>
    <row r="113" spans="1:22" x14ac:dyDescent="0.25">
      <c r="A113" s="164" t="s">
        <v>1158</v>
      </c>
      <c r="B113" s="170">
        <v>6</v>
      </c>
      <c r="C113" s="170">
        <v>16</v>
      </c>
      <c r="D113" s="170">
        <v>16</v>
      </c>
      <c r="E113" s="170"/>
      <c r="F113" s="170"/>
      <c r="G113" s="170"/>
      <c r="H113" s="170">
        <v>8</v>
      </c>
      <c r="I113" s="170">
        <v>6</v>
      </c>
      <c r="J113" s="170"/>
      <c r="K113" s="157">
        <v>5.5</v>
      </c>
      <c r="L113" s="155">
        <v>10</v>
      </c>
      <c r="M113" s="170">
        <v>118</v>
      </c>
      <c r="N113" s="157">
        <v>28</v>
      </c>
      <c r="O113" s="155" t="s">
        <v>1519</v>
      </c>
      <c r="P113" s="155" t="s">
        <v>1497</v>
      </c>
      <c r="Q113" s="164" t="s">
        <v>1158</v>
      </c>
      <c r="R113" s="159" t="s">
        <v>2327</v>
      </c>
      <c r="S113" s="160">
        <v>160178.81355932204</v>
      </c>
      <c r="T113" s="166" t="s">
        <v>1002</v>
      </c>
      <c r="U113" s="172">
        <v>69</v>
      </c>
      <c r="V113" s="163" t="s">
        <v>2314</v>
      </c>
    </row>
    <row r="114" spans="1:22" x14ac:dyDescent="0.25">
      <c r="A114" s="164" t="s">
        <v>1161</v>
      </c>
      <c r="B114" s="170">
        <v>6</v>
      </c>
      <c r="C114" s="170">
        <v>16</v>
      </c>
      <c r="D114" s="170">
        <v>16</v>
      </c>
      <c r="E114" s="170"/>
      <c r="F114" s="170"/>
      <c r="G114" s="170"/>
      <c r="H114" s="170">
        <v>8</v>
      </c>
      <c r="I114" s="170">
        <v>6</v>
      </c>
      <c r="J114" s="170"/>
      <c r="K114" s="157">
        <v>7.5</v>
      </c>
      <c r="L114" s="155">
        <v>13</v>
      </c>
      <c r="M114" s="170">
        <v>139</v>
      </c>
      <c r="N114" s="157">
        <v>28</v>
      </c>
      <c r="O114" s="155" t="s">
        <v>1519</v>
      </c>
      <c r="P114" s="155" t="s">
        <v>1497</v>
      </c>
      <c r="Q114" s="164" t="s">
        <v>1161</v>
      </c>
      <c r="R114" s="159" t="s">
        <v>2328</v>
      </c>
      <c r="S114" s="160">
        <v>176739.83050847458</v>
      </c>
      <c r="T114" s="166" t="s">
        <v>1163</v>
      </c>
      <c r="U114" s="172">
        <v>75</v>
      </c>
      <c r="V114" s="163" t="s">
        <v>2329</v>
      </c>
    </row>
    <row r="115" spans="1:22" x14ac:dyDescent="0.25">
      <c r="A115" s="164" t="s">
        <v>1165</v>
      </c>
      <c r="B115" s="170">
        <v>6</v>
      </c>
      <c r="C115" s="170">
        <v>16</v>
      </c>
      <c r="D115" s="170">
        <v>16</v>
      </c>
      <c r="H115" s="170">
        <v>8</v>
      </c>
      <c r="I115" s="170">
        <v>6</v>
      </c>
      <c r="K115" s="157">
        <v>11</v>
      </c>
      <c r="L115" s="155">
        <v>16</v>
      </c>
      <c r="M115" s="170">
        <v>169</v>
      </c>
      <c r="N115" s="157">
        <v>28</v>
      </c>
      <c r="O115" s="155" t="s">
        <v>1519</v>
      </c>
      <c r="P115" s="155" t="s">
        <v>1497</v>
      </c>
      <c r="Q115" s="164" t="s">
        <v>1165</v>
      </c>
      <c r="R115" s="159" t="s">
        <v>2330</v>
      </c>
      <c r="S115" s="160">
        <v>186132.20338983051</v>
      </c>
      <c r="T115" s="166" t="s">
        <v>1163</v>
      </c>
      <c r="U115" s="172">
        <v>79</v>
      </c>
      <c r="V115" s="163" t="s">
        <v>2331</v>
      </c>
    </row>
    <row r="116" spans="1:22" x14ac:dyDescent="0.25">
      <c r="A116" s="164" t="s">
        <v>1168</v>
      </c>
      <c r="B116" s="170">
        <v>6</v>
      </c>
      <c r="C116" s="170">
        <v>16</v>
      </c>
      <c r="D116" s="170">
        <v>16</v>
      </c>
      <c r="H116" s="170">
        <v>8</v>
      </c>
      <c r="I116" s="170">
        <v>6</v>
      </c>
      <c r="K116" s="157">
        <v>15</v>
      </c>
      <c r="L116" s="155">
        <v>21</v>
      </c>
      <c r="M116" s="170">
        <v>210</v>
      </c>
      <c r="N116" s="157">
        <v>28</v>
      </c>
      <c r="O116" s="155" t="s">
        <v>1519</v>
      </c>
      <c r="P116" s="155" t="s">
        <v>1497</v>
      </c>
      <c r="Q116" s="164" t="s">
        <v>1168</v>
      </c>
      <c r="R116" s="159" t="s">
        <v>2332</v>
      </c>
      <c r="S116" s="160">
        <v>196785.59322033898</v>
      </c>
      <c r="T116" s="166" t="s">
        <v>1163</v>
      </c>
      <c r="U116" s="172">
        <v>77</v>
      </c>
      <c r="V116" s="163" t="s">
        <v>2333</v>
      </c>
    </row>
    <row r="117" spans="1:22" x14ac:dyDescent="0.25">
      <c r="A117" s="164" t="s">
        <v>1171</v>
      </c>
      <c r="B117" s="170">
        <v>6</v>
      </c>
      <c r="C117" s="170">
        <v>16</v>
      </c>
      <c r="D117" s="170">
        <v>16</v>
      </c>
      <c r="H117" s="170">
        <v>8</v>
      </c>
      <c r="I117" s="170">
        <v>6</v>
      </c>
      <c r="K117" s="157">
        <v>18.5</v>
      </c>
      <c r="L117" s="155">
        <v>26</v>
      </c>
      <c r="M117" s="170">
        <v>245</v>
      </c>
      <c r="N117" s="170">
        <v>63</v>
      </c>
      <c r="O117" s="155" t="s">
        <v>1519</v>
      </c>
      <c r="P117" s="155" t="s">
        <v>1497</v>
      </c>
      <c r="Q117" s="164" t="s">
        <v>1171</v>
      </c>
      <c r="R117" s="159" t="s">
        <v>2334</v>
      </c>
      <c r="S117" s="160">
        <v>214138.13559322036</v>
      </c>
      <c r="T117" s="166" t="s">
        <v>1163</v>
      </c>
      <c r="U117" s="172">
        <v>79</v>
      </c>
      <c r="V117" s="163" t="s">
        <v>2335</v>
      </c>
    </row>
    <row r="118" spans="1:22" x14ac:dyDescent="0.25">
      <c r="A118" s="164" t="s">
        <v>1174</v>
      </c>
      <c r="B118" s="170">
        <v>6</v>
      </c>
      <c r="C118" s="170">
        <v>16</v>
      </c>
      <c r="D118" s="170">
        <v>16</v>
      </c>
      <c r="H118" s="170">
        <v>8</v>
      </c>
      <c r="I118" s="170">
        <v>6</v>
      </c>
      <c r="K118" s="157">
        <v>22</v>
      </c>
      <c r="L118" s="155">
        <v>33</v>
      </c>
      <c r="M118" s="170">
        <v>315</v>
      </c>
      <c r="N118" s="170">
        <v>63</v>
      </c>
      <c r="O118" s="155" t="s">
        <v>1519</v>
      </c>
      <c r="P118" s="155" t="s">
        <v>1497</v>
      </c>
      <c r="Q118" s="164" t="s">
        <v>1174</v>
      </c>
      <c r="R118" s="159" t="s">
        <v>2336</v>
      </c>
      <c r="S118" s="160">
        <v>307907.62711864407</v>
      </c>
      <c r="T118" s="166" t="s">
        <v>1176</v>
      </c>
      <c r="U118" s="172">
        <v>122</v>
      </c>
      <c r="V118" s="163" t="s">
        <v>2337</v>
      </c>
    </row>
    <row r="119" spans="1:22" x14ac:dyDescent="0.25">
      <c r="A119" s="164" t="s">
        <v>1178</v>
      </c>
      <c r="B119" s="170">
        <v>6</v>
      </c>
      <c r="C119" s="170">
        <v>16</v>
      </c>
      <c r="D119" s="170">
        <v>16</v>
      </c>
      <c r="H119" s="170">
        <v>8</v>
      </c>
      <c r="I119" s="170">
        <v>6</v>
      </c>
      <c r="K119" s="157">
        <v>30</v>
      </c>
      <c r="L119" s="155">
        <v>41</v>
      </c>
      <c r="M119" s="170">
        <v>389</v>
      </c>
      <c r="N119" s="170">
        <v>63</v>
      </c>
      <c r="O119" s="155" t="s">
        <v>1519</v>
      </c>
      <c r="P119" s="155" t="s">
        <v>1497</v>
      </c>
      <c r="Q119" s="164" t="s">
        <v>1178</v>
      </c>
      <c r="R119" s="159" t="s">
        <v>2338</v>
      </c>
      <c r="S119" s="160">
        <v>325074.57627118647</v>
      </c>
      <c r="T119" s="166" t="s">
        <v>1176</v>
      </c>
      <c r="U119" s="172">
        <v>123</v>
      </c>
      <c r="V119" s="163" t="s">
        <v>2339</v>
      </c>
    </row>
    <row r="122" spans="1:22" x14ac:dyDescent="0.25">
      <c r="A122" s="154" t="s">
        <v>2340</v>
      </c>
    </row>
    <row r="123" spans="1:22" x14ac:dyDescent="0.25">
      <c r="A123" s="173" t="s">
        <v>2341</v>
      </c>
    </row>
    <row r="124" spans="1:22" x14ac:dyDescent="0.25">
      <c r="A124" s="173" t="s">
        <v>2342</v>
      </c>
    </row>
    <row r="125" spans="1:22" x14ac:dyDescent="0.25">
      <c r="A125" s="173" t="s">
        <v>2343</v>
      </c>
    </row>
    <row r="126" spans="1:22" x14ac:dyDescent="0.25">
      <c r="A126" s="173" t="s">
        <v>2344</v>
      </c>
    </row>
    <row r="127" spans="1:22" x14ac:dyDescent="0.25">
      <c r="A127" s="173" t="s">
        <v>2345</v>
      </c>
    </row>
    <row r="128" spans="1:22" x14ac:dyDescent="0.25">
      <c r="A128" s="173" t="s">
        <v>2346</v>
      </c>
    </row>
    <row r="129" spans="1:1" x14ac:dyDescent="0.25">
      <c r="A129" s="173" t="s">
        <v>2347</v>
      </c>
    </row>
    <row r="130" spans="1:1" x14ac:dyDescent="0.25">
      <c r="A130" s="173" t="s">
        <v>2348</v>
      </c>
    </row>
    <row r="131" spans="1:1" x14ac:dyDescent="0.25">
      <c r="A131" s="173" t="s">
        <v>2349</v>
      </c>
    </row>
    <row r="132" spans="1:1" x14ac:dyDescent="0.25">
      <c r="A132" s="174" t="s">
        <v>2350</v>
      </c>
    </row>
    <row r="133" spans="1:1" x14ac:dyDescent="0.25">
      <c r="A133" s="173" t="s">
        <v>2351</v>
      </c>
    </row>
    <row r="134" spans="1:1" x14ac:dyDescent="0.25">
      <c r="A134" s="173" t="s">
        <v>2352</v>
      </c>
    </row>
    <row r="136" spans="1:1" x14ac:dyDescent="0.25">
      <c r="A136" s="175">
        <v>42741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S98"/>
  <sheetViews>
    <sheetView topLeftCell="A45" workbookViewId="0">
      <selection activeCell="C57" sqref="C57"/>
    </sheetView>
  </sheetViews>
  <sheetFormatPr defaultRowHeight="15" x14ac:dyDescent="0.25"/>
  <cols>
    <col min="1" max="1" width="21.140625" bestFit="1" customWidth="1"/>
    <col min="2" max="2" width="78.42578125" bestFit="1" customWidth="1"/>
    <col min="3" max="3" width="12.42578125" bestFit="1" customWidth="1"/>
    <col min="4" max="5" width="4" bestFit="1" customWidth="1"/>
    <col min="6" max="6" width="28.42578125" customWidth="1"/>
    <col min="7" max="8" width="28.28515625" bestFit="1" customWidth="1"/>
    <col min="9" max="9" width="27.5703125" bestFit="1" customWidth="1"/>
    <col min="10" max="10" width="13.7109375" bestFit="1" customWidth="1"/>
    <col min="11" max="11" width="9.140625" customWidth="1"/>
    <col min="12" max="12" width="15" bestFit="1" customWidth="1"/>
    <col min="13" max="14" width="9.140625" customWidth="1"/>
    <col min="15" max="15" width="9.28515625" style="237" bestFit="1" customWidth="1"/>
    <col min="16" max="16" width="10.42578125" style="238" bestFit="1" customWidth="1"/>
    <col min="17" max="17" width="7.140625" style="238" bestFit="1" customWidth="1"/>
  </cols>
  <sheetData>
    <row r="1" spans="1:17" x14ac:dyDescent="0.25">
      <c r="F1" s="11"/>
      <c r="G1" s="11"/>
      <c r="H1" s="10"/>
    </row>
    <row r="3" spans="1:17" ht="30" x14ac:dyDescent="0.25">
      <c r="A3" s="1"/>
      <c r="B3" s="1"/>
      <c r="C3" s="8"/>
      <c r="D3" s="8"/>
      <c r="E3" s="2" t="s">
        <v>130</v>
      </c>
      <c r="F3" s="2" t="s">
        <v>129</v>
      </c>
      <c r="G3" s="5" t="s">
        <v>76</v>
      </c>
      <c r="H3" s="1" t="s">
        <v>75</v>
      </c>
      <c r="I3" s="1" t="s">
        <v>74</v>
      </c>
      <c r="O3" s="2" t="s">
        <v>2496</v>
      </c>
      <c r="P3" s="241" t="s">
        <v>2497</v>
      </c>
      <c r="Q3" s="241" t="s">
        <v>2498</v>
      </c>
    </row>
    <row r="4" spans="1:17" x14ac:dyDescent="0.25">
      <c r="A4" s="1" t="s">
        <v>128</v>
      </c>
      <c r="B4" s="1" t="s">
        <v>127</v>
      </c>
      <c r="C4" s="8">
        <v>40168</v>
      </c>
      <c r="D4" s="9">
        <v>20</v>
      </c>
      <c r="E4" s="2">
        <v>2.5</v>
      </c>
      <c r="F4" s="4" t="s">
        <v>71</v>
      </c>
      <c r="G4" s="5" t="s">
        <v>69</v>
      </c>
      <c r="H4" s="1" t="s">
        <v>68</v>
      </c>
      <c r="I4" s="1" t="s">
        <v>2500</v>
      </c>
      <c r="J4" s="46" t="s">
        <v>2538</v>
      </c>
      <c r="K4" s="12"/>
      <c r="L4" s="46" t="s">
        <v>1662</v>
      </c>
      <c r="O4" s="237">
        <v>1</v>
      </c>
      <c r="P4" s="238">
        <v>0.21</v>
      </c>
      <c r="Q4" s="238">
        <v>1</v>
      </c>
    </row>
    <row r="5" spans="1:17" x14ac:dyDescent="0.25">
      <c r="A5" s="1" t="s">
        <v>126</v>
      </c>
      <c r="B5" s="1" t="s">
        <v>125</v>
      </c>
      <c r="C5" s="8">
        <v>40168</v>
      </c>
      <c r="D5" s="9">
        <v>20</v>
      </c>
      <c r="E5" s="2">
        <v>4</v>
      </c>
      <c r="F5" s="4" t="s">
        <v>71</v>
      </c>
      <c r="G5" s="5" t="s">
        <v>69</v>
      </c>
      <c r="H5" s="1" t="s">
        <v>68</v>
      </c>
      <c r="I5" s="1" t="s">
        <v>2500</v>
      </c>
      <c r="J5" s="46" t="s">
        <v>2540</v>
      </c>
      <c r="K5" s="12"/>
      <c r="L5" s="46" t="s">
        <v>1662</v>
      </c>
      <c r="O5" s="237">
        <v>1</v>
      </c>
      <c r="P5" s="238">
        <v>0.21</v>
      </c>
      <c r="Q5" s="238">
        <v>1</v>
      </c>
    </row>
    <row r="6" spans="1:17" x14ac:dyDescent="0.25">
      <c r="A6" s="1" t="s">
        <v>124</v>
      </c>
      <c r="B6" s="1" t="s">
        <v>123</v>
      </c>
      <c r="C6" s="8">
        <v>40230</v>
      </c>
      <c r="D6" s="9">
        <v>20</v>
      </c>
      <c r="E6" s="2">
        <v>6.3</v>
      </c>
      <c r="F6" s="4" t="s">
        <v>71</v>
      </c>
      <c r="G6" s="5" t="s">
        <v>69</v>
      </c>
      <c r="H6" s="1" t="s">
        <v>2499</v>
      </c>
      <c r="I6" s="1" t="s">
        <v>2500</v>
      </c>
      <c r="J6" s="46" t="s">
        <v>2542</v>
      </c>
      <c r="K6" s="12"/>
      <c r="L6" s="46" t="s">
        <v>1662</v>
      </c>
      <c r="O6" s="237">
        <v>1</v>
      </c>
      <c r="P6" s="238">
        <v>0.21</v>
      </c>
      <c r="Q6" s="238">
        <v>1</v>
      </c>
    </row>
    <row r="7" spans="1:17" x14ac:dyDescent="0.25">
      <c r="A7" s="1" t="s">
        <v>122</v>
      </c>
      <c r="B7" s="1" t="s">
        <v>121</v>
      </c>
      <c r="C7" s="8">
        <v>40349</v>
      </c>
      <c r="D7" s="9">
        <v>20</v>
      </c>
      <c r="E7" s="2">
        <v>2.5</v>
      </c>
      <c r="F7" s="4" t="s">
        <v>65</v>
      </c>
      <c r="G7" s="5" t="s">
        <v>63</v>
      </c>
      <c r="H7" s="1" t="s">
        <v>62</v>
      </c>
      <c r="I7" s="1" t="s">
        <v>61</v>
      </c>
      <c r="J7" s="46" t="s">
        <v>2538</v>
      </c>
      <c r="K7" s="12"/>
      <c r="L7" s="46" t="s">
        <v>1662</v>
      </c>
      <c r="O7" s="237">
        <v>1</v>
      </c>
      <c r="P7" s="238">
        <v>0.21</v>
      </c>
      <c r="Q7" s="238">
        <v>1</v>
      </c>
    </row>
    <row r="8" spans="1:17" x14ac:dyDescent="0.25">
      <c r="A8" s="1" t="s">
        <v>120</v>
      </c>
      <c r="B8" s="1" t="s">
        <v>119</v>
      </c>
      <c r="C8" s="8">
        <v>40349</v>
      </c>
      <c r="D8" s="9">
        <v>20</v>
      </c>
      <c r="E8" s="2">
        <v>4</v>
      </c>
      <c r="F8" s="4" t="s">
        <v>65</v>
      </c>
      <c r="G8" s="5" t="s">
        <v>63</v>
      </c>
      <c r="H8" s="1" t="s">
        <v>62</v>
      </c>
      <c r="I8" s="1" t="s">
        <v>61</v>
      </c>
      <c r="J8" s="46" t="s">
        <v>2540</v>
      </c>
      <c r="K8" s="12"/>
      <c r="L8" s="46" t="s">
        <v>1662</v>
      </c>
      <c r="O8" s="237">
        <v>1</v>
      </c>
      <c r="P8" s="238">
        <v>0.21</v>
      </c>
      <c r="Q8" s="238">
        <v>1</v>
      </c>
    </row>
    <row r="9" spans="1:17" x14ac:dyDescent="0.25">
      <c r="A9" s="1" t="s">
        <v>118</v>
      </c>
      <c r="B9" s="1" t="s">
        <v>117</v>
      </c>
      <c r="C9" s="8">
        <v>40411</v>
      </c>
      <c r="D9" s="9">
        <v>20</v>
      </c>
      <c r="E9" s="2">
        <v>6.3</v>
      </c>
      <c r="F9" s="4" t="s">
        <v>65</v>
      </c>
      <c r="G9" s="5" t="s">
        <v>63</v>
      </c>
      <c r="H9" s="1" t="s">
        <v>62</v>
      </c>
      <c r="I9" s="1" t="s">
        <v>61</v>
      </c>
      <c r="J9" s="46" t="s">
        <v>2542</v>
      </c>
      <c r="K9" s="12"/>
      <c r="L9" s="46" t="s">
        <v>1662</v>
      </c>
      <c r="O9" s="237">
        <v>1</v>
      </c>
      <c r="P9" s="238">
        <v>0.21</v>
      </c>
      <c r="Q9" s="238">
        <v>1</v>
      </c>
    </row>
    <row r="10" spans="1:17" x14ac:dyDescent="0.25">
      <c r="A10" s="1" t="s">
        <v>116</v>
      </c>
      <c r="B10" s="1" t="s">
        <v>115</v>
      </c>
      <c r="C10" s="8">
        <v>48747</v>
      </c>
      <c r="D10" s="9">
        <v>25</v>
      </c>
      <c r="E10" s="2">
        <v>6.3</v>
      </c>
      <c r="F10" s="4" t="s">
        <v>58</v>
      </c>
      <c r="G10" s="5" t="s">
        <v>2744</v>
      </c>
      <c r="H10" s="1" t="s">
        <v>56</v>
      </c>
      <c r="I10" s="1" t="s">
        <v>55</v>
      </c>
      <c r="J10" s="46" t="s">
        <v>2542</v>
      </c>
      <c r="K10" s="12"/>
      <c r="L10" s="46" t="s">
        <v>1662</v>
      </c>
      <c r="O10" s="237">
        <v>1</v>
      </c>
      <c r="P10" s="238">
        <v>0.21</v>
      </c>
      <c r="Q10" s="238">
        <v>1</v>
      </c>
    </row>
    <row r="11" spans="1:17" x14ac:dyDescent="0.25">
      <c r="A11" s="1" t="s">
        <v>114</v>
      </c>
      <c r="B11" s="1" t="s">
        <v>113</v>
      </c>
      <c r="C11" s="8">
        <v>51600</v>
      </c>
      <c r="D11" s="9">
        <v>25</v>
      </c>
      <c r="E11" s="2">
        <v>10</v>
      </c>
      <c r="F11" s="4" t="s">
        <v>58</v>
      </c>
      <c r="G11" s="5" t="s">
        <v>2744</v>
      </c>
      <c r="H11" s="1" t="s">
        <v>56</v>
      </c>
      <c r="I11" s="1" t="s">
        <v>55</v>
      </c>
      <c r="J11" s="46" t="s">
        <v>2544</v>
      </c>
      <c r="K11" s="12"/>
      <c r="L11" s="46" t="s">
        <v>1666</v>
      </c>
      <c r="O11" s="237">
        <v>1</v>
      </c>
      <c r="P11" s="238">
        <v>0.21</v>
      </c>
      <c r="Q11" s="238">
        <v>1</v>
      </c>
    </row>
    <row r="12" spans="1:17" x14ac:dyDescent="0.25">
      <c r="A12" s="1" t="s">
        <v>112</v>
      </c>
      <c r="B12" s="1" t="s">
        <v>111</v>
      </c>
      <c r="C12" s="8">
        <v>55457</v>
      </c>
      <c r="D12" s="9">
        <v>25</v>
      </c>
      <c r="E12" s="2">
        <v>16</v>
      </c>
      <c r="F12" s="4" t="s">
        <v>58</v>
      </c>
      <c r="G12" s="5" t="s">
        <v>2744</v>
      </c>
      <c r="H12" s="1" t="s">
        <v>56</v>
      </c>
      <c r="I12" s="1" t="s">
        <v>55</v>
      </c>
      <c r="J12" s="46" t="s">
        <v>2546</v>
      </c>
      <c r="K12" s="12"/>
      <c r="L12" s="46" t="s">
        <v>1666</v>
      </c>
      <c r="O12" s="237">
        <v>1</v>
      </c>
      <c r="P12" s="238">
        <v>0.21</v>
      </c>
      <c r="Q12" s="238">
        <v>1</v>
      </c>
    </row>
    <row r="13" spans="1:17" x14ac:dyDescent="0.25">
      <c r="A13" s="1" t="s">
        <v>110</v>
      </c>
      <c r="B13" s="1" t="s">
        <v>109</v>
      </c>
      <c r="C13" s="8">
        <v>61475</v>
      </c>
      <c r="D13" s="9">
        <v>25</v>
      </c>
      <c r="E13" s="2">
        <v>6.3</v>
      </c>
      <c r="F13" s="4" t="s">
        <v>53</v>
      </c>
      <c r="G13" s="5" t="s">
        <v>49</v>
      </c>
      <c r="H13" s="1" t="s">
        <v>48</v>
      </c>
      <c r="I13" s="1" t="s">
        <v>47</v>
      </c>
      <c r="J13" s="46" t="s">
        <v>2544</v>
      </c>
      <c r="K13" s="12"/>
      <c r="L13" s="46" t="s">
        <v>1666</v>
      </c>
      <c r="O13" s="237">
        <v>1</v>
      </c>
      <c r="P13" s="238">
        <v>0.21</v>
      </c>
      <c r="Q13" s="238">
        <v>1</v>
      </c>
    </row>
    <row r="14" spans="1:17" x14ac:dyDescent="0.25">
      <c r="A14" s="1" t="s">
        <v>108</v>
      </c>
      <c r="B14" s="1" t="s">
        <v>107</v>
      </c>
      <c r="C14" s="8">
        <v>64479</v>
      </c>
      <c r="D14" s="9">
        <v>25</v>
      </c>
      <c r="E14" s="2">
        <v>10</v>
      </c>
      <c r="F14" s="4" t="s">
        <v>53</v>
      </c>
      <c r="G14" s="5" t="s">
        <v>49</v>
      </c>
      <c r="H14" s="1" t="s">
        <v>48</v>
      </c>
      <c r="I14" s="1" t="s">
        <v>47</v>
      </c>
      <c r="J14" s="46" t="s">
        <v>2546</v>
      </c>
      <c r="K14" s="12"/>
      <c r="L14" s="46" t="s">
        <v>1666</v>
      </c>
      <c r="O14" s="237">
        <v>1</v>
      </c>
      <c r="P14" s="238">
        <v>0.21</v>
      </c>
      <c r="Q14" s="238">
        <v>1</v>
      </c>
    </row>
    <row r="15" spans="1:17" x14ac:dyDescent="0.25">
      <c r="A15" s="1" t="s">
        <v>106</v>
      </c>
      <c r="B15" s="1" t="s">
        <v>105</v>
      </c>
      <c r="C15" s="8">
        <v>76496</v>
      </c>
      <c r="D15" s="9">
        <v>32</v>
      </c>
      <c r="E15" s="2">
        <v>16</v>
      </c>
      <c r="F15" s="4" t="s">
        <v>51</v>
      </c>
      <c r="G15" s="5" t="s">
        <v>49</v>
      </c>
      <c r="H15" s="1" t="s">
        <v>48</v>
      </c>
      <c r="I15" s="1" t="s">
        <v>47</v>
      </c>
      <c r="J15" s="46" t="s">
        <v>2548</v>
      </c>
      <c r="K15" s="12"/>
      <c r="L15" s="46" t="s">
        <v>1666</v>
      </c>
      <c r="O15" s="237">
        <v>1</v>
      </c>
      <c r="P15" s="238">
        <v>0.21</v>
      </c>
      <c r="Q15" s="238">
        <v>1</v>
      </c>
    </row>
    <row r="16" spans="1:17" x14ac:dyDescent="0.25">
      <c r="A16" s="1" t="s">
        <v>104</v>
      </c>
      <c r="B16" s="1" t="s">
        <v>103</v>
      </c>
      <c r="C16" s="8">
        <v>75834</v>
      </c>
      <c r="D16" s="9">
        <v>32</v>
      </c>
      <c r="E16" s="2">
        <v>10</v>
      </c>
      <c r="F16" s="4" t="s">
        <v>44</v>
      </c>
      <c r="G16" s="5" t="s">
        <v>42</v>
      </c>
      <c r="H16" s="1" t="s">
        <v>41</v>
      </c>
      <c r="I16" s="1" t="s">
        <v>40</v>
      </c>
      <c r="J16" s="46" t="s">
        <v>2546</v>
      </c>
      <c r="K16" s="12"/>
      <c r="L16" s="46" t="s">
        <v>1666</v>
      </c>
      <c r="O16" s="237">
        <v>1</v>
      </c>
      <c r="P16" s="238">
        <v>0.21</v>
      </c>
      <c r="Q16" s="238">
        <v>1</v>
      </c>
    </row>
    <row r="17" spans="1:19" x14ac:dyDescent="0.25">
      <c r="A17" s="1" t="s">
        <v>102</v>
      </c>
      <c r="B17" s="1" t="s">
        <v>101</v>
      </c>
      <c r="C17" s="8">
        <v>76195</v>
      </c>
      <c r="D17" s="9">
        <v>32</v>
      </c>
      <c r="E17" s="2">
        <v>16</v>
      </c>
      <c r="F17" s="4" t="s">
        <v>44</v>
      </c>
      <c r="G17" s="5" t="s">
        <v>42</v>
      </c>
      <c r="H17" s="1" t="s">
        <v>41</v>
      </c>
      <c r="I17" s="1" t="s">
        <v>40</v>
      </c>
      <c r="J17" s="46" t="s">
        <v>2548</v>
      </c>
      <c r="K17" s="12"/>
      <c r="L17" s="46" t="s">
        <v>1666</v>
      </c>
      <c r="O17" s="237">
        <v>1</v>
      </c>
      <c r="P17" s="238">
        <v>0.21</v>
      </c>
      <c r="Q17" s="238">
        <v>1</v>
      </c>
    </row>
    <row r="18" spans="1:19" x14ac:dyDescent="0.25">
      <c r="A18" s="1" t="s">
        <v>100</v>
      </c>
      <c r="B18" s="1" t="s">
        <v>99</v>
      </c>
      <c r="C18" s="8">
        <v>85018</v>
      </c>
      <c r="D18" s="9">
        <v>32</v>
      </c>
      <c r="E18" s="2">
        <v>25</v>
      </c>
      <c r="F18" s="4" t="s">
        <v>44</v>
      </c>
      <c r="G18" s="5" t="s">
        <v>42</v>
      </c>
      <c r="H18" s="1" t="s">
        <v>41</v>
      </c>
      <c r="I18" s="1" t="s">
        <v>40</v>
      </c>
      <c r="J18" s="46" t="s">
        <v>2550</v>
      </c>
      <c r="K18" s="12"/>
      <c r="L18" s="46" t="s">
        <v>1666</v>
      </c>
      <c r="O18" s="237">
        <v>1</v>
      </c>
      <c r="P18" s="238">
        <v>0.21</v>
      </c>
      <c r="Q18" s="238">
        <v>1</v>
      </c>
    </row>
    <row r="19" spans="1:19" x14ac:dyDescent="0.25">
      <c r="A19" s="1" t="s">
        <v>98</v>
      </c>
      <c r="B19" s="1" t="s">
        <v>97</v>
      </c>
      <c r="C19" s="8">
        <v>102826</v>
      </c>
      <c r="D19" s="9">
        <v>32</v>
      </c>
      <c r="E19" s="2">
        <v>16</v>
      </c>
      <c r="F19" s="4" t="s">
        <v>38</v>
      </c>
      <c r="G19" s="5" t="s">
        <v>37</v>
      </c>
      <c r="H19" s="1" t="s">
        <v>36</v>
      </c>
      <c r="I19" s="1" t="s">
        <v>35</v>
      </c>
      <c r="J19" s="46" t="s">
        <v>2546</v>
      </c>
      <c r="K19" s="12"/>
      <c r="L19" s="46" t="s">
        <v>1666</v>
      </c>
      <c r="O19" s="237">
        <v>1</v>
      </c>
      <c r="P19" s="238">
        <v>0.21</v>
      </c>
      <c r="Q19" s="238">
        <v>1</v>
      </c>
    </row>
    <row r="20" spans="1:19" x14ac:dyDescent="0.25">
      <c r="A20" s="1" t="s">
        <v>96</v>
      </c>
      <c r="B20" s="1" t="s">
        <v>95</v>
      </c>
      <c r="C20" s="8">
        <v>111797</v>
      </c>
      <c r="D20" s="9">
        <v>32</v>
      </c>
      <c r="E20" s="2">
        <v>25</v>
      </c>
      <c r="F20" s="4" t="s">
        <v>38</v>
      </c>
      <c r="G20" s="5" t="s">
        <v>37</v>
      </c>
      <c r="H20" s="1" t="s">
        <v>36</v>
      </c>
      <c r="I20" s="1" t="s">
        <v>35</v>
      </c>
      <c r="J20" s="46" t="s">
        <v>2548</v>
      </c>
      <c r="K20" s="12"/>
      <c r="L20" s="46" t="s">
        <v>1666</v>
      </c>
      <c r="O20" s="237">
        <v>1</v>
      </c>
      <c r="P20" s="238">
        <v>0.21</v>
      </c>
      <c r="Q20" s="238">
        <v>1</v>
      </c>
    </row>
    <row r="21" spans="1:19" ht="15.75" x14ac:dyDescent="0.25">
      <c r="A21" s="1" t="s">
        <v>94</v>
      </c>
      <c r="B21" s="1" t="s">
        <v>93</v>
      </c>
      <c r="C21" s="8">
        <v>131027</v>
      </c>
      <c r="D21" s="9">
        <v>40</v>
      </c>
      <c r="E21" s="2">
        <v>16</v>
      </c>
      <c r="F21" s="4" t="s">
        <v>32</v>
      </c>
      <c r="G21" s="5" t="s">
        <v>31</v>
      </c>
      <c r="H21" s="1" t="s">
        <v>30</v>
      </c>
      <c r="I21" s="7" t="s">
        <v>29</v>
      </c>
      <c r="J21" s="46" t="s">
        <v>2546</v>
      </c>
      <c r="K21" s="12"/>
      <c r="L21" s="46" t="s">
        <v>1666</v>
      </c>
      <c r="O21" s="237">
        <v>3</v>
      </c>
      <c r="P21" s="238">
        <v>0.57999999999999996</v>
      </c>
      <c r="Q21" s="238">
        <v>1.5</v>
      </c>
    </row>
    <row r="22" spans="1:19" ht="15.75" x14ac:dyDescent="0.25">
      <c r="A22" s="1" t="s">
        <v>92</v>
      </c>
      <c r="B22" s="1" t="s">
        <v>91</v>
      </c>
      <c r="C22" s="8">
        <v>131006</v>
      </c>
      <c r="D22" s="9">
        <v>40</v>
      </c>
      <c r="E22" s="2">
        <v>25</v>
      </c>
      <c r="F22" s="4" t="s">
        <v>32</v>
      </c>
      <c r="G22" s="5" t="s">
        <v>31</v>
      </c>
      <c r="H22" s="1" t="s">
        <v>30</v>
      </c>
      <c r="I22" s="7" t="s">
        <v>29</v>
      </c>
      <c r="J22" s="46" t="s">
        <v>2548</v>
      </c>
      <c r="K22" s="12"/>
      <c r="L22" s="46" t="s">
        <v>1666</v>
      </c>
      <c r="O22" s="237">
        <v>3</v>
      </c>
      <c r="P22" s="238">
        <v>0.57999999999999996</v>
      </c>
      <c r="Q22" s="238">
        <v>1.5</v>
      </c>
    </row>
    <row r="23" spans="1:19" x14ac:dyDescent="0.25">
      <c r="A23" s="1" t="s">
        <v>90</v>
      </c>
      <c r="B23" s="1" t="s">
        <v>89</v>
      </c>
      <c r="C23" s="8">
        <v>161188</v>
      </c>
      <c r="D23" s="9">
        <v>50</v>
      </c>
      <c r="E23" s="2">
        <v>40</v>
      </c>
      <c r="F23" s="4" t="s">
        <v>27</v>
      </c>
      <c r="G23" s="5" t="s">
        <v>26</v>
      </c>
      <c r="H23" s="1" t="s">
        <v>25</v>
      </c>
      <c r="I23" s="1" t="s">
        <v>24</v>
      </c>
      <c r="J23" s="46" t="s">
        <v>2550</v>
      </c>
      <c r="K23" s="12"/>
      <c r="L23" s="46" t="s">
        <v>1666</v>
      </c>
      <c r="O23" s="237">
        <v>3</v>
      </c>
      <c r="P23" s="238">
        <v>0.35</v>
      </c>
      <c r="Q23" s="238">
        <v>1</v>
      </c>
    </row>
    <row r="24" spans="1:19" x14ac:dyDescent="0.25">
      <c r="A24" s="1" t="s">
        <v>88</v>
      </c>
      <c r="B24" s="1" t="s">
        <v>87</v>
      </c>
      <c r="C24" s="8">
        <v>151957</v>
      </c>
      <c r="D24" s="9">
        <v>40</v>
      </c>
      <c r="E24" s="2">
        <v>16</v>
      </c>
      <c r="F24" s="4" t="s">
        <v>20</v>
      </c>
      <c r="G24" s="5" t="s">
        <v>19</v>
      </c>
      <c r="H24" s="1" t="s">
        <v>18</v>
      </c>
      <c r="I24" s="1" t="s">
        <v>18</v>
      </c>
      <c r="J24" s="46" t="s">
        <v>2546</v>
      </c>
      <c r="K24" s="12"/>
      <c r="L24" s="46" t="s">
        <v>1666</v>
      </c>
      <c r="O24" s="237">
        <v>3</v>
      </c>
      <c r="P24" s="238">
        <v>1.3</v>
      </c>
      <c r="Q24" s="238">
        <v>2.2999999999999998</v>
      </c>
    </row>
    <row r="25" spans="1:19" x14ac:dyDescent="0.25">
      <c r="A25" s="1" t="s">
        <v>86</v>
      </c>
      <c r="B25" s="1" t="s">
        <v>85</v>
      </c>
      <c r="C25" s="8">
        <v>151936</v>
      </c>
      <c r="D25" s="9">
        <v>40</v>
      </c>
      <c r="E25" s="2">
        <v>25</v>
      </c>
      <c r="F25" s="4" t="s">
        <v>20</v>
      </c>
      <c r="G25" s="5" t="s">
        <v>19</v>
      </c>
      <c r="H25" s="1" t="s">
        <v>18</v>
      </c>
      <c r="I25" s="1" t="s">
        <v>18</v>
      </c>
      <c r="J25" s="46" t="s">
        <v>2548</v>
      </c>
      <c r="K25" s="12"/>
      <c r="L25" s="46" t="s">
        <v>1666</v>
      </c>
      <c r="O25" s="237">
        <v>3</v>
      </c>
      <c r="P25" s="238">
        <v>1.3</v>
      </c>
      <c r="Q25" s="238">
        <v>2.2999999999999998</v>
      </c>
    </row>
    <row r="26" spans="1:19" x14ac:dyDescent="0.25">
      <c r="A26" s="1" t="s">
        <v>84</v>
      </c>
      <c r="B26" s="1" t="s">
        <v>83</v>
      </c>
      <c r="C26" s="8">
        <v>164981</v>
      </c>
      <c r="D26" s="9">
        <v>40</v>
      </c>
      <c r="E26" s="2">
        <v>40</v>
      </c>
      <c r="F26" s="4" t="s">
        <v>20</v>
      </c>
      <c r="G26" s="5" t="s">
        <v>19</v>
      </c>
      <c r="H26" s="1" t="s">
        <v>18</v>
      </c>
      <c r="I26" s="1" t="s">
        <v>18</v>
      </c>
      <c r="J26" s="46" t="s">
        <v>2550</v>
      </c>
      <c r="K26" s="12"/>
      <c r="L26" s="46" t="s">
        <v>1666</v>
      </c>
      <c r="O26" s="237">
        <v>3</v>
      </c>
      <c r="P26" s="238">
        <v>1.3</v>
      </c>
      <c r="Q26" s="238">
        <v>2.2999999999999998</v>
      </c>
    </row>
    <row r="27" spans="1:19" ht="16.5" x14ac:dyDescent="0.25">
      <c r="A27" s="1" t="s">
        <v>82</v>
      </c>
      <c r="B27" s="1" t="s">
        <v>81</v>
      </c>
      <c r="C27" s="8">
        <v>177113</v>
      </c>
      <c r="D27" s="9">
        <v>50</v>
      </c>
      <c r="E27" s="2">
        <v>40</v>
      </c>
      <c r="F27" s="4" t="s">
        <v>16</v>
      </c>
      <c r="G27" s="5" t="s">
        <v>15</v>
      </c>
      <c r="H27" s="1" t="s">
        <v>14</v>
      </c>
      <c r="I27" s="1" t="s">
        <v>13</v>
      </c>
      <c r="J27" s="46" t="s">
        <v>2550</v>
      </c>
      <c r="K27" s="12"/>
      <c r="L27" s="46" t="s">
        <v>1666</v>
      </c>
      <c r="O27" s="237">
        <v>3</v>
      </c>
      <c r="P27" s="238">
        <v>1</v>
      </c>
      <c r="Q27" s="238">
        <v>1.8</v>
      </c>
      <c r="S27" s="1"/>
    </row>
    <row r="28" spans="1:19" ht="15.75" x14ac:dyDescent="0.25">
      <c r="A28" s="1" t="s">
        <v>2471</v>
      </c>
      <c r="B28" s="1" t="s">
        <v>80</v>
      </c>
      <c r="C28" s="8">
        <v>190667</v>
      </c>
      <c r="D28" s="9">
        <v>50</v>
      </c>
      <c r="E28" s="2">
        <v>63</v>
      </c>
      <c r="F28" s="4" t="s">
        <v>16</v>
      </c>
      <c r="G28" s="5" t="s">
        <v>15</v>
      </c>
      <c r="H28" s="6" t="s">
        <v>14</v>
      </c>
      <c r="I28" s="1" t="s">
        <v>13</v>
      </c>
      <c r="O28" s="237">
        <v>3</v>
      </c>
      <c r="P28" s="238">
        <v>1</v>
      </c>
      <c r="Q28" s="238">
        <v>1.8</v>
      </c>
    </row>
    <row r="29" spans="1:19" ht="16.5" x14ac:dyDescent="0.25">
      <c r="A29" s="1" t="s">
        <v>79</v>
      </c>
      <c r="B29" s="1" t="s">
        <v>78</v>
      </c>
      <c r="C29" s="8">
        <v>191218</v>
      </c>
      <c r="D29" s="9">
        <v>50</v>
      </c>
      <c r="E29" s="2">
        <v>40</v>
      </c>
      <c r="F29" s="4" t="s">
        <v>11</v>
      </c>
      <c r="G29" s="5" t="s">
        <v>10</v>
      </c>
      <c r="H29" s="1" t="s">
        <v>9</v>
      </c>
      <c r="I29" s="1" t="s">
        <v>8</v>
      </c>
      <c r="J29" s="46" t="s">
        <v>2550</v>
      </c>
      <c r="K29" s="12"/>
      <c r="L29" s="46" t="s">
        <v>1666</v>
      </c>
      <c r="O29" s="237">
        <v>3</v>
      </c>
      <c r="P29" s="238">
        <v>1.6</v>
      </c>
      <c r="Q29" s="238">
        <v>3</v>
      </c>
    </row>
    <row r="30" spans="1:19" ht="16.5" x14ac:dyDescent="0.25">
      <c r="A30" s="1" t="s">
        <v>2454</v>
      </c>
      <c r="B30" s="1" t="s">
        <v>2489</v>
      </c>
      <c r="C30" s="8">
        <v>210323</v>
      </c>
      <c r="D30" s="9">
        <v>50</v>
      </c>
      <c r="E30" s="2">
        <v>63</v>
      </c>
      <c r="F30" s="4" t="s">
        <v>11</v>
      </c>
      <c r="G30" s="5" t="s">
        <v>10</v>
      </c>
      <c r="H30" s="1" t="s">
        <v>9</v>
      </c>
      <c r="I30" s="1" t="s">
        <v>8</v>
      </c>
      <c r="J30" s="46" t="s">
        <v>2550</v>
      </c>
      <c r="K30" s="12"/>
      <c r="L30" s="46" t="s">
        <v>1666</v>
      </c>
      <c r="O30" s="237">
        <v>3</v>
      </c>
      <c r="P30" s="238">
        <v>1.6</v>
      </c>
      <c r="Q30" s="238">
        <v>3</v>
      </c>
    </row>
    <row r="31" spans="1:19" x14ac:dyDescent="0.25">
      <c r="B31" s="1" t="s">
        <v>2771</v>
      </c>
      <c r="C31" s="243"/>
      <c r="D31" s="9">
        <v>65</v>
      </c>
      <c r="E31" s="2">
        <v>90</v>
      </c>
      <c r="F31" s="4" t="s">
        <v>2734</v>
      </c>
      <c r="G31" s="5" t="s">
        <v>2772</v>
      </c>
      <c r="H31" s="1" t="s">
        <v>2740</v>
      </c>
      <c r="I31" s="352" t="s">
        <v>2773</v>
      </c>
      <c r="J31" s="353" t="s">
        <v>2761</v>
      </c>
      <c r="L31" t="s">
        <v>2766</v>
      </c>
    </row>
    <row r="32" spans="1:19" x14ac:dyDescent="0.25">
      <c r="A32" s="1"/>
      <c r="B32" s="1" t="s">
        <v>2771</v>
      </c>
      <c r="C32" s="243"/>
      <c r="D32" s="9">
        <v>65</v>
      </c>
      <c r="E32" s="2">
        <v>90</v>
      </c>
      <c r="F32" s="4" t="s">
        <v>2735</v>
      </c>
      <c r="L32" t="s">
        <v>2766</v>
      </c>
    </row>
    <row r="33" spans="1:17" x14ac:dyDescent="0.25">
      <c r="B33" s="1" t="s">
        <v>2771</v>
      </c>
      <c r="C33" s="243"/>
      <c r="D33" s="9">
        <v>65</v>
      </c>
      <c r="E33" s="2">
        <v>90</v>
      </c>
      <c r="F33" s="4" t="s">
        <v>2736</v>
      </c>
      <c r="L33" t="s">
        <v>2766</v>
      </c>
    </row>
    <row r="34" spans="1:17" x14ac:dyDescent="0.25">
      <c r="B34" s="1" t="s">
        <v>2771</v>
      </c>
      <c r="C34" s="243"/>
      <c r="D34" s="9">
        <v>65</v>
      </c>
      <c r="E34" s="2">
        <v>90</v>
      </c>
      <c r="F34" s="4" t="s">
        <v>2737</v>
      </c>
      <c r="L34" t="s">
        <v>2766</v>
      </c>
    </row>
    <row r="35" spans="1:17" x14ac:dyDescent="0.25">
      <c r="B35" s="1" t="s">
        <v>2771</v>
      </c>
      <c r="C35" s="243"/>
      <c r="D35" s="9">
        <v>80</v>
      </c>
      <c r="E35" s="2">
        <v>150</v>
      </c>
      <c r="F35" s="4" t="s">
        <v>2746</v>
      </c>
      <c r="G35" s="5" t="s">
        <v>2772</v>
      </c>
      <c r="H35" s="1" t="s">
        <v>2740</v>
      </c>
      <c r="I35" s="352" t="s">
        <v>2773</v>
      </c>
      <c r="J35" t="s">
        <v>2762</v>
      </c>
      <c r="L35" t="s">
        <v>2766</v>
      </c>
    </row>
    <row r="36" spans="1:17" x14ac:dyDescent="0.25">
      <c r="B36" s="1" t="s">
        <v>2771</v>
      </c>
      <c r="C36" s="243"/>
      <c r="D36" s="9">
        <v>80</v>
      </c>
      <c r="E36" s="2">
        <v>150</v>
      </c>
      <c r="F36" s="4" t="s">
        <v>2747</v>
      </c>
      <c r="L36" t="s">
        <v>2766</v>
      </c>
    </row>
    <row r="37" spans="1:17" x14ac:dyDescent="0.25">
      <c r="B37" s="1" t="s">
        <v>2771</v>
      </c>
      <c r="C37" s="243"/>
      <c r="D37" s="9">
        <v>80</v>
      </c>
      <c r="E37" s="2">
        <v>150</v>
      </c>
      <c r="F37" s="4" t="s">
        <v>2738</v>
      </c>
      <c r="L37" t="s">
        <v>2766</v>
      </c>
    </row>
    <row r="38" spans="1:17" x14ac:dyDescent="0.25">
      <c r="B38" s="1" t="s">
        <v>2771</v>
      </c>
      <c r="C38" s="243"/>
      <c r="D38" s="9">
        <v>100</v>
      </c>
      <c r="E38" s="2">
        <v>225</v>
      </c>
      <c r="F38" s="4" t="s">
        <v>2745</v>
      </c>
      <c r="G38" s="5" t="s">
        <v>2772</v>
      </c>
      <c r="H38" s="1" t="s">
        <v>2740</v>
      </c>
      <c r="I38" s="352" t="s">
        <v>2773</v>
      </c>
      <c r="J38" t="s">
        <v>2763</v>
      </c>
      <c r="L38" t="s">
        <v>2766</v>
      </c>
    </row>
    <row r="39" spans="1:17" x14ac:dyDescent="0.25">
      <c r="B39" s="1" t="s">
        <v>2771</v>
      </c>
      <c r="C39" s="243"/>
      <c r="D39" s="9">
        <v>100</v>
      </c>
      <c r="E39" s="2">
        <v>225</v>
      </c>
      <c r="F39" s="4" t="s">
        <v>2739</v>
      </c>
      <c r="L39" t="s">
        <v>2766</v>
      </c>
    </row>
    <row r="40" spans="1:17" x14ac:dyDescent="0.25">
      <c r="J40" s="46"/>
      <c r="K40" s="12"/>
      <c r="L40" s="46"/>
    </row>
    <row r="41" spans="1:17" x14ac:dyDescent="0.25">
      <c r="J41" s="46"/>
      <c r="K41" s="12"/>
      <c r="L41" s="46"/>
    </row>
    <row r="42" spans="1:17" x14ac:dyDescent="0.25">
      <c r="J42" s="46"/>
      <c r="K42" s="12"/>
      <c r="L42" s="46"/>
    </row>
    <row r="43" spans="1:17" x14ac:dyDescent="0.25">
      <c r="J43" s="46"/>
      <c r="K43" s="12"/>
      <c r="L43" s="46"/>
    </row>
    <row r="44" spans="1:17" x14ac:dyDescent="0.25">
      <c r="G44" s="5" t="s">
        <v>76</v>
      </c>
      <c r="H44" s="1" t="s">
        <v>75</v>
      </c>
      <c r="I44" s="1" t="s">
        <v>74</v>
      </c>
    </row>
    <row r="45" spans="1:17" x14ac:dyDescent="0.25">
      <c r="A45" t="s">
        <v>77</v>
      </c>
      <c r="B45" s="1" t="str">
        <f t="shared" ref="B45:B69" si="0">"Смесительный узел с горячим резервом "&amp;A45&amp;" присоединение Ду"&amp;D45</f>
        <v>Смесительный узел с горячим резервом СУ3-ТСР-40-2,5 присоединение Ду20</v>
      </c>
      <c r="C45" s="233">
        <v>63213</v>
      </c>
      <c r="D45">
        <v>20</v>
      </c>
      <c r="E45" s="2">
        <v>2.5</v>
      </c>
      <c r="F45" s="4" t="s">
        <v>71</v>
      </c>
      <c r="G45" s="5" t="s">
        <v>69</v>
      </c>
      <c r="H45" s="1" t="s">
        <v>68</v>
      </c>
      <c r="I45" s="1" t="s">
        <v>2500</v>
      </c>
      <c r="J45" s="46" t="s">
        <v>2538</v>
      </c>
      <c r="K45" s="12"/>
      <c r="L45" s="46" t="s">
        <v>1662</v>
      </c>
      <c r="O45" s="237">
        <v>1</v>
      </c>
      <c r="P45" s="238">
        <v>0.21</v>
      </c>
      <c r="Q45" s="238">
        <v>1</v>
      </c>
    </row>
    <row r="46" spans="1:17" x14ac:dyDescent="0.25">
      <c r="A46" t="s">
        <v>73</v>
      </c>
      <c r="B46" s="1" t="str">
        <f t="shared" si="0"/>
        <v>Смесительный узел с горячим резервом СУ3-ТСР-40-4 присоединение Ду20</v>
      </c>
      <c r="C46" s="233">
        <v>63213</v>
      </c>
      <c r="D46">
        <v>20</v>
      </c>
      <c r="E46" s="2">
        <v>4</v>
      </c>
      <c r="F46" s="4" t="s">
        <v>71</v>
      </c>
      <c r="G46" s="5" t="s">
        <v>69</v>
      </c>
      <c r="H46" s="1" t="s">
        <v>68</v>
      </c>
      <c r="I46" s="1" t="s">
        <v>2500</v>
      </c>
      <c r="J46" s="46" t="s">
        <v>2540</v>
      </c>
      <c r="K46" s="12"/>
      <c r="L46" s="46" t="s">
        <v>1662</v>
      </c>
      <c r="O46" s="237">
        <v>1</v>
      </c>
      <c r="P46" s="238">
        <v>0.21</v>
      </c>
      <c r="Q46" s="238">
        <v>1</v>
      </c>
    </row>
    <row r="47" spans="1:17" x14ac:dyDescent="0.25">
      <c r="A47" t="s">
        <v>72</v>
      </c>
      <c r="B47" s="1" t="str">
        <f t="shared" si="0"/>
        <v>Смесительный узел с горячим резервом СУ3-ТСР-40-6,3 присоединение Ду20</v>
      </c>
      <c r="C47" s="233">
        <v>63421</v>
      </c>
      <c r="D47">
        <v>20</v>
      </c>
      <c r="E47" s="2">
        <v>6.3</v>
      </c>
      <c r="F47" s="4" t="s">
        <v>71</v>
      </c>
      <c r="G47" s="5" t="s">
        <v>69</v>
      </c>
      <c r="H47" s="1" t="s">
        <v>68</v>
      </c>
      <c r="I47" s="1" t="s">
        <v>2500</v>
      </c>
      <c r="J47" s="46" t="s">
        <v>2542</v>
      </c>
      <c r="K47" s="12"/>
      <c r="L47" s="46" t="s">
        <v>1662</v>
      </c>
      <c r="O47" s="237">
        <v>1</v>
      </c>
      <c r="P47" s="238">
        <v>0.21</v>
      </c>
      <c r="Q47" s="238">
        <v>1</v>
      </c>
    </row>
    <row r="48" spans="1:17" x14ac:dyDescent="0.25">
      <c r="A48" t="s">
        <v>70</v>
      </c>
      <c r="B48" s="1" t="str">
        <f t="shared" si="0"/>
        <v>Смесительный узел с горячим резервом СУ3-ТСР-60-2,5 присоединение Ду20</v>
      </c>
      <c r="C48" s="233">
        <v>63575</v>
      </c>
      <c r="D48">
        <v>20</v>
      </c>
      <c r="E48" s="2">
        <v>2.5</v>
      </c>
      <c r="F48" s="4" t="s">
        <v>65</v>
      </c>
      <c r="G48" s="5" t="s">
        <v>63</v>
      </c>
      <c r="H48" s="1" t="s">
        <v>62</v>
      </c>
      <c r="I48" s="1" t="s">
        <v>61</v>
      </c>
      <c r="J48" s="46" t="s">
        <v>2538</v>
      </c>
      <c r="K48" s="12"/>
      <c r="L48" s="46" t="s">
        <v>1662</v>
      </c>
      <c r="O48" s="237">
        <v>1</v>
      </c>
      <c r="P48" s="238">
        <v>0.21</v>
      </c>
      <c r="Q48" s="238">
        <v>1</v>
      </c>
    </row>
    <row r="49" spans="1:17" x14ac:dyDescent="0.25">
      <c r="A49" t="s">
        <v>67</v>
      </c>
      <c r="B49" s="1" t="str">
        <f t="shared" si="0"/>
        <v>Смесительный узел с горячим резервом СУ3-ТСР-60-4 присоединение Ду20</v>
      </c>
      <c r="C49" s="233">
        <v>63575</v>
      </c>
      <c r="D49">
        <v>20</v>
      </c>
      <c r="E49" s="2">
        <v>4</v>
      </c>
      <c r="F49" s="4" t="s">
        <v>65</v>
      </c>
      <c r="G49" s="5" t="s">
        <v>63</v>
      </c>
      <c r="H49" s="1" t="s">
        <v>62</v>
      </c>
      <c r="I49" s="1" t="s">
        <v>61</v>
      </c>
      <c r="J49" s="46" t="s">
        <v>2540</v>
      </c>
      <c r="K49" s="12"/>
      <c r="L49" s="46" t="s">
        <v>1662</v>
      </c>
      <c r="O49" s="237">
        <v>1</v>
      </c>
      <c r="P49" s="238">
        <v>0.21</v>
      </c>
      <c r="Q49" s="238">
        <v>1</v>
      </c>
    </row>
    <row r="50" spans="1:17" x14ac:dyDescent="0.25">
      <c r="A50" t="s">
        <v>66</v>
      </c>
      <c r="B50" s="1" t="str">
        <f t="shared" si="0"/>
        <v>Смесительный узел с горячим резервом СУ3-ТСР-60-6,3 присоединение Ду20</v>
      </c>
      <c r="C50" s="233">
        <v>63783</v>
      </c>
      <c r="D50">
        <v>20</v>
      </c>
      <c r="E50" s="2">
        <v>6.3</v>
      </c>
      <c r="F50" s="4" t="s">
        <v>65</v>
      </c>
      <c r="G50" s="5" t="s">
        <v>63</v>
      </c>
      <c r="H50" s="1" t="s">
        <v>62</v>
      </c>
      <c r="I50" s="1" t="s">
        <v>61</v>
      </c>
      <c r="J50" s="46" t="s">
        <v>2542</v>
      </c>
      <c r="K50" s="12"/>
      <c r="L50" s="46" t="s">
        <v>1662</v>
      </c>
      <c r="O50" s="237">
        <v>1</v>
      </c>
      <c r="P50" s="238">
        <v>0.21</v>
      </c>
      <c r="Q50" s="238">
        <v>1</v>
      </c>
    </row>
    <row r="51" spans="1:17" x14ac:dyDescent="0.25">
      <c r="A51" t="s">
        <v>64</v>
      </c>
      <c r="B51" s="1" t="str">
        <f t="shared" si="0"/>
        <v>Смесительный узел с горячим резервом СУ3-ТСР-70-6,3 присоединение Ду25</v>
      </c>
      <c r="C51" s="233">
        <v>80620</v>
      </c>
      <c r="D51">
        <v>25</v>
      </c>
      <c r="E51" s="2">
        <v>6.3</v>
      </c>
      <c r="F51" s="4" t="s">
        <v>58</v>
      </c>
      <c r="G51" s="5" t="s">
        <v>2744</v>
      </c>
      <c r="H51" s="1" t="s">
        <v>56</v>
      </c>
      <c r="I51" s="1" t="s">
        <v>55</v>
      </c>
      <c r="J51" s="46" t="s">
        <v>2542</v>
      </c>
      <c r="K51" s="12"/>
      <c r="L51" s="46" t="s">
        <v>1662</v>
      </c>
      <c r="O51" s="237">
        <v>1</v>
      </c>
      <c r="P51" s="238">
        <v>0.21</v>
      </c>
      <c r="Q51" s="238">
        <v>1</v>
      </c>
    </row>
    <row r="52" spans="1:17" x14ac:dyDescent="0.25">
      <c r="A52" t="s">
        <v>60</v>
      </c>
      <c r="B52" s="1" t="str">
        <f t="shared" si="0"/>
        <v>Смесительный узел с горячим резервом СУ3-ТСР-70-10 присоединение Ду25</v>
      </c>
      <c r="C52" s="233">
        <v>83624</v>
      </c>
      <c r="D52">
        <v>25</v>
      </c>
      <c r="E52" s="2">
        <v>10</v>
      </c>
      <c r="F52" s="4" t="s">
        <v>58</v>
      </c>
      <c r="G52" s="5" t="s">
        <v>2744</v>
      </c>
      <c r="H52" s="1" t="s">
        <v>56</v>
      </c>
      <c r="I52" s="1" t="s">
        <v>55</v>
      </c>
      <c r="J52" s="46" t="s">
        <v>2544</v>
      </c>
      <c r="K52" s="12"/>
      <c r="L52" s="46" t="s">
        <v>1666</v>
      </c>
      <c r="O52" s="237">
        <v>1</v>
      </c>
      <c r="P52" s="238">
        <v>0.21</v>
      </c>
      <c r="Q52" s="238">
        <v>1</v>
      </c>
    </row>
    <row r="53" spans="1:17" x14ac:dyDescent="0.25">
      <c r="A53" t="s">
        <v>59</v>
      </c>
      <c r="B53" s="1" t="str">
        <f t="shared" si="0"/>
        <v>Смесительный узел с горячим резервом СУ3-ТСР-70-16 присоединение Ду25</v>
      </c>
      <c r="C53" s="233">
        <v>87480</v>
      </c>
      <c r="D53">
        <v>25</v>
      </c>
      <c r="E53" s="2">
        <v>16</v>
      </c>
      <c r="F53" s="4" t="s">
        <v>58</v>
      </c>
      <c r="G53" s="5" t="s">
        <v>2744</v>
      </c>
      <c r="H53" s="1" t="s">
        <v>56</v>
      </c>
      <c r="I53" s="1" t="s">
        <v>55</v>
      </c>
      <c r="J53" s="46" t="s">
        <v>2546</v>
      </c>
      <c r="K53" s="12"/>
      <c r="L53" s="46" t="s">
        <v>1666</v>
      </c>
      <c r="O53" s="237">
        <v>1</v>
      </c>
      <c r="P53" s="238">
        <v>0.21</v>
      </c>
      <c r="Q53" s="238">
        <v>1</v>
      </c>
    </row>
    <row r="54" spans="1:17" x14ac:dyDescent="0.25">
      <c r="A54" t="s">
        <v>50</v>
      </c>
      <c r="B54" s="1" t="str">
        <f t="shared" si="0"/>
        <v>Смесительный узел с горячим резервом СУ3-ТСР-80-6,3 присоединение Ду32</v>
      </c>
      <c r="C54" s="233">
        <v>130039</v>
      </c>
      <c r="D54">
        <v>32</v>
      </c>
      <c r="E54" s="2">
        <v>10</v>
      </c>
      <c r="F54" s="4" t="s">
        <v>51</v>
      </c>
      <c r="G54" s="5" t="s">
        <v>49</v>
      </c>
      <c r="H54" s="1" t="s">
        <v>48</v>
      </c>
      <c r="I54" s="1" t="s">
        <v>47</v>
      </c>
      <c r="J54" s="46" t="s">
        <v>2546</v>
      </c>
      <c r="K54" s="12"/>
      <c r="L54" s="46" t="s">
        <v>1666</v>
      </c>
      <c r="O54" s="237">
        <v>1</v>
      </c>
      <c r="P54" s="238">
        <v>0.21</v>
      </c>
      <c r="Q54" s="238">
        <v>1</v>
      </c>
    </row>
    <row r="55" spans="1:17" x14ac:dyDescent="0.25">
      <c r="A55" t="s">
        <v>46</v>
      </c>
      <c r="B55" s="1" t="str">
        <f t="shared" si="0"/>
        <v>Смесительный узел с горячим резервом СУ3-ТСР-80-10 присоединение Ду32</v>
      </c>
      <c r="C55" s="234">
        <v>134599</v>
      </c>
      <c r="D55">
        <v>32</v>
      </c>
      <c r="E55" s="2">
        <v>16</v>
      </c>
      <c r="F55" s="4" t="s">
        <v>51</v>
      </c>
      <c r="G55" s="5" t="s">
        <v>49</v>
      </c>
      <c r="H55" s="1" t="s">
        <v>48</v>
      </c>
      <c r="I55" s="1" t="s">
        <v>47</v>
      </c>
      <c r="J55" s="46" t="s">
        <v>2548</v>
      </c>
      <c r="K55" s="12"/>
      <c r="L55" s="46" t="s">
        <v>1666</v>
      </c>
      <c r="O55" s="237">
        <v>1</v>
      </c>
      <c r="P55" s="238">
        <v>0.21</v>
      </c>
      <c r="Q55" s="238">
        <v>1</v>
      </c>
    </row>
    <row r="56" spans="1:17" x14ac:dyDescent="0.25">
      <c r="A56" t="s">
        <v>45</v>
      </c>
      <c r="B56" s="1" t="str">
        <f t="shared" si="0"/>
        <v>Смесительный узел с горячим резервом СУ3-ТСР-80-16 присоединение Ду32</v>
      </c>
      <c r="C56" s="234">
        <v>134816</v>
      </c>
      <c r="D56">
        <v>32</v>
      </c>
      <c r="E56" s="2">
        <v>25</v>
      </c>
      <c r="F56" s="4" t="s">
        <v>44</v>
      </c>
      <c r="G56" s="5" t="s">
        <v>42</v>
      </c>
      <c r="H56" s="1" t="s">
        <v>41</v>
      </c>
      <c r="I56" s="1" t="s">
        <v>40</v>
      </c>
      <c r="J56" s="46" t="s">
        <v>2550</v>
      </c>
      <c r="K56" s="12"/>
      <c r="L56" s="46" t="s">
        <v>1666</v>
      </c>
      <c r="O56" s="237">
        <v>1</v>
      </c>
      <c r="P56" s="238">
        <v>0.21</v>
      </c>
      <c r="Q56" s="238">
        <v>1</v>
      </c>
    </row>
    <row r="57" spans="1:17" x14ac:dyDescent="0.25">
      <c r="A57" t="s">
        <v>52</v>
      </c>
      <c r="B57" s="1" t="str">
        <f t="shared" si="0"/>
        <v>Смесительный узел с горячим резервом СУ3-ТСРД-70-25 присоединение Ду32</v>
      </c>
      <c r="C57" s="233">
        <v>143272</v>
      </c>
      <c r="D57">
        <v>32</v>
      </c>
      <c r="E57" s="2">
        <v>16</v>
      </c>
      <c r="F57" s="4" t="s">
        <v>44</v>
      </c>
      <c r="G57" s="5" t="s">
        <v>42</v>
      </c>
      <c r="H57" s="1" t="s">
        <v>41</v>
      </c>
      <c r="I57" s="1" t="s">
        <v>40</v>
      </c>
      <c r="J57" s="46" t="s">
        <v>2548</v>
      </c>
      <c r="K57" s="12"/>
      <c r="L57" s="46" t="s">
        <v>1666</v>
      </c>
      <c r="O57" s="237">
        <v>1</v>
      </c>
      <c r="P57" s="238">
        <v>0.21</v>
      </c>
      <c r="Q57" s="238">
        <v>1</v>
      </c>
    </row>
    <row r="58" spans="1:17" x14ac:dyDescent="0.25">
      <c r="A58" t="s">
        <v>43</v>
      </c>
      <c r="B58" s="1" t="str">
        <f t="shared" si="0"/>
        <v>Смесительный узел с горячим резервом СУ3-ТСРД-80-16 присоединение Ду32</v>
      </c>
      <c r="C58" s="234">
        <v>187189</v>
      </c>
      <c r="D58">
        <v>32</v>
      </c>
      <c r="E58" s="2">
        <v>16</v>
      </c>
      <c r="F58" s="4" t="s">
        <v>38</v>
      </c>
      <c r="G58" s="5" t="s">
        <v>37</v>
      </c>
      <c r="H58" s="1" t="s">
        <v>36</v>
      </c>
      <c r="I58" s="1" t="s">
        <v>35</v>
      </c>
      <c r="J58" s="46" t="s">
        <v>2546</v>
      </c>
      <c r="K58" s="12"/>
      <c r="L58" s="46" t="s">
        <v>1666</v>
      </c>
      <c r="O58" s="237">
        <v>1</v>
      </c>
      <c r="P58" s="238">
        <v>0.21</v>
      </c>
      <c r="Q58" s="238">
        <v>1</v>
      </c>
    </row>
    <row r="59" spans="1:17" x14ac:dyDescent="0.25">
      <c r="A59" t="s">
        <v>39</v>
      </c>
      <c r="B59" s="1" t="str">
        <f t="shared" si="0"/>
        <v>Смесительный узел с горячим резервом СУ3-ТСРД-80-25 присоединение Ду32</v>
      </c>
      <c r="C59" s="234">
        <v>196012</v>
      </c>
      <c r="D59">
        <v>32</v>
      </c>
      <c r="E59" s="2">
        <v>25</v>
      </c>
      <c r="F59" s="4" t="s">
        <v>38</v>
      </c>
      <c r="G59" s="5" t="s">
        <v>37</v>
      </c>
      <c r="H59" s="1" t="s">
        <v>36</v>
      </c>
      <c r="I59" s="1" t="s">
        <v>35</v>
      </c>
      <c r="J59" s="46" t="s">
        <v>2548</v>
      </c>
      <c r="K59" s="12"/>
      <c r="L59" s="46" t="s">
        <v>1666</v>
      </c>
      <c r="O59" s="237">
        <v>1</v>
      </c>
      <c r="P59" s="238">
        <v>0.21</v>
      </c>
      <c r="Q59" s="238">
        <v>1</v>
      </c>
    </row>
    <row r="60" spans="1:17" ht="15.75" x14ac:dyDescent="0.25">
      <c r="A60" t="s">
        <v>34</v>
      </c>
      <c r="B60" s="1" t="str">
        <f t="shared" si="0"/>
        <v>Смесительный узел с горячим резервом СУ3-ТСРФ-120-16 присоединение Ду40</v>
      </c>
      <c r="C60" s="234">
        <v>242193</v>
      </c>
      <c r="D60">
        <v>40</v>
      </c>
      <c r="E60" s="2">
        <v>16</v>
      </c>
      <c r="F60" s="4" t="s">
        <v>32</v>
      </c>
      <c r="G60" s="5" t="s">
        <v>31</v>
      </c>
      <c r="H60" s="1" t="s">
        <v>30</v>
      </c>
      <c r="I60" s="7" t="s">
        <v>29</v>
      </c>
      <c r="J60" s="46" t="s">
        <v>2546</v>
      </c>
      <c r="K60" s="12"/>
      <c r="L60" s="46" t="s">
        <v>1666</v>
      </c>
      <c r="O60" s="237">
        <v>3</v>
      </c>
      <c r="P60" s="238">
        <v>0.57999999999999996</v>
      </c>
      <c r="Q60" s="238">
        <v>1.5</v>
      </c>
    </row>
    <row r="61" spans="1:17" ht="15.75" x14ac:dyDescent="0.25">
      <c r="A61" t="s">
        <v>33</v>
      </c>
      <c r="B61" s="1" t="str">
        <f t="shared" si="0"/>
        <v>Смесительный узел с горячим резервом СУ3-ТСРФ-120-25 присоединение Ду40</v>
      </c>
      <c r="C61" s="234">
        <v>243276</v>
      </c>
      <c r="D61">
        <v>40</v>
      </c>
      <c r="E61" s="2">
        <v>25</v>
      </c>
      <c r="F61" s="4" t="s">
        <v>32</v>
      </c>
      <c r="G61" s="5" t="s">
        <v>31</v>
      </c>
      <c r="H61" s="1" t="s">
        <v>30</v>
      </c>
      <c r="I61" s="7" t="s">
        <v>29</v>
      </c>
      <c r="J61" s="46" t="s">
        <v>2548</v>
      </c>
      <c r="K61" s="12"/>
      <c r="L61" s="46" t="s">
        <v>1666</v>
      </c>
      <c r="O61" s="237">
        <v>3</v>
      </c>
      <c r="P61" s="238">
        <v>0.57999999999999996</v>
      </c>
      <c r="Q61" s="238">
        <v>1.5</v>
      </c>
    </row>
    <row r="62" spans="1:17" x14ac:dyDescent="0.25">
      <c r="A62" t="s">
        <v>23</v>
      </c>
      <c r="B62" s="1" t="str">
        <f t="shared" si="0"/>
        <v>Смесительный узел с горячим резервом СУ3-ТСРФ-190-16 присоединение Ду40</v>
      </c>
      <c r="C62" s="234">
        <v>283138</v>
      </c>
      <c r="D62">
        <v>40</v>
      </c>
      <c r="E62" s="2">
        <v>16</v>
      </c>
      <c r="F62" s="4" t="s">
        <v>20</v>
      </c>
      <c r="G62" s="5" t="s">
        <v>19</v>
      </c>
      <c r="H62" s="1" t="s">
        <v>18</v>
      </c>
      <c r="I62" s="1" t="s">
        <v>18</v>
      </c>
      <c r="J62" s="46" t="s">
        <v>2546</v>
      </c>
      <c r="K62" s="12"/>
      <c r="L62" s="46" t="s">
        <v>1666</v>
      </c>
      <c r="O62" s="237">
        <v>3</v>
      </c>
      <c r="P62" s="238">
        <v>0.35</v>
      </c>
      <c r="Q62" s="238">
        <v>1</v>
      </c>
    </row>
    <row r="63" spans="1:17" x14ac:dyDescent="0.25">
      <c r="A63" t="s">
        <v>22</v>
      </c>
      <c r="B63" s="1" t="str">
        <f t="shared" si="0"/>
        <v>Смесительный узел с горячим резервом СУ3-ТСРФ-190-25 присоединение Ду40</v>
      </c>
      <c r="C63" s="234">
        <v>284973</v>
      </c>
      <c r="D63">
        <v>40</v>
      </c>
      <c r="E63" s="2">
        <v>25</v>
      </c>
      <c r="F63" s="4" t="s">
        <v>20</v>
      </c>
      <c r="G63" s="5" t="s">
        <v>19</v>
      </c>
      <c r="H63" s="1" t="s">
        <v>18</v>
      </c>
      <c r="I63" s="1" t="s">
        <v>18</v>
      </c>
      <c r="J63" s="46" t="s">
        <v>2548</v>
      </c>
      <c r="K63" s="12"/>
      <c r="L63" s="46" t="s">
        <v>1666</v>
      </c>
      <c r="O63" s="237">
        <v>3</v>
      </c>
      <c r="P63" s="238">
        <v>1.3</v>
      </c>
      <c r="Q63" s="238">
        <v>2.2999999999999998</v>
      </c>
    </row>
    <row r="64" spans="1:17" x14ac:dyDescent="0.25">
      <c r="A64" t="s">
        <v>21</v>
      </c>
      <c r="B64" s="1" t="str">
        <f t="shared" si="0"/>
        <v>Смесительный узел с горячим резервом СУ3-ТСРФ-190-40 присоединение Ду40</v>
      </c>
      <c r="C64" s="234">
        <v>298018</v>
      </c>
      <c r="D64">
        <v>40</v>
      </c>
      <c r="E64" s="2">
        <v>40</v>
      </c>
      <c r="F64" s="4" t="s">
        <v>20</v>
      </c>
      <c r="G64" s="5" t="s">
        <v>19</v>
      </c>
      <c r="H64" s="1" t="s">
        <v>18</v>
      </c>
      <c r="I64" s="1" t="s">
        <v>18</v>
      </c>
      <c r="J64" s="46" t="s">
        <v>2550</v>
      </c>
      <c r="K64" s="12"/>
      <c r="L64" s="46" t="s">
        <v>1666</v>
      </c>
      <c r="O64" s="238">
        <v>3</v>
      </c>
      <c r="P64" s="238">
        <v>1.3</v>
      </c>
      <c r="Q64" s="238">
        <v>2.2999999999999998</v>
      </c>
    </row>
    <row r="65" spans="1:17" x14ac:dyDescent="0.25">
      <c r="A65" t="s">
        <v>28</v>
      </c>
      <c r="B65" s="1" t="str">
        <f t="shared" si="0"/>
        <v>Смесительный узел с горячим резервом СУ3-ТСРФ-50/40-40 присоединение Ду50</v>
      </c>
      <c r="C65" s="234">
        <v>304063</v>
      </c>
      <c r="D65">
        <v>50</v>
      </c>
      <c r="E65" s="2">
        <v>40</v>
      </c>
      <c r="F65" s="4" t="s">
        <v>27</v>
      </c>
      <c r="G65" s="5" t="s">
        <v>26</v>
      </c>
      <c r="H65" s="1" t="s">
        <v>25</v>
      </c>
      <c r="I65" s="1" t="s">
        <v>24</v>
      </c>
      <c r="J65" s="46" t="s">
        <v>2550</v>
      </c>
      <c r="K65" s="12"/>
      <c r="L65" s="46" t="s">
        <v>1666</v>
      </c>
      <c r="O65" s="238">
        <v>3</v>
      </c>
      <c r="P65" s="238">
        <v>1.3</v>
      </c>
      <c r="Q65" s="238">
        <v>2.2999999999999998</v>
      </c>
    </row>
    <row r="66" spans="1:17" ht="15" customHeight="1" x14ac:dyDescent="0.25">
      <c r="A66" t="s">
        <v>17</v>
      </c>
      <c r="B66" s="1" t="str">
        <f t="shared" si="0"/>
        <v>Смесительный узел с горячим резервом СУ3-ТСРФ-50/120-40 присоединение Ду50</v>
      </c>
      <c r="C66" s="234">
        <v>333564</v>
      </c>
      <c r="D66">
        <v>50</v>
      </c>
      <c r="E66" s="2">
        <v>40</v>
      </c>
      <c r="F66" s="4" t="s">
        <v>16</v>
      </c>
      <c r="G66" s="5" t="s">
        <v>15</v>
      </c>
      <c r="H66" s="1" t="s">
        <v>2742</v>
      </c>
      <c r="I66" s="1" t="s">
        <v>13</v>
      </c>
      <c r="J66" s="46" t="s">
        <v>2550</v>
      </c>
      <c r="K66" s="12"/>
      <c r="L66" s="46" t="s">
        <v>1666</v>
      </c>
      <c r="O66" s="238">
        <v>3</v>
      </c>
      <c r="P66" s="238">
        <v>1</v>
      </c>
      <c r="Q66" s="238">
        <v>1.8</v>
      </c>
    </row>
    <row r="67" spans="1:17" ht="15" customHeight="1" x14ac:dyDescent="0.25">
      <c r="A67" s="242" t="s">
        <v>12</v>
      </c>
      <c r="B67" s="1" t="str">
        <f t="shared" si="0"/>
        <v>Смесительный узел с горячим резервом СУ3-ТСРФ-50/190-40 присоединение Ду50</v>
      </c>
      <c r="C67" s="243">
        <v>353792</v>
      </c>
      <c r="D67" s="242">
        <v>50</v>
      </c>
      <c r="E67" s="2">
        <v>40</v>
      </c>
      <c r="F67" s="4" t="s">
        <v>11</v>
      </c>
      <c r="G67" s="5" t="s">
        <v>10</v>
      </c>
      <c r="H67" s="1" t="s">
        <v>9</v>
      </c>
      <c r="I67" s="1" t="s">
        <v>2741</v>
      </c>
      <c r="J67" s="46" t="s">
        <v>2550</v>
      </c>
      <c r="K67" s="12"/>
      <c r="L67" s="46" t="s">
        <v>1666</v>
      </c>
      <c r="O67" s="238">
        <v>3</v>
      </c>
      <c r="P67" s="238">
        <v>1</v>
      </c>
      <c r="Q67" s="238">
        <v>1.8</v>
      </c>
    </row>
    <row r="68" spans="1:17" ht="15" customHeight="1" x14ac:dyDescent="0.25">
      <c r="A68" s="242" t="s">
        <v>2457</v>
      </c>
      <c r="B68" s="1" t="str">
        <f t="shared" si="0"/>
        <v>Смесительный узел с горячим резервом СУ3-ТСРФ-50/120-63LF присоединение Ду50</v>
      </c>
      <c r="C68" s="243">
        <v>377248</v>
      </c>
      <c r="D68" s="242">
        <v>50</v>
      </c>
      <c r="E68" s="2">
        <v>63</v>
      </c>
      <c r="F68" s="4" t="s">
        <v>16</v>
      </c>
      <c r="G68" s="5" t="s">
        <v>2502</v>
      </c>
      <c r="H68" s="6" t="s">
        <v>2743</v>
      </c>
      <c r="I68" s="1" t="s">
        <v>2501</v>
      </c>
      <c r="O68" s="238">
        <v>3</v>
      </c>
      <c r="P68" s="238">
        <v>1.6</v>
      </c>
      <c r="Q68" s="238">
        <v>3</v>
      </c>
    </row>
    <row r="69" spans="1:17" ht="15" customHeight="1" x14ac:dyDescent="0.25">
      <c r="A69" s="242" t="s">
        <v>2458</v>
      </c>
      <c r="B69" s="1" t="str">
        <f t="shared" si="0"/>
        <v>Смесительный узел с горячим резервом СУ3-ТСРФ-50/190-63LF присоединение Ду50</v>
      </c>
      <c r="C69" s="243">
        <v>416560</v>
      </c>
      <c r="D69" s="242">
        <v>50</v>
      </c>
      <c r="E69" s="2">
        <v>63</v>
      </c>
      <c r="F69" s="4" t="s">
        <v>11</v>
      </c>
      <c r="G69" s="5" t="s">
        <v>10</v>
      </c>
      <c r="H69" s="1" t="s">
        <v>9</v>
      </c>
      <c r="I69" s="1" t="s">
        <v>2741</v>
      </c>
      <c r="O69" s="238">
        <v>3</v>
      </c>
      <c r="P69" s="238">
        <v>1.6</v>
      </c>
      <c r="Q69" s="238">
        <v>3</v>
      </c>
    </row>
    <row r="70" spans="1:17" x14ac:dyDescent="0.25">
      <c r="B70" s="1" t="s">
        <v>2771</v>
      </c>
      <c r="C70" s="243"/>
      <c r="D70" s="9">
        <v>65</v>
      </c>
      <c r="E70" s="2">
        <v>90</v>
      </c>
      <c r="F70" s="4" t="s">
        <v>2734</v>
      </c>
      <c r="G70" s="5" t="s">
        <v>2772</v>
      </c>
      <c r="H70" s="1" t="s">
        <v>2740</v>
      </c>
      <c r="I70" s="352" t="s">
        <v>2773</v>
      </c>
      <c r="J70" s="353" t="s">
        <v>2761</v>
      </c>
      <c r="L70" t="s">
        <v>2766</v>
      </c>
    </row>
    <row r="71" spans="1:17" x14ac:dyDescent="0.25">
      <c r="B71" s="1" t="s">
        <v>2771</v>
      </c>
      <c r="C71" s="243"/>
      <c r="D71" s="9">
        <v>65</v>
      </c>
      <c r="E71" s="2">
        <v>90</v>
      </c>
      <c r="F71" s="4" t="s">
        <v>2735</v>
      </c>
      <c r="L71" t="s">
        <v>2766</v>
      </c>
    </row>
    <row r="72" spans="1:17" x14ac:dyDescent="0.25">
      <c r="B72" s="1" t="s">
        <v>2771</v>
      </c>
      <c r="C72" s="243"/>
      <c r="D72" s="9">
        <v>65</v>
      </c>
      <c r="E72" s="2">
        <v>90</v>
      </c>
      <c r="F72" s="4" t="s">
        <v>2736</v>
      </c>
      <c r="L72" t="s">
        <v>2766</v>
      </c>
    </row>
    <row r="73" spans="1:17" x14ac:dyDescent="0.25">
      <c r="B73" s="1" t="s">
        <v>2771</v>
      </c>
      <c r="C73" s="243"/>
      <c r="D73" s="9">
        <v>65</v>
      </c>
      <c r="E73" s="2">
        <v>90</v>
      </c>
      <c r="F73" s="4" t="s">
        <v>2737</v>
      </c>
      <c r="L73" t="s">
        <v>2766</v>
      </c>
    </row>
    <row r="74" spans="1:17" x14ac:dyDescent="0.25">
      <c r="B74" s="1" t="s">
        <v>2771</v>
      </c>
      <c r="C74" s="243"/>
      <c r="D74" s="9">
        <v>80</v>
      </c>
      <c r="E74" s="2">
        <v>150</v>
      </c>
      <c r="F74" s="4" t="s">
        <v>2746</v>
      </c>
      <c r="G74" s="5" t="s">
        <v>2772</v>
      </c>
      <c r="H74" s="1" t="s">
        <v>2740</v>
      </c>
      <c r="I74" s="352" t="s">
        <v>2773</v>
      </c>
      <c r="J74" t="s">
        <v>2762</v>
      </c>
      <c r="L74" t="s">
        <v>2766</v>
      </c>
    </row>
    <row r="75" spans="1:17" x14ac:dyDescent="0.25">
      <c r="B75" s="1" t="s">
        <v>2771</v>
      </c>
      <c r="C75" s="243"/>
      <c r="D75" s="9">
        <v>80</v>
      </c>
      <c r="E75" s="2">
        <v>150</v>
      </c>
      <c r="F75" s="4" t="s">
        <v>2747</v>
      </c>
      <c r="L75" t="s">
        <v>2766</v>
      </c>
    </row>
    <row r="76" spans="1:17" x14ac:dyDescent="0.25">
      <c r="B76" s="1" t="s">
        <v>2771</v>
      </c>
      <c r="C76" s="243"/>
      <c r="D76" s="9">
        <v>80</v>
      </c>
      <c r="E76" s="2">
        <v>150</v>
      </c>
      <c r="F76" s="4" t="s">
        <v>2738</v>
      </c>
      <c r="L76" t="s">
        <v>2766</v>
      </c>
    </row>
    <row r="77" spans="1:17" x14ac:dyDescent="0.25">
      <c r="B77" s="1" t="s">
        <v>2771</v>
      </c>
      <c r="C77" s="243"/>
      <c r="D77" s="9">
        <v>100</v>
      </c>
      <c r="E77" s="2">
        <v>225</v>
      </c>
      <c r="F77" s="4" t="s">
        <v>2745</v>
      </c>
      <c r="G77" s="5" t="s">
        <v>2772</v>
      </c>
      <c r="H77" s="1" t="s">
        <v>2740</v>
      </c>
      <c r="I77" s="352" t="s">
        <v>2773</v>
      </c>
      <c r="J77" t="s">
        <v>2763</v>
      </c>
      <c r="L77" t="s">
        <v>2766</v>
      </c>
    </row>
    <row r="78" spans="1:17" x14ac:dyDescent="0.25">
      <c r="B78" s="1" t="s">
        <v>2771</v>
      </c>
      <c r="C78" s="243"/>
      <c r="D78" s="9">
        <v>100</v>
      </c>
      <c r="E78" s="2">
        <v>225</v>
      </c>
      <c r="F78" s="4" t="s">
        <v>2739</v>
      </c>
      <c r="L78" t="s">
        <v>2766</v>
      </c>
    </row>
    <row r="93" spans="4:9" x14ac:dyDescent="0.25">
      <c r="D93" s="353"/>
      <c r="E93" s="353"/>
      <c r="F93" s="353"/>
      <c r="G93" s="354"/>
      <c r="I93" s="193"/>
    </row>
    <row r="94" spans="4:9" x14ac:dyDescent="0.25">
      <c r="D94" s="353"/>
      <c r="E94" s="353"/>
      <c r="F94" s="353"/>
      <c r="G94" s="354"/>
    </row>
    <row r="95" spans="4:9" x14ac:dyDescent="0.25">
      <c r="D95" s="353"/>
      <c r="E95" s="353"/>
      <c r="F95" s="353"/>
      <c r="G95" s="354"/>
    </row>
    <row r="96" spans="4:9" x14ac:dyDescent="0.25">
      <c r="D96" s="353"/>
      <c r="E96" s="353"/>
      <c r="F96" s="353"/>
      <c r="G96" s="354"/>
    </row>
    <row r="97" spans="4:7" x14ac:dyDescent="0.25">
      <c r="D97" s="353"/>
      <c r="E97" s="353"/>
      <c r="F97" s="353"/>
      <c r="G97" s="354"/>
    </row>
    <row r="98" spans="4:7" x14ac:dyDescent="0.25">
      <c r="D98" s="353"/>
      <c r="E98" s="353"/>
      <c r="F98" s="353"/>
      <c r="G98" s="354"/>
    </row>
  </sheetData>
  <sortState ref="A45:L71">
    <sortCondition ref="C45:C7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2:I25"/>
  <sheetViews>
    <sheetView zoomScale="85" zoomScaleNormal="85" workbookViewId="0">
      <selection activeCell="C14" sqref="C14"/>
    </sheetView>
  </sheetViews>
  <sheetFormatPr defaultRowHeight="12.75" x14ac:dyDescent="0.25"/>
  <cols>
    <col min="1" max="1" width="19.5703125" style="12" customWidth="1"/>
    <col min="2" max="2" width="59.140625" style="12" customWidth="1"/>
    <col min="3" max="5" width="12.5703125" style="12" customWidth="1"/>
    <col min="6" max="6" width="16.140625" style="12" customWidth="1"/>
    <col min="7" max="7" width="55.28515625" style="12" customWidth="1"/>
    <col min="8" max="8" width="14.7109375" style="12" customWidth="1"/>
    <col min="9" max="16384" width="9.140625" style="12"/>
  </cols>
  <sheetData>
    <row r="2" spans="1:9" ht="15" x14ac:dyDescent="0.25">
      <c r="B2" s="13" t="s">
        <v>143</v>
      </c>
      <c r="C2" s="14">
        <v>24498</v>
      </c>
      <c r="D2" s="15">
        <v>15</v>
      </c>
      <c r="E2" s="2">
        <v>2.5</v>
      </c>
      <c r="F2" s="15"/>
      <c r="G2" s="46" t="s">
        <v>2538</v>
      </c>
      <c r="I2" s="46" t="s">
        <v>1662</v>
      </c>
    </row>
    <row r="3" spans="1:9" ht="15" x14ac:dyDescent="0.25">
      <c r="B3" s="13" t="s">
        <v>144</v>
      </c>
      <c r="C3" s="14">
        <v>24498</v>
      </c>
      <c r="D3" s="15">
        <v>15</v>
      </c>
      <c r="E3" s="2">
        <v>4</v>
      </c>
      <c r="F3" s="15"/>
      <c r="G3" s="46" t="s">
        <v>2540</v>
      </c>
      <c r="I3" s="46" t="s">
        <v>1662</v>
      </c>
    </row>
    <row r="4" spans="1:9" ht="15" x14ac:dyDescent="0.25">
      <c r="B4" s="13" t="s">
        <v>145</v>
      </c>
      <c r="C4" s="14">
        <v>26393</v>
      </c>
      <c r="D4" s="15">
        <v>20</v>
      </c>
      <c r="E4" s="2">
        <v>6.3</v>
      </c>
      <c r="F4" s="15"/>
      <c r="G4" s="46" t="s">
        <v>2542</v>
      </c>
      <c r="I4" s="46" t="s">
        <v>1662</v>
      </c>
    </row>
    <row r="5" spans="1:9" ht="15" x14ac:dyDescent="0.25">
      <c r="B5" s="13" t="s">
        <v>146</v>
      </c>
      <c r="C5" s="14">
        <v>32362</v>
      </c>
      <c r="D5" s="15">
        <v>25</v>
      </c>
      <c r="E5" s="2">
        <v>10</v>
      </c>
      <c r="F5" s="15"/>
      <c r="G5" s="46" t="s">
        <v>2544</v>
      </c>
      <c r="I5" s="46" t="s">
        <v>1666</v>
      </c>
    </row>
    <row r="6" spans="1:9" ht="15" x14ac:dyDescent="0.25">
      <c r="B6" s="13" t="s">
        <v>147</v>
      </c>
      <c r="C6" s="14">
        <v>39772</v>
      </c>
      <c r="D6" s="15">
        <v>32</v>
      </c>
      <c r="E6" s="2">
        <v>16</v>
      </c>
      <c r="F6" s="15"/>
      <c r="G6" s="46" t="s">
        <v>2546</v>
      </c>
      <c r="I6" s="46" t="s">
        <v>1666</v>
      </c>
    </row>
    <row r="7" spans="1:9" ht="15" x14ac:dyDescent="0.25">
      <c r="B7" s="13" t="s">
        <v>148</v>
      </c>
      <c r="C7" s="14">
        <v>49900</v>
      </c>
      <c r="D7" s="15">
        <v>40</v>
      </c>
      <c r="E7" s="2">
        <v>25</v>
      </c>
      <c r="F7" s="15"/>
      <c r="G7" s="46" t="s">
        <v>2548</v>
      </c>
      <c r="I7" s="46" t="s">
        <v>1666</v>
      </c>
    </row>
    <row r="8" spans="1:9" ht="15" x14ac:dyDescent="0.25">
      <c r="B8" s="13" t="s">
        <v>149</v>
      </c>
      <c r="C8" s="14">
        <v>69478</v>
      </c>
      <c r="D8" s="15">
        <v>50</v>
      </c>
      <c r="E8" s="2">
        <v>40</v>
      </c>
      <c r="F8" s="15"/>
      <c r="G8" s="46" t="s">
        <v>2550</v>
      </c>
      <c r="I8" s="46" t="s">
        <v>1666</v>
      </c>
    </row>
    <row r="9" spans="1:9" ht="14.25" customHeight="1" x14ac:dyDescent="0.25">
      <c r="B9" s="13" t="s">
        <v>150</v>
      </c>
      <c r="C9" s="14">
        <v>71911</v>
      </c>
      <c r="D9" s="15">
        <v>50</v>
      </c>
      <c r="E9" s="2">
        <v>63</v>
      </c>
      <c r="F9" s="15"/>
      <c r="G9" s="230" t="s">
        <v>2453</v>
      </c>
      <c r="H9" s="229">
        <v>25185.360000000001</v>
      </c>
    </row>
    <row r="10" spans="1:9" ht="14.25" customHeight="1" x14ac:dyDescent="0.25">
      <c r="A10" s="1"/>
      <c r="B10"/>
      <c r="C10"/>
      <c r="D10"/>
      <c r="G10" s="230" t="s">
        <v>2451</v>
      </c>
      <c r="H10" s="229">
        <v>2112.96</v>
      </c>
    </row>
    <row r="11" spans="1:9" ht="14.25" customHeight="1" x14ac:dyDescent="0.25">
      <c r="A11"/>
      <c r="B11"/>
      <c r="C11"/>
      <c r="D11"/>
      <c r="G11" s="230" t="s">
        <v>2452</v>
      </c>
      <c r="H11" s="229">
        <v>14488.89</v>
      </c>
    </row>
    <row r="12" spans="1:9" ht="14.25" customHeight="1" x14ac:dyDescent="0.25">
      <c r="A12" s="313"/>
      <c r="B12" s="358" t="s">
        <v>2771</v>
      </c>
      <c r="C12" s="313">
        <v>91461</v>
      </c>
      <c r="D12" s="15">
        <v>65</v>
      </c>
      <c r="E12" s="2">
        <v>90</v>
      </c>
      <c r="G12" s="353" t="s">
        <v>2761</v>
      </c>
      <c r="H12"/>
      <c r="I12" t="s">
        <v>2766</v>
      </c>
    </row>
    <row r="13" spans="1:9" ht="14.25" customHeight="1" x14ac:dyDescent="0.25">
      <c r="A13" s="313"/>
      <c r="B13" s="358" t="s">
        <v>2771</v>
      </c>
      <c r="C13" s="313">
        <v>107874</v>
      </c>
      <c r="D13" s="15">
        <v>80</v>
      </c>
      <c r="E13" s="2">
        <v>150</v>
      </c>
      <c r="G13" t="s">
        <v>2762</v>
      </c>
      <c r="H13"/>
      <c r="I13" t="s">
        <v>2766</v>
      </c>
    </row>
    <row r="14" spans="1:9" ht="15" x14ac:dyDescent="0.25">
      <c r="A14" s="313"/>
      <c r="B14" s="358" t="s">
        <v>2771</v>
      </c>
      <c r="C14" s="313">
        <v>123411</v>
      </c>
      <c r="D14" s="15">
        <v>100</v>
      </c>
      <c r="E14" s="2">
        <v>225</v>
      </c>
      <c r="G14" t="s">
        <v>2763</v>
      </c>
      <c r="H14"/>
      <c r="I14" t="s">
        <v>2766</v>
      </c>
    </row>
    <row r="15" spans="1:9" ht="15" x14ac:dyDescent="0.25">
      <c r="A15"/>
      <c r="B15"/>
      <c r="C15" s="8"/>
      <c r="D15"/>
      <c r="E15" s="2"/>
      <c r="G15"/>
      <c r="H15"/>
      <c r="I15"/>
    </row>
    <row r="16" spans="1:9" ht="15" customHeight="1" x14ac:dyDescent="0.25">
      <c r="A16"/>
      <c r="H16"/>
      <c r="I16"/>
    </row>
    <row r="17" spans="1:9" ht="15" x14ac:dyDescent="0.25">
      <c r="A17"/>
      <c r="G17"/>
      <c r="H17"/>
      <c r="I17"/>
    </row>
    <row r="18" spans="1:9" ht="15" x14ac:dyDescent="0.25">
      <c r="A18"/>
      <c r="G18"/>
      <c r="H18"/>
      <c r="I18"/>
    </row>
    <row r="19" spans="1:9" ht="15" x14ac:dyDescent="0.25">
      <c r="A19"/>
      <c r="B19"/>
      <c r="C19" s="8"/>
      <c r="D19"/>
      <c r="H19"/>
      <c r="I19"/>
    </row>
    <row r="20" spans="1:9" ht="15" x14ac:dyDescent="0.25">
      <c r="A20"/>
      <c r="B20"/>
      <c r="C20" s="8"/>
      <c r="D20"/>
    </row>
    <row r="21" spans="1:9" ht="15" x14ac:dyDescent="0.25">
      <c r="A21"/>
      <c r="B21"/>
      <c r="C21" s="8"/>
      <c r="D21"/>
    </row>
    <row r="22" spans="1:9" ht="15" x14ac:dyDescent="0.25">
      <c r="A22"/>
      <c r="B22"/>
      <c r="C22" s="8"/>
      <c r="D22"/>
    </row>
    <row r="23" spans="1:9" ht="15" x14ac:dyDescent="0.25">
      <c r="A23"/>
      <c r="B23"/>
      <c r="C23" s="8"/>
      <c r="D23"/>
    </row>
    <row r="24" spans="1:9" ht="15" x14ac:dyDescent="0.25">
      <c r="A24"/>
      <c r="B24"/>
      <c r="C24" s="8"/>
      <c r="D24"/>
    </row>
    <row r="25" spans="1:9" ht="15" x14ac:dyDescent="0.25">
      <c r="A25"/>
      <c r="B25"/>
      <c r="C25" s="8"/>
      <c r="D25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H17"/>
  <sheetViews>
    <sheetView workbookViewId="0">
      <selection activeCell="B13" sqref="B13"/>
    </sheetView>
  </sheetViews>
  <sheetFormatPr defaultRowHeight="15" x14ac:dyDescent="0.25"/>
  <cols>
    <col min="2" max="2" width="38.28515625" customWidth="1"/>
    <col min="3" max="3" width="21.85546875" customWidth="1"/>
    <col min="6" max="6" width="39.140625" customWidth="1"/>
    <col min="7" max="7" width="17" customWidth="1"/>
  </cols>
  <sheetData>
    <row r="2" spans="1:8" x14ac:dyDescent="0.25">
      <c r="A2" s="1" t="s">
        <v>131</v>
      </c>
    </row>
    <row r="5" spans="1:8" x14ac:dyDescent="0.25">
      <c r="B5" t="s">
        <v>132</v>
      </c>
      <c r="C5" s="8">
        <v>843.5</v>
      </c>
      <c r="D5">
        <v>15</v>
      </c>
      <c r="F5" t="s">
        <v>133</v>
      </c>
      <c r="G5" s="8">
        <v>10206.35</v>
      </c>
      <c r="H5">
        <v>15</v>
      </c>
    </row>
    <row r="6" spans="1:8" x14ac:dyDescent="0.25">
      <c r="B6" t="s">
        <v>134</v>
      </c>
      <c r="C6" s="8">
        <v>1371.825</v>
      </c>
      <c r="D6">
        <v>20</v>
      </c>
      <c r="F6" t="s">
        <v>135</v>
      </c>
      <c r="G6" s="8">
        <v>11637.15</v>
      </c>
      <c r="H6">
        <v>20</v>
      </c>
    </row>
    <row r="7" spans="1:8" x14ac:dyDescent="0.25">
      <c r="B7" t="s">
        <v>136</v>
      </c>
      <c r="C7" s="8">
        <v>1833.125</v>
      </c>
      <c r="D7">
        <v>25</v>
      </c>
      <c r="F7" t="s">
        <v>137</v>
      </c>
      <c r="G7" s="8">
        <v>13661.550000000001</v>
      </c>
      <c r="H7">
        <v>25</v>
      </c>
    </row>
    <row r="8" spans="1:8" x14ac:dyDescent="0.25">
      <c r="B8" t="s">
        <v>138</v>
      </c>
      <c r="C8" s="8">
        <v>3398.1499999999996</v>
      </c>
      <c r="D8">
        <v>32</v>
      </c>
      <c r="F8" t="s">
        <v>139</v>
      </c>
      <c r="G8" s="8">
        <v>19033.349999999999</v>
      </c>
      <c r="H8">
        <v>32</v>
      </c>
    </row>
    <row r="9" spans="1:8" x14ac:dyDescent="0.25">
      <c r="B9" t="s">
        <v>140</v>
      </c>
      <c r="C9" s="8">
        <v>5155.5</v>
      </c>
      <c r="D9">
        <v>40</v>
      </c>
      <c r="F9" t="s">
        <v>141</v>
      </c>
      <c r="G9" s="8">
        <v>27679.750000000004</v>
      </c>
      <c r="H9">
        <v>40</v>
      </c>
    </row>
    <row r="10" spans="1:8" x14ac:dyDescent="0.25">
      <c r="C10" s="8"/>
      <c r="F10" t="s">
        <v>142</v>
      </c>
      <c r="G10" s="8">
        <v>42346.15</v>
      </c>
      <c r="H10">
        <v>50</v>
      </c>
    </row>
    <row r="17" spans="3:3" x14ac:dyDescent="0.25">
      <c r="C17" s="8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K748"/>
  <sheetViews>
    <sheetView topLeftCell="A703" workbookViewId="0">
      <selection activeCell="B718" sqref="B718:C718"/>
    </sheetView>
  </sheetViews>
  <sheetFormatPr defaultColWidth="9.140625" defaultRowHeight="14.25" x14ac:dyDescent="0.25"/>
  <cols>
    <col min="1" max="1" width="30.140625" style="37" customWidth="1"/>
    <col min="2" max="2" width="77.5703125" style="37" customWidth="1"/>
    <col min="3" max="3" width="12.42578125" style="37" customWidth="1"/>
    <col min="4" max="4" width="15.42578125" style="122" customWidth="1"/>
    <col min="5" max="5" width="8.85546875" style="37" customWidth="1"/>
    <col min="6" max="6" width="23.42578125" style="37" customWidth="1"/>
    <col min="7" max="7" width="131.7109375" style="37" customWidth="1"/>
    <col min="8" max="16384" width="9.140625" style="37"/>
  </cols>
  <sheetData>
    <row r="1" spans="1:7" ht="50.1" customHeight="1" thickBot="1" x14ac:dyDescent="0.3">
      <c r="B1" s="513" t="s">
        <v>2516</v>
      </c>
      <c r="C1" s="513"/>
      <c r="D1" s="513"/>
      <c r="E1" s="513"/>
      <c r="F1" s="513"/>
    </row>
    <row r="2" spans="1:7" ht="15" x14ac:dyDescent="0.25">
      <c r="A2" s="514" t="s">
        <v>153</v>
      </c>
      <c r="B2" s="514" t="s">
        <v>168</v>
      </c>
      <c r="C2" s="38" t="s">
        <v>169</v>
      </c>
      <c r="D2" s="39" t="s">
        <v>170</v>
      </c>
      <c r="E2" s="38" t="s">
        <v>171</v>
      </c>
      <c r="F2" s="514" t="s">
        <v>172</v>
      </c>
      <c r="G2" s="516" t="s">
        <v>154</v>
      </c>
    </row>
    <row r="3" spans="1:7" x14ac:dyDescent="0.25">
      <c r="A3" s="515"/>
      <c r="B3" s="515"/>
      <c r="C3" s="273" t="s">
        <v>173</v>
      </c>
      <c r="D3" s="274" t="s">
        <v>174</v>
      </c>
      <c r="E3" s="273" t="s">
        <v>175</v>
      </c>
      <c r="F3" s="515"/>
      <c r="G3" s="517"/>
    </row>
    <row r="4" spans="1:7" s="45" customFormat="1" ht="15" x14ac:dyDescent="0.25">
      <c r="A4" s="275"/>
      <c r="B4" s="275" t="s">
        <v>176</v>
      </c>
      <c r="C4" s="275"/>
      <c r="D4" s="276"/>
      <c r="E4" s="275"/>
      <c r="F4" s="275"/>
      <c r="G4" s="275"/>
    </row>
    <row r="5" spans="1:7" x14ac:dyDescent="0.2">
      <c r="A5" s="46" t="s">
        <v>177</v>
      </c>
      <c r="B5" s="47" t="s">
        <v>178</v>
      </c>
      <c r="C5" s="79">
        <v>10386</v>
      </c>
      <c r="D5" s="103" t="s">
        <v>179</v>
      </c>
      <c r="E5" s="277">
        <v>1.9</v>
      </c>
      <c r="F5" s="101" t="s">
        <v>180</v>
      </c>
      <c r="G5" s="278" t="s">
        <v>181</v>
      </c>
    </row>
    <row r="6" spans="1:7" x14ac:dyDescent="0.2">
      <c r="A6" s="46" t="s">
        <v>182</v>
      </c>
      <c r="B6" s="47" t="s">
        <v>183</v>
      </c>
      <c r="C6" s="79">
        <v>10386</v>
      </c>
      <c r="D6" s="103" t="s">
        <v>179</v>
      </c>
      <c r="E6" s="277">
        <v>1.9</v>
      </c>
      <c r="F6" s="101" t="s">
        <v>180</v>
      </c>
      <c r="G6" s="278" t="s">
        <v>184</v>
      </c>
    </row>
    <row r="7" spans="1:7" x14ac:dyDescent="0.2">
      <c r="A7" s="46" t="s">
        <v>185</v>
      </c>
      <c r="B7" s="47" t="s">
        <v>186</v>
      </c>
      <c r="C7" s="79">
        <v>10468</v>
      </c>
      <c r="D7" s="103" t="s">
        <v>179</v>
      </c>
      <c r="E7" s="277">
        <v>1.9</v>
      </c>
      <c r="F7" s="101" t="s">
        <v>180</v>
      </c>
      <c r="G7" s="278" t="s">
        <v>187</v>
      </c>
    </row>
    <row r="8" spans="1:7" x14ac:dyDescent="0.2">
      <c r="A8" s="46" t="s">
        <v>188</v>
      </c>
      <c r="B8" s="47" t="s">
        <v>189</v>
      </c>
      <c r="C8" s="79">
        <v>10468</v>
      </c>
      <c r="D8" s="103" t="s">
        <v>179</v>
      </c>
      <c r="E8" s="277">
        <v>1.9</v>
      </c>
      <c r="F8" s="101" t="s">
        <v>180</v>
      </c>
      <c r="G8" s="278" t="s">
        <v>190</v>
      </c>
    </row>
    <row r="9" spans="1:7" x14ac:dyDescent="0.2">
      <c r="A9" s="46" t="s">
        <v>191</v>
      </c>
      <c r="B9" s="47" t="s">
        <v>192</v>
      </c>
      <c r="C9" s="79">
        <v>10468</v>
      </c>
      <c r="D9" s="103" t="s">
        <v>179</v>
      </c>
      <c r="E9" s="277">
        <v>1.9</v>
      </c>
      <c r="F9" s="101" t="s">
        <v>180</v>
      </c>
      <c r="G9" s="278" t="s">
        <v>193</v>
      </c>
    </row>
    <row r="10" spans="1:7" x14ac:dyDescent="0.2">
      <c r="A10" s="46" t="s">
        <v>194</v>
      </c>
      <c r="B10" s="47" t="s">
        <v>195</v>
      </c>
      <c r="C10" s="79">
        <v>10468</v>
      </c>
      <c r="D10" s="103" t="s">
        <v>179</v>
      </c>
      <c r="E10" s="277">
        <v>1.9</v>
      </c>
      <c r="F10" s="101" t="s">
        <v>180</v>
      </c>
      <c r="G10" s="278" t="s">
        <v>196</v>
      </c>
    </row>
    <row r="11" spans="1:7" x14ac:dyDescent="0.2">
      <c r="A11" s="46" t="s">
        <v>197</v>
      </c>
      <c r="B11" s="47" t="s">
        <v>198</v>
      </c>
      <c r="C11" s="79">
        <v>10468</v>
      </c>
      <c r="D11" s="103" t="s">
        <v>179</v>
      </c>
      <c r="E11" s="277">
        <v>1.9</v>
      </c>
      <c r="F11" s="101" t="s">
        <v>180</v>
      </c>
      <c r="G11" s="278" t="s">
        <v>199</v>
      </c>
    </row>
    <row r="12" spans="1:7" x14ac:dyDescent="0.2">
      <c r="A12" s="46" t="s">
        <v>200</v>
      </c>
      <c r="B12" s="47" t="s">
        <v>201</v>
      </c>
      <c r="C12" s="79">
        <v>10468</v>
      </c>
      <c r="D12" s="103" t="s">
        <v>179</v>
      </c>
      <c r="E12" s="277">
        <v>1.9</v>
      </c>
      <c r="F12" s="101" t="s">
        <v>180</v>
      </c>
      <c r="G12" s="278" t="s">
        <v>202</v>
      </c>
    </row>
    <row r="13" spans="1:7" x14ac:dyDescent="0.2">
      <c r="A13" s="46" t="s">
        <v>203</v>
      </c>
      <c r="B13" s="47" t="s">
        <v>204</v>
      </c>
      <c r="C13" s="79">
        <v>10943</v>
      </c>
      <c r="D13" s="103" t="s">
        <v>179</v>
      </c>
      <c r="E13" s="277">
        <v>1.9</v>
      </c>
      <c r="F13" s="101" t="s">
        <v>180</v>
      </c>
      <c r="G13" s="278" t="s">
        <v>205</v>
      </c>
    </row>
    <row r="14" spans="1:7" x14ac:dyDescent="0.2">
      <c r="A14" s="46" t="s">
        <v>206</v>
      </c>
      <c r="B14" s="47" t="s">
        <v>207</v>
      </c>
      <c r="C14" s="79">
        <v>10943</v>
      </c>
      <c r="D14" s="103" t="s">
        <v>179</v>
      </c>
      <c r="E14" s="277">
        <v>1.9</v>
      </c>
      <c r="F14" s="101" t="s">
        <v>180</v>
      </c>
      <c r="G14" s="278" t="s">
        <v>208</v>
      </c>
    </row>
    <row r="15" spans="1:7" x14ac:dyDescent="0.25">
      <c r="A15" s="117"/>
      <c r="B15" s="94"/>
      <c r="C15" s="101"/>
      <c r="D15" s="94"/>
      <c r="E15" s="101"/>
      <c r="F15" s="101"/>
      <c r="G15" s="101"/>
    </row>
    <row r="16" spans="1:7" x14ac:dyDescent="0.2">
      <c r="A16" s="46" t="s">
        <v>209</v>
      </c>
      <c r="B16" s="47" t="s">
        <v>210</v>
      </c>
      <c r="C16" s="79">
        <v>16234</v>
      </c>
      <c r="D16" s="103" t="s">
        <v>211</v>
      </c>
      <c r="E16" s="277">
        <v>3.2</v>
      </c>
      <c r="F16" s="101" t="s">
        <v>180</v>
      </c>
      <c r="G16" s="278" t="s">
        <v>212</v>
      </c>
    </row>
    <row r="17" spans="1:7" x14ac:dyDescent="0.2">
      <c r="A17" s="46" t="s">
        <v>213</v>
      </c>
      <c r="B17" s="47" t="s">
        <v>214</v>
      </c>
      <c r="C17" s="79">
        <v>16250</v>
      </c>
      <c r="D17" s="103" t="s">
        <v>211</v>
      </c>
      <c r="E17" s="277">
        <v>3.2</v>
      </c>
      <c r="F17" s="101" t="s">
        <v>180</v>
      </c>
      <c r="G17" s="278" t="s">
        <v>215</v>
      </c>
    </row>
    <row r="18" spans="1:7" x14ac:dyDescent="0.2">
      <c r="A18" s="46" t="s">
        <v>216</v>
      </c>
      <c r="B18" s="47" t="s">
        <v>217</v>
      </c>
      <c r="C18" s="79">
        <v>16396</v>
      </c>
      <c r="D18" s="103" t="s">
        <v>211</v>
      </c>
      <c r="E18" s="277">
        <v>3.2</v>
      </c>
      <c r="F18" s="101" t="s">
        <v>180</v>
      </c>
      <c r="G18" s="278" t="s">
        <v>218</v>
      </c>
    </row>
    <row r="19" spans="1:7" x14ac:dyDescent="0.2">
      <c r="A19" s="46" t="s">
        <v>219</v>
      </c>
      <c r="B19" s="47" t="s">
        <v>220</v>
      </c>
      <c r="C19" s="79">
        <v>16396</v>
      </c>
      <c r="D19" s="103" t="s">
        <v>211</v>
      </c>
      <c r="E19" s="277">
        <v>3.2</v>
      </c>
      <c r="F19" s="101" t="s">
        <v>180</v>
      </c>
      <c r="G19" s="278" t="s">
        <v>221</v>
      </c>
    </row>
    <row r="20" spans="1:7" x14ac:dyDescent="0.2">
      <c r="A20" s="46" t="s">
        <v>222</v>
      </c>
      <c r="B20" s="47" t="s">
        <v>223</v>
      </c>
      <c r="C20" s="79">
        <v>16399</v>
      </c>
      <c r="D20" s="103" t="s">
        <v>211</v>
      </c>
      <c r="E20" s="277">
        <v>3.2</v>
      </c>
      <c r="F20" s="101" t="s">
        <v>180</v>
      </c>
      <c r="G20" s="278" t="s">
        <v>224</v>
      </c>
    </row>
    <row r="21" spans="1:7" x14ac:dyDescent="0.2">
      <c r="A21" s="46" t="s">
        <v>225</v>
      </c>
      <c r="B21" s="47" t="s">
        <v>226</v>
      </c>
      <c r="C21" s="79">
        <v>16410</v>
      </c>
      <c r="D21" s="103" t="s">
        <v>211</v>
      </c>
      <c r="E21" s="277">
        <v>3.2</v>
      </c>
      <c r="F21" s="101" t="s">
        <v>180</v>
      </c>
      <c r="G21" s="278" t="s">
        <v>227</v>
      </c>
    </row>
    <row r="22" spans="1:7" x14ac:dyDescent="0.2">
      <c r="A22" s="46" t="s">
        <v>228</v>
      </c>
      <c r="B22" s="47" t="s">
        <v>229</v>
      </c>
      <c r="C22" s="79">
        <v>16410</v>
      </c>
      <c r="D22" s="103" t="s">
        <v>211</v>
      </c>
      <c r="E22" s="277">
        <v>3.2</v>
      </c>
      <c r="F22" s="101" t="s">
        <v>180</v>
      </c>
      <c r="G22" s="278" t="s">
        <v>230</v>
      </c>
    </row>
    <row r="23" spans="1:7" x14ac:dyDescent="0.2">
      <c r="A23" s="46" t="s">
        <v>231</v>
      </c>
      <c r="B23" s="47" t="s">
        <v>232</v>
      </c>
      <c r="C23" s="79">
        <v>16426</v>
      </c>
      <c r="D23" s="103" t="s">
        <v>211</v>
      </c>
      <c r="E23" s="277">
        <v>3.2</v>
      </c>
      <c r="F23" s="101" t="s">
        <v>180</v>
      </c>
      <c r="G23" s="278" t="s">
        <v>233</v>
      </c>
    </row>
    <row r="24" spans="1:7" x14ac:dyDescent="0.2">
      <c r="A24" s="46" t="s">
        <v>234</v>
      </c>
      <c r="B24" s="47" t="s">
        <v>235</v>
      </c>
      <c r="C24" s="79">
        <v>16441</v>
      </c>
      <c r="D24" s="103" t="s">
        <v>211</v>
      </c>
      <c r="E24" s="277">
        <v>3.2</v>
      </c>
      <c r="F24" s="101" t="s">
        <v>180</v>
      </c>
      <c r="G24" s="278" t="s">
        <v>236</v>
      </c>
    </row>
    <row r="25" spans="1:7" x14ac:dyDescent="0.2">
      <c r="A25" s="46" t="s">
        <v>237</v>
      </c>
      <c r="B25" s="47" t="s">
        <v>238</v>
      </c>
      <c r="C25" s="79">
        <v>16441</v>
      </c>
      <c r="D25" s="103" t="s">
        <v>211</v>
      </c>
      <c r="E25" s="277">
        <v>3.2</v>
      </c>
      <c r="F25" s="101" t="s">
        <v>180</v>
      </c>
      <c r="G25" s="278" t="s">
        <v>239</v>
      </c>
    </row>
    <row r="26" spans="1:7" x14ac:dyDescent="0.2">
      <c r="A26" s="46" t="s">
        <v>240</v>
      </c>
      <c r="B26" s="47" t="s">
        <v>241</v>
      </c>
      <c r="C26" s="79">
        <v>16578</v>
      </c>
      <c r="D26" s="103" t="s">
        <v>211</v>
      </c>
      <c r="E26" s="277">
        <v>3.2</v>
      </c>
      <c r="F26" s="101" t="s">
        <v>180</v>
      </c>
      <c r="G26" s="278" t="s">
        <v>242</v>
      </c>
    </row>
    <row r="27" spans="1:7" x14ac:dyDescent="0.2">
      <c r="A27" s="46" t="s">
        <v>243</v>
      </c>
      <c r="B27" s="47" t="s">
        <v>244</v>
      </c>
      <c r="C27" s="79">
        <v>16695</v>
      </c>
      <c r="D27" s="103" t="s">
        <v>211</v>
      </c>
      <c r="E27" s="277">
        <v>3.2</v>
      </c>
      <c r="F27" s="101" t="s">
        <v>180</v>
      </c>
      <c r="G27" s="278" t="s">
        <v>245</v>
      </c>
    </row>
    <row r="28" spans="1:7" x14ac:dyDescent="0.2">
      <c r="A28" s="46" t="s">
        <v>246</v>
      </c>
      <c r="B28" s="47" t="s">
        <v>247</v>
      </c>
      <c r="C28" s="79">
        <v>17252</v>
      </c>
      <c r="D28" s="103" t="s">
        <v>248</v>
      </c>
      <c r="E28" s="277">
        <v>3.8</v>
      </c>
      <c r="F28" s="101" t="s">
        <v>180</v>
      </c>
      <c r="G28" s="278" t="s">
        <v>249</v>
      </c>
    </row>
    <row r="29" spans="1:7" x14ac:dyDescent="0.2">
      <c r="A29" s="46" t="s">
        <v>250</v>
      </c>
      <c r="B29" s="47" t="s">
        <v>251</v>
      </c>
      <c r="C29" s="79">
        <v>17792</v>
      </c>
      <c r="D29" s="103" t="s">
        <v>248</v>
      </c>
      <c r="E29" s="277">
        <v>3.9</v>
      </c>
      <c r="F29" s="101" t="s">
        <v>180</v>
      </c>
      <c r="G29" s="278" t="s">
        <v>252</v>
      </c>
    </row>
    <row r="30" spans="1:7" x14ac:dyDescent="0.2">
      <c r="A30" s="46"/>
      <c r="B30" s="47"/>
      <c r="C30" s="79"/>
      <c r="D30" s="103"/>
      <c r="E30" s="277"/>
      <c r="F30" s="101"/>
      <c r="G30" s="278"/>
    </row>
    <row r="31" spans="1:7" x14ac:dyDescent="0.2">
      <c r="A31" s="46" t="s">
        <v>253</v>
      </c>
      <c r="B31" s="47" t="s">
        <v>254</v>
      </c>
      <c r="C31" s="79">
        <v>21167</v>
      </c>
      <c r="D31" s="279" t="s">
        <v>255</v>
      </c>
      <c r="E31" s="280">
        <v>7</v>
      </c>
      <c r="F31" s="92" t="s">
        <v>180</v>
      </c>
      <c r="G31" s="113" t="s">
        <v>256</v>
      </c>
    </row>
    <row r="32" spans="1:7" x14ac:dyDescent="0.2">
      <c r="A32" s="46" t="s">
        <v>257</v>
      </c>
      <c r="B32" s="47" t="s">
        <v>258</v>
      </c>
      <c r="C32" s="79">
        <v>21167</v>
      </c>
      <c r="D32" s="279" t="s">
        <v>255</v>
      </c>
      <c r="E32" s="280">
        <v>7</v>
      </c>
      <c r="F32" s="92" t="s">
        <v>180</v>
      </c>
      <c r="G32" s="113" t="s">
        <v>259</v>
      </c>
    </row>
    <row r="33" spans="1:7" x14ac:dyDescent="0.2">
      <c r="A33" s="46" t="s">
        <v>260</v>
      </c>
      <c r="B33" s="47" t="s">
        <v>261</v>
      </c>
      <c r="C33" s="79">
        <v>21397</v>
      </c>
      <c r="D33" s="279" t="s">
        <v>255</v>
      </c>
      <c r="E33" s="280">
        <v>7</v>
      </c>
      <c r="F33" s="92" t="s">
        <v>180</v>
      </c>
      <c r="G33" s="113" t="s">
        <v>262</v>
      </c>
    </row>
    <row r="34" spans="1:7" x14ac:dyDescent="0.2">
      <c r="A34" s="46" t="s">
        <v>263</v>
      </c>
      <c r="B34" s="47" t="s">
        <v>264</v>
      </c>
      <c r="C34" s="79">
        <v>21397</v>
      </c>
      <c r="D34" s="279" t="s">
        <v>255</v>
      </c>
      <c r="E34" s="280">
        <v>7</v>
      </c>
      <c r="F34" s="92" t="s">
        <v>180</v>
      </c>
      <c r="G34" s="113" t="s">
        <v>265</v>
      </c>
    </row>
    <row r="35" spans="1:7" x14ac:dyDescent="0.2">
      <c r="A35" s="46" t="s">
        <v>266</v>
      </c>
      <c r="B35" s="47" t="s">
        <v>267</v>
      </c>
      <c r="C35" s="79">
        <v>21416</v>
      </c>
      <c r="D35" s="279" t="s">
        <v>255</v>
      </c>
      <c r="E35" s="280">
        <v>7</v>
      </c>
      <c r="F35" s="92" t="s">
        <v>180</v>
      </c>
      <c r="G35" s="113" t="s">
        <v>268</v>
      </c>
    </row>
    <row r="36" spans="1:7" x14ac:dyDescent="0.2">
      <c r="A36" s="46" t="s">
        <v>269</v>
      </c>
      <c r="B36" s="47" t="s">
        <v>270</v>
      </c>
      <c r="C36" s="79">
        <v>21541</v>
      </c>
      <c r="D36" s="279" t="s">
        <v>255</v>
      </c>
      <c r="E36" s="280">
        <v>7</v>
      </c>
      <c r="F36" s="92" t="s">
        <v>180</v>
      </c>
      <c r="G36" s="113" t="s">
        <v>271</v>
      </c>
    </row>
    <row r="37" spans="1:7" x14ac:dyDescent="0.2">
      <c r="A37" s="46" t="s">
        <v>272</v>
      </c>
      <c r="B37" s="47" t="s">
        <v>273</v>
      </c>
      <c r="C37" s="79">
        <v>21541</v>
      </c>
      <c r="D37" s="279" t="s">
        <v>255</v>
      </c>
      <c r="E37" s="280">
        <v>7</v>
      </c>
      <c r="F37" s="92" t="s">
        <v>180</v>
      </c>
      <c r="G37" s="113" t="s">
        <v>274</v>
      </c>
    </row>
    <row r="38" spans="1:7" x14ac:dyDescent="0.2">
      <c r="A38" s="46" t="s">
        <v>275</v>
      </c>
      <c r="B38" s="47" t="s">
        <v>276</v>
      </c>
      <c r="C38" s="79">
        <v>21617</v>
      </c>
      <c r="D38" s="279" t="s">
        <v>255</v>
      </c>
      <c r="E38" s="280">
        <v>7</v>
      </c>
      <c r="F38" s="92" t="s">
        <v>180</v>
      </c>
      <c r="G38" s="113" t="s">
        <v>277</v>
      </c>
    </row>
    <row r="39" spans="1:7" x14ac:dyDescent="0.2">
      <c r="A39" s="46" t="s">
        <v>278</v>
      </c>
      <c r="B39" s="47" t="s">
        <v>279</v>
      </c>
      <c r="C39" s="79">
        <v>21863</v>
      </c>
      <c r="D39" s="279" t="s">
        <v>255</v>
      </c>
      <c r="E39" s="280">
        <v>7</v>
      </c>
      <c r="F39" s="92" t="s">
        <v>180</v>
      </c>
      <c r="G39" s="113" t="s">
        <v>280</v>
      </c>
    </row>
    <row r="40" spans="1:7" x14ac:dyDescent="0.2">
      <c r="A40" s="46" t="s">
        <v>281</v>
      </c>
      <c r="B40" s="47" t="s">
        <v>282</v>
      </c>
      <c r="C40" s="79">
        <v>21863</v>
      </c>
      <c r="D40" s="279" t="s">
        <v>255</v>
      </c>
      <c r="E40" s="280">
        <v>7</v>
      </c>
      <c r="F40" s="92" t="s">
        <v>180</v>
      </c>
      <c r="G40" s="113" t="s">
        <v>283</v>
      </c>
    </row>
    <row r="41" spans="1:7" x14ac:dyDescent="0.2">
      <c r="A41" s="46" t="s">
        <v>284</v>
      </c>
      <c r="B41" s="47" t="s">
        <v>285</v>
      </c>
      <c r="C41" s="79">
        <v>23662</v>
      </c>
      <c r="D41" s="279" t="s">
        <v>255</v>
      </c>
      <c r="E41" s="280">
        <v>7</v>
      </c>
      <c r="F41" s="92" t="s">
        <v>180</v>
      </c>
      <c r="G41" s="113" t="s">
        <v>286</v>
      </c>
    </row>
    <row r="42" spans="1:7" x14ac:dyDescent="0.2">
      <c r="A42" s="46" t="s">
        <v>287</v>
      </c>
      <c r="B42" s="47" t="s">
        <v>288</v>
      </c>
      <c r="C42" s="79">
        <v>24273</v>
      </c>
      <c r="D42" s="279" t="s">
        <v>255</v>
      </c>
      <c r="E42" s="280">
        <v>7</v>
      </c>
      <c r="F42" s="92" t="s">
        <v>180</v>
      </c>
      <c r="G42" s="113" t="s">
        <v>289</v>
      </c>
    </row>
    <row r="43" spans="1:7" x14ac:dyDescent="0.2">
      <c r="A43" s="46" t="s">
        <v>290</v>
      </c>
      <c r="B43" s="47" t="s">
        <v>291</v>
      </c>
      <c r="C43" s="79">
        <v>25399</v>
      </c>
      <c r="D43" s="279" t="s">
        <v>255</v>
      </c>
      <c r="E43" s="280">
        <v>7</v>
      </c>
      <c r="F43" s="92" t="s">
        <v>180</v>
      </c>
      <c r="G43" s="113" t="s">
        <v>292</v>
      </c>
    </row>
    <row r="44" spans="1:7" x14ac:dyDescent="0.2">
      <c r="A44" s="46" t="s">
        <v>293</v>
      </c>
      <c r="B44" s="47" t="s">
        <v>294</v>
      </c>
      <c r="C44" s="79">
        <v>26753</v>
      </c>
      <c r="D44" s="279" t="s">
        <v>255</v>
      </c>
      <c r="E44" s="280">
        <v>7</v>
      </c>
      <c r="F44" s="92" t="s">
        <v>180</v>
      </c>
      <c r="G44" s="113" t="s">
        <v>295</v>
      </c>
    </row>
    <row r="45" spans="1:7" x14ac:dyDescent="0.2">
      <c r="A45" s="46" t="s">
        <v>296</v>
      </c>
      <c r="B45" s="47" t="s">
        <v>297</v>
      </c>
      <c r="C45" s="79">
        <v>29922</v>
      </c>
      <c r="D45" s="279" t="s">
        <v>255</v>
      </c>
      <c r="E45" s="280">
        <v>8</v>
      </c>
      <c r="F45" s="92" t="s">
        <v>180</v>
      </c>
      <c r="G45" s="113" t="s">
        <v>298</v>
      </c>
    </row>
    <row r="46" spans="1:7" x14ac:dyDescent="0.2">
      <c r="A46" s="46" t="s">
        <v>299</v>
      </c>
      <c r="B46" s="47" t="s">
        <v>300</v>
      </c>
      <c r="C46" s="79">
        <v>30814</v>
      </c>
      <c r="D46" s="279" t="s">
        <v>255</v>
      </c>
      <c r="E46" s="280">
        <v>8</v>
      </c>
      <c r="F46" s="92" t="s">
        <v>180</v>
      </c>
      <c r="G46" s="113" t="s">
        <v>301</v>
      </c>
    </row>
    <row r="47" spans="1:7" x14ac:dyDescent="0.2">
      <c r="A47" s="46" t="s">
        <v>302</v>
      </c>
      <c r="B47" s="47" t="s">
        <v>303</v>
      </c>
      <c r="C47" s="79">
        <v>33134</v>
      </c>
      <c r="D47" s="279" t="s">
        <v>255</v>
      </c>
      <c r="E47" s="280">
        <v>8</v>
      </c>
      <c r="F47" s="92" t="s">
        <v>180</v>
      </c>
      <c r="G47" s="113" t="s">
        <v>304</v>
      </c>
    </row>
    <row r="48" spans="1:7" x14ac:dyDescent="0.25">
      <c r="A48" s="117"/>
      <c r="B48" s="90"/>
      <c r="C48" s="281"/>
      <c r="D48" s="103"/>
      <c r="E48" s="277"/>
      <c r="F48" s="101"/>
      <c r="G48" s="101"/>
    </row>
    <row r="49" spans="1:7" x14ac:dyDescent="0.25">
      <c r="A49" s="117" t="s">
        <v>305</v>
      </c>
      <c r="B49" s="282" t="s">
        <v>306</v>
      </c>
      <c r="C49" s="79">
        <v>8511</v>
      </c>
      <c r="D49" s="103" t="s">
        <v>307</v>
      </c>
      <c r="E49" s="277">
        <v>1.3</v>
      </c>
      <c r="F49" s="101" t="s">
        <v>180</v>
      </c>
      <c r="G49" s="278" t="s">
        <v>308</v>
      </c>
    </row>
    <row r="50" spans="1:7" x14ac:dyDescent="0.25">
      <c r="A50" s="117" t="s">
        <v>309</v>
      </c>
      <c r="B50" s="282" t="s">
        <v>310</v>
      </c>
      <c r="C50" s="79">
        <v>8511</v>
      </c>
      <c r="D50" s="103" t="s">
        <v>307</v>
      </c>
      <c r="E50" s="277">
        <v>1.3</v>
      </c>
      <c r="F50" s="101" t="s">
        <v>180</v>
      </c>
      <c r="G50" s="278" t="s">
        <v>311</v>
      </c>
    </row>
    <row r="51" spans="1:7" x14ac:dyDescent="0.25">
      <c r="A51" s="117" t="s">
        <v>312</v>
      </c>
      <c r="B51" s="282" t="s">
        <v>313</v>
      </c>
      <c r="C51" s="79">
        <v>8578</v>
      </c>
      <c r="D51" s="103" t="s">
        <v>307</v>
      </c>
      <c r="E51" s="277">
        <v>1.3</v>
      </c>
      <c r="F51" s="101" t="s">
        <v>180</v>
      </c>
      <c r="G51" s="278" t="s">
        <v>314</v>
      </c>
    </row>
    <row r="52" spans="1:7" x14ac:dyDescent="0.25">
      <c r="A52" s="117" t="s">
        <v>315</v>
      </c>
      <c r="B52" s="282" t="s">
        <v>316</v>
      </c>
      <c r="C52" s="79">
        <v>8578</v>
      </c>
      <c r="D52" s="103" t="s">
        <v>307</v>
      </c>
      <c r="E52" s="277">
        <v>1.3</v>
      </c>
      <c r="F52" s="101" t="s">
        <v>180</v>
      </c>
      <c r="G52" s="278" t="s">
        <v>317</v>
      </c>
    </row>
    <row r="53" spans="1:7" x14ac:dyDescent="0.25">
      <c r="A53" s="117" t="s">
        <v>318</v>
      </c>
      <c r="B53" s="282" t="s">
        <v>319</v>
      </c>
      <c r="C53" s="79">
        <v>8578</v>
      </c>
      <c r="D53" s="103" t="s">
        <v>307</v>
      </c>
      <c r="E53" s="277">
        <v>1.3</v>
      </c>
      <c r="F53" s="101" t="s">
        <v>180</v>
      </c>
      <c r="G53" s="278" t="s">
        <v>320</v>
      </c>
    </row>
    <row r="54" spans="1:7" x14ac:dyDescent="0.25">
      <c r="A54" s="117" t="s">
        <v>321</v>
      </c>
      <c r="B54" s="282" t="s">
        <v>322</v>
      </c>
      <c r="C54" s="79">
        <v>8578</v>
      </c>
      <c r="D54" s="103" t="s">
        <v>307</v>
      </c>
      <c r="E54" s="277">
        <v>1.3</v>
      </c>
      <c r="F54" s="101" t="s">
        <v>180</v>
      </c>
      <c r="G54" s="278" t="s">
        <v>323</v>
      </c>
    </row>
    <row r="55" spans="1:7" x14ac:dyDescent="0.25">
      <c r="A55" s="117" t="s">
        <v>324</v>
      </c>
      <c r="B55" s="282" t="s">
        <v>325</v>
      </c>
      <c r="C55" s="79">
        <v>8578</v>
      </c>
      <c r="D55" s="103" t="s">
        <v>307</v>
      </c>
      <c r="E55" s="277">
        <v>1.3</v>
      </c>
      <c r="F55" s="101" t="s">
        <v>180</v>
      </c>
      <c r="G55" s="278" t="s">
        <v>326</v>
      </c>
    </row>
    <row r="56" spans="1:7" x14ac:dyDescent="0.25">
      <c r="A56" s="117" t="s">
        <v>327</v>
      </c>
      <c r="B56" s="282" t="s">
        <v>328</v>
      </c>
      <c r="C56" s="79">
        <v>8578</v>
      </c>
      <c r="D56" s="103" t="s">
        <v>307</v>
      </c>
      <c r="E56" s="277">
        <v>1.3</v>
      </c>
      <c r="F56" s="101" t="s">
        <v>180</v>
      </c>
      <c r="G56" s="278" t="s">
        <v>329</v>
      </c>
    </row>
    <row r="57" spans="1:7" x14ac:dyDescent="0.25">
      <c r="A57" s="117" t="s">
        <v>330</v>
      </c>
      <c r="B57" s="282" t="s">
        <v>331</v>
      </c>
      <c r="C57" s="79">
        <v>8699</v>
      </c>
      <c r="D57" s="103" t="s">
        <v>307</v>
      </c>
      <c r="E57" s="277">
        <v>1.3</v>
      </c>
      <c r="F57" s="101" t="s">
        <v>180</v>
      </c>
      <c r="G57" s="278" t="s">
        <v>332</v>
      </c>
    </row>
    <row r="58" spans="1:7" x14ac:dyDescent="0.25">
      <c r="A58" s="117" t="s">
        <v>333</v>
      </c>
      <c r="B58" s="282" t="s">
        <v>334</v>
      </c>
      <c r="C58" s="79">
        <v>8699</v>
      </c>
      <c r="D58" s="103" t="s">
        <v>307</v>
      </c>
      <c r="E58" s="277">
        <v>1.3</v>
      </c>
      <c r="F58" s="101" t="s">
        <v>180</v>
      </c>
      <c r="G58" s="278" t="s">
        <v>335</v>
      </c>
    </row>
    <row r="59" spans="1:7" x14ac:dyDescent="0.25">
      <c r="A59" s="117" t="s">
        <v>336</v>
      </c>
      <c r="B59" s="282" t="s">
        <v>337</v>
      </c>
      <c r="C59" s="79">
        <v>8836</v>
      </c>
      <c r="D59" s="103" t="s">
        <v>307</v>
      </c>
      <c r="E59" s="277">
        <v>1.4</v>
      </c>
      <c r="F59" s="101" t="s">
        <v>180</v>
      </c>
      <c r="G59" s="278" t="s">
        <v>338</v>
      </c>
    </row>
    <row r="60" spans="1:7" x14ac:dyDescent="0.25">
      <c r="A60" s="117" t="s">
        <v>339</v>
      </c>
      <c r="B60" s="282" t="s">
        <v>340</v>
      </c>
      <c r="C60" s="79">
        <v>9246</v>
      </c>
      <c r="D60" s="103" t="s">
        <v>307</v>
      </c>
      <c r="E60" s="277">
        <v>1.4</v>
      </c>
      <c r="F60" s="101" t="s">
        <v>180</v>
      </c>
      <c r="G60" s="278" t="s">
        <v>341</v>
      </c>
    </row>
    <row r="61" spans="1:7" x14ac:dyDescent="0.25">
      <c r="A61" s="117"/>
      <c r="B61" s="282"/>
      <c r="C61" s="281"/>
      <c r="D61" s="103"/>
      <c r="E61" s="277"/>
      <c r="F61" s="101"/>
      <c r="G61" s="101"/>
    </row>
    <row r="62" spans="1:7" x14ac:dyDescent="0.2">
      <c r="A62" s="46" t="s">
        <v>342</v>
      </c>
      <c r="B62" s="47" t="s">
        <v>343</v>
      </c>
      <c r="C62" s="79">
        <v>11557</v>
      </c>
      <c r="D62" s="103" t="s">
        <v>344</v>
      </c>
      <c r="E62" s="277">
        <v>0.9</v>
      </c>
      <c r="F62" s="101" t="s">
        <v>180</v>
      </c>
      <c r="G62" s="278" t="s">
        <v>345</v>
      </c>
    </row>
    <row r="63" spans="1:7" x14ac:dyDescent="0.25">
      <c r="A63" s="117"/>
      <c r="B63" s="282"/>
      <c r="C63" s="281"/>
      <c r="D63" s="103"/>
      <c r="E63" s="277"/>
      <c r="F63" s="101"/>
      <c r="G63" s="101"/>
    </row>
    <row r="64" spans="1:7" x14ac:dyDescent="0.2">
      <c r="A64" s="46" t="s">
        <v>346</v>
      </c>
      <c r="B64" s="47" t="s">
        <v>347</v>
      </c>
      <c r="C64" s="79">
        <v>24768</v>
      </c>
      <c r="D64" s="103" t="s">
        <v>179</v>
      </c>
      <c r="E64" s="277">
        <v>2.1</v>
      </c>
      <c r="F64" s="101" t="s">
        <v>180</v>
      </c>
      <c r="G64" s="278" t="s">
        <v>348</v>
      </c>
    </row>
    <row r="65" spans="1:7" x14ac:dyDescent="0.2">
      <c r="A65" s="46" t="s">
        <v>349</v>
      </c>
      <c r="B65" s="47" t="s">
        <v>350</v>
      </c>
      <c r="C65" s="79">
        <v>24768</v>
      </c>
      <c r="D65" s="103" t="s">
        <v>179</v>
      </c>
      <c r="E65" s="277">
        <v>2.1</v>
      </c>
      <c r="F65" s="101" t="s">
        <v>180</v>
      </c>
      <c r="G65" s="278" t="s">
        <v>351</v>
      </c>
    </row>
    <row r="66" spans="1:7" x14ac:dyDescent="0.2">
      <c r="A66" s="46" t="s">
        <v>352</v>
      </c>
      <c r="B66" s="47" t="s">
        <v>353</v>
      </c>
      <c r="C66" s="79">
        <v>24968</v>
      </c>
      <c r="D66" s="103" t="s">
        <v>179</v>
      </c>
      <c r="E66" s="277">
        <v>2.1</v>
      </c>
      <c r="F66" s="101" t="s">
        <v>180</v>
      </c>
      <c r="G66" s="278" t="s">
        <v>354</v>
      </c>
    </row>
    <row r="67" spans="1:7" x14ac:dyDescent="0.2">
      <c r="A67" s="46" t="s">
        <v>355</v>
      </c>
      <c r="B67" s="47" t="s">
        <v>356</v>
      </c>
      <c r="C67" s="79">
        <v>24968</v>
      </c>
      <c r="D67" s="103" t="s">
        <v>179</v>
      </c>
      <c r="E67" s="277">
        <v>2.1</v>
      </c>
      <c r="F67" s="101" t="s">
        <v>180</v>
      </c>
      <c r="G67" s="278" t="s">
        <v>357</v>
      </c>
    </row>
    <row r="68" spans="1:7" x14ac:dyDescent="0.2">
      <c r="A68" s="46" t="s">
        <v>358</v>
      </c>
      <c r="B68" s="47" t="s">
        <v>359</v>
      </c>
      <c r="C68" s="79">
        <v>24968</v>
      </c>
      <c r="D68" s="103" t="s">
        <v>179</v>
      </c>
      <c r="E68" s="277">
        <v>2.1</v>
      </c>
      <c r="F68" s="101" t="s">
        <v>180</v>
      </c>
      <c r="G68" s="278" t="s">
        <v>360</v>
      </c>
    </row>
    <row r="69" spans="1:7" x14ac:dyDescent="0.2">
      <c r="A69" s="46" t="s">
        <v>361</v>
      </c>
      <c r="B69" s="47" t="s">
        <v>362</v>
      </c>
      <c r="C69" s="79">
        <v>24968</v>
      </c>
      <c r="D69" s="103" t="s">
        <v>179</v>
      </c>
      <c r="E69" s="277">
        <v>2.1</v>
      </c>
      <c r="F69" s="101" t="s">
        <v>180</v>
      </c>
      <c r="G69" s="278" t="s">
        <v>363</v>
      </c>
    </row>
    <row r="70" spans="1:7" x14ac:dyDescent="0.2">
      <c r="A70" s="46" t="s">
        <v>364</v>
      </c>
      <c r="B70" s="47" t="s">
        <v>365</v>
      </c>
      <c r="C70" s="79">
        <v>24968</v>
      </c>
      <c r="D70" s="103" t="s">
        <v>179</v>
      </c>
      <c r="E70" s="277">
        <v>2.1</v>
      </c>
      <c r="F70" s="101" t="s">
        <v>180</v>
      </c>
      <c r="G70" s="278" t="s">
        <v>366</v>
      </c>
    </row>
    <row r="71" spans="1:7" x14ac:dyDescent="0.2">
      <c r="A71" s="46" t="s">
        <v>367</v>
      </c>
      <c r="B71" s="47" t="s">
        <v>368</v>
      </c>
      <c r="C71" s="79">
        <v>24968</v>
      </c>
      <c r="D71" s="103" t="s">
        <v>179</v>
      </c>
      <c r="E71" s="277">
        <v>2.1</v>
      </c>
      <c r="F71" s="101" t="s">
        <v>180</v>
      </c>
      <c r="G71" s="278" t="s">
        <v>369</v>
      </c>
    </row>
    <row r="72" spans="1:7" x14ac:dyDescent="0.2">
      <c r="A72" s="46" t="s">
        <v>370</v>
      </c>
      <c r="B72" s="47" t="s">
        <v>371</v>
      </c>
      <c r="C72" s="79">
        <v>25272</v>
      </c>
      <c r="D72" s="103" t="s">
        <v>179</v>
      </c>
      <c r="E72" s="277">
        <v>2.1</v>
      </c>
      <c r="F72" s="101" t="s">
        <v>180</v>
      </c>
      <c r="G72" s="278" t="s">
        <v>372</v>
      </c>
    </row>
    <row r="73" spans="1:7" x14ac:dyDescent="0.2">
      <c r="A73" s="46" t="s">
        <v>373</v>
      </c>
      <c r="B73" s="47" t="s">
        <v>374</v>
      </c>
      <c r="C73" s="79">
        <v>25272</v>
      </c>
      <c r="D73" s="103" t="s">
        <v>179</v>
      </c>
      <c r="E73" s="277">
        <v>2.1</v>
      </c>
      <c r="F73" s="101" t="s">
        <v>180</v>
      </c>
      <c r="G73" s="278" t="s">
        <v>375</v>
      </c>
    </row>
    <row r="74" spans="1:7" x14ac:dyDescent="0.25">
      <c r="A74" s="117"/>
      <c r="B74" s="282"/>
      <c r="C74" s="281"/>
      <c r="D74" s="103"/>
      <c r="E74" s="277"/>
      <c r="F74" s="101"/>
      <c r="G74" s="101"/>
    </row>
    <row r="75" spans="1:7" x14ac:dyDescent="0.2">
      <c r="A75" s="46" t="s">
        <v>376</v>
      </c>
      <c r="B75" s="47" t="s">
        <v>377</v>
      </c>
      <c r="C75" s="79">
        <v>32413</v>
      </c>
      <c r="D75" s="103" t="s">
        <v>248</v>
      </c>
      <c r="E75" s="277">
        <v>3.9</v>
      </c>
      <c r="F75" s="101" t="s">
        <v>180</v>
      </c>
      <c r="G75" s="278" t="s">
        <v>378</v>
      </c>
    </row>
    <row r="76" spans="1:7" x14ac:dyDescent="0.2">
      <c r="A76" s="46" t="s">
        <v>379</v>
      </c>
      <c r="B76" s="47" t="s">
        <v>380</v>
      </c>
      <c r="C76" s="79">
        <v>32413</v>
      </c>
      <c r="D76" s="103" t="s">
        <v>248</v>
      </c>
      <c r="E76" s="277">
        <v>3.9</v>
      </c>
      <c r="F76" s="101" t="s">
        <v>180</v>
      </c>
      <c r="G76" s="278" t="s">
        <v>381</v>
      </c>
    </row>
    <row r="77" spans="1:7" x14ac:dyDescent="0.2">
      <c r="A77" s="46" t="s">
        <v>382</v>
      </c>
      <c r="B77" s="47" t="s">
        <v>383</v>
      </c>
      <c r="C77" s="79">
        <v>32673</v>
      </c>
      <c r="D77" s="103" t="s">
        <v>248</v>
      </c>
      <c r="E77" s="277">
        <v>3.9</v>
      </c>
      <c r="F77" s="101" t="s">
        <v>180</v>
      </c>
      <c r="G77" s="278" t="s">
        <v>384</v>
      </c>
    </row>
    <row r="78" spans="1:7" x14ac:dyDescent="0.2">
      <c r="A78" s="46" t="s">
        <v>385</v>
      </c>
      <c r="B78" s="47" t="s">
        <v>386</v>
      </c>
      <c r="C78" s="79">
        <v>32673</v>
      </c>
      <c r="D78" s="103" t="s">
        <v>248</v>
      </c>
      <c r="E78" s="277">
        <v>3.9</v>
      </c>
      <c r="F78" s="101" t="s">
        <v>180</v>
      </c>
      <c r="G78" s="278" t="s">
        <v>387</v>
      </c>
    </row>
    <row r="79" spans="1:7" x14ac:dyDescent="0.2">
      <c r="A79" s="46" t="s">
        <v>388</v>
      </c>
      <c r="B79" s="47" t="s">
        <v>389</v>
      </c>
      <c r="C79" s="79">
        <v>32673</v>
      </c>
      <c r="D79" s="103" t="s">
        <v>248</v>
      </c>
      <c r="E79" s="277">
        <v>3.9</v>
      </c>
      <c r="F79" s="101" t="s">
        <v>180</v>
      </c>
      <c r="G79" s="278" t="s">
        <v>390</v>
      </c>
    </row>
    <row r="80" spans="1:7" x14ac:dyDescent="0.2">
      <c r="A80" s="46" t="s">
        <v>391</v>
      </c>
      <c r="B80" s="47" t="s">
        <v>392</v>
      </c>
      <c r="C80" s="79">
        <v>32673</v>
      </c>
      <c r="D80" s="103" t="s">
        <v>248</v>
      </c>
      <c r="E80" s="277">
        <v>3.9</v>
      </c>
      <c r="F80" s="101" t="s">
        <v>180</v>
      </c>
      <c r="G80" s="278" t="s">
        <v>393</v>
      </c>
    </row>
    <row r="81" spans="1:7" x14ac:dyDescent="0.2">
      <c r="A81" s="46" t="s">
        <v>394</v>
      </c>
      <c r="B81" s="47" t="s">
        <v>395</v>
      </c>
      <c r="C81" s="79">
        <v>32673</v>
      </c>
      <c r="D81" s="103" t="s">
        <v>248</v>
      </c>
      <c r="E81" s="277">
        <v>3.9</v>
      </c>
      <c r="F81" s="101" t="s">
        <v>180</v>
      </c>
      <c r="G81" s="278" t="s">
        <v>396</v>
      </c>
    </row>
    <row r="82" spans="1:7" s="45" customFormat="1" ht="15" x14ac:dyDescent="0.2">
      <c r="A82" s="46" t="s">
        <v>397</v>
      </c>
      <c r="B82" s="47" t="s">
        <v>398</v>
      </c>
      <c r="C82" s="79">
        <v>32673</v>
      </c>
      <c r="D82" s="103" t="s">
        <v>248</v>
      </c>
      <c r="E82" s="277">
        <v>3.9</v>
      </c>
      <c r="F82" s="101" t="s">
        <v>180</v>
      </c>
      <c r="G82" s="278" t="s">
        <v>399</v>
      </c>
    </row>
    <row r="83" spans="1:7" x14ac:dyDescent="0.2">
      <c r="A83" s="46" t="s">
        <v>400</v>
      </c>
      <c r="B83" s="47" t="s">
        <v>401</v>
      </c>
      <c r="C83" s="79">
        <v>32966</v>
      </c>
      <c r="D83" s="103" t="s">
        <v>248</v>
      </c>
      <c r="E83" s="277">
        <v>3.9</v>
      </c>
      <c r="F83" s="101" t="s">
        <v>180</v>
      </c>
      <c r="G83" s="278" t="s">
        <v>402</v>
      </c>
    </row>
    <row r="84" spans="1:7" x14ac:dyDescent="0.2">
      <c r="A84" s="46" t="s">
        <v>403</v>
      </c>
      <c r="B84" s="47" t="s">
        <v>404</v>
      </c>
      <c r="C84" s="79">
        <v>32966</v>
      </c>
      <c r="D84" s="103" t="s">
        <v>248</v>
      </c>
      <c r="E84" s="277">
        <v>3.9</v>
      </c>
      <c r="F84" s="101" t="s">
        <v>180</v>
      </c>
      <c r="G84" s="278" t="s">
        <v>405</v>
      </c>
    </row>
    <row r="85" spans="1:7" x14ac:dyDescent="0.2">
      <c r="A85" s="46" t="s">
        <v>406</v>
      </c>
      <c r="B85" s="47" t="s">
        <v>407</v>
      </c>
      <c r="C85" s="79">
        <v>33974</v>
      </c>
      <c r="D85" s="103" t="s">
        <v>248</v>
      </c>
      <c r="E85" s="277">
        <v>4.0999999999999996</v>
      </c>
      <c r="F85" s="101" t="s">
        <v>180</v>
      </c>
      <c r="G85" s="278" t="s">
        <v>408</v>
      </c>
    </row>
    <row r="86" spans="1:7" x14ac:dyDescent="0.2">
      <c r="A86" s="46" t="s">
        <v>409</v>
      </c>
      <c r="B86" s="47" t="s">
        <v>410</v>
      </c>
      <c r="C86" s="79">
        <v>35528</v>
      </c>
      <c r="D86" s="103" t="s">
        <v>248</v>
      </c>
      <c r="E86" s="277">
        <v>4.0999999999999996</v>
      </c>
      <c r="F86" s="101" t="s">
        <v>180</v>
      </c>
      <c r="G86" s="278" t="s">
        <v>411</v>
      </c>
    </row>
    <row r="87" spans="1:7" s="45" customFormat="1" ht="15" x14ac:dyDescent="0.25">
      <c r="A87" s="275"/>
      <c r="B87" s="275" t="s">
        <v>412</v>
      </c>
      <c r="C87" s="283"/>
      <c r="D87" s="276"/>
      <c r="E87" s="275"/>
      <c r="F87" s="275"/>
      <c r="G87" s="275"/>
    </row>
    <row r="88" spans="1:7" s="69" customFormat="1" ht="15" x14ac:dyDescent="0.25">
      <c r="A88" s="284"/>
      <c r="B88" s="285" t="s">
        <v>413</v>
      </c>
      <c r="C88" s="286"/>
      <c r="D88" s="287"/>
      <c r="E88" s="284"/>
      <c r="F88" s="284"/>
      <c r="G88" s="284"/>
    </row>
    <row r="89" spans="1:7" x14ac:dyDescent="0.2">
      <c r="A89" s="97" t="s">
        <v>414</v>
      </c>
      <c r="B89" s="71" t="s">
        <v>415</v>
      </c>
      <c r="C89" s="79">
        <v>30594</v>
      </c>
      <c r="D89" s="279" t="s">
        <v>248</v>
      </c>
      <c r="E89" s="288">
        <v>3.5</v>
      </c>
      <c r="F89" s="92" t="s">
        <v>180</v>
      </c>
      <c r="G89" s="113" t="s">
        <v>416</v>
      </c>
    </row>
    <row r="90" spans="1:7" x14ac:dyDescent="0.2">
      <c r="A90" s="97" t="s">
        <v>417</v>
      </c>
      <c r="B90" s="71" t="s">
        <v>418</v>
      </c>
      <c r="C90" s="79">
        <v>30661</v>
      </c>
      <c r="D90" s="279" t="s">
        <v>248</v>
      </c>
      <c r="E90" s="288">
        <v>3.5</v>
      </c>
      <c r="F90" s="92" t="s">
        <v>180</v>
      </c>
      <c r="G90" s="113" t="s">
        <v>419</v>
      </c>
    </row>
    <row r="91" spans="1:7" x14ac:dyDescent="0.2">
      <c r="A91" s="97" t="s">
        <v>420</v>
      </c>
      <c r="B91" s="71" t="s">
        <v>421</v>
      </c>
      <c r="C91" s="79">
        <v>31491</v>
      </c>
      <c r="D91" s="279" t="s">
        <v>248</v>
      </c>
      <c r="E91" s="288">
        <v>3.5</v>
      </c>
      <c r="F91" s="92" t="s">
        <v>180</v>
      </c>
      <c r="G91" s="113" t="s">
        <v>422</v>
      </c>
    </row>
    <row r="92" spans="1:7" x14ac:dyDescent="0.2">
      <c r="A92" s="97" t="s">
        <v>423</v>
      </c>
      <c r="B92" s="71" t="s">
        <v>424</v>
      </c>
      <c r="C92" s="79">
        <v>35207</v>
      </c>
      <c r="D92" s="279" t="s">
        <v>425</v>
      </c>
      <c r="E92" s="288">
        <v>4.8</v>
      </c>
      <c r="F92" s="92" t="s">
        <v>180</v>
      </c>
      <c r="G92" s="113" t="s">
        <v>426</v>
      </c>
    </row>
    <row r="93" spans="1:7" x14ac:dyDescent="0.2">
      <c r="A93" s="97" t="s">
        <v>427</v>
      </c>
      <c r="B93" s="71" t="s">
        <v>428</v>
      </c>
      <c r="C93" s="79">
        <v>37134</v>
      </c>
      <c r="D93" s="279" t="s">
        <v>425</v>
      </c>
      <c r="E93" s="288">
        <v>4.8</v>
      </c>
      <c r="F93" s="92" t="s">
        <v>180</v>
      </c>
      <c r="G93" s="113" t="s">
        <v>429</v>
      </c>
    </row>
    <row r="94" spans="1:7" x14ac:dyDescent="0.2">
      <c r="A94" s="289" t="s">
        <v>430</v>
      </c>
      <c r="B94" s="71" t="s">
        <v>431</v>
      </c>
      <c r="C94" s="79">
        <v>35549</v>
      </c>
      <c r="D94" s="279" t="s">
        <v>432</v>
      </c>
      <c r="E94" s="288">
        <v>7</v>
      </c>
      <c r="F94" s="92" t="s">
        <v>180</v>
      </c>
      <c r="G94" s="113" t="s">
        <v>433</v>
      </c>
    </row>
    <row r="95" spans="1:7" x14ac:dyDescent="0.2">
      <c r="A95" s="289" t="s">
        <v>434</v>
      </c>
      <c r="B95" s="71" t="s">
        <v>435</v>
      </c>
      <c r="C95" s="79">
        <v>35614</v>
      </c>
      <c r="D95" s="279" t="s">
        <v>432</v>
      </c>
      <c r="E95" s="288">
        <v>7</v>
      </c>
      <c r="F95" s="92" t="s">
        <v>180</v>
      </c>
      <c r="G95" s="113" t="s">
        <v>436</v>
      </c>
    </row>
    <row r="96" spans="1:7" x14ac:dyDescent="0.2">
      <c r="A96" s="289" t="s">
        <v>437</v>
      </c>
      <c r="B96" s="71" t="s">
        <v>438</v>
      </c>
      <c r="C96" s="79">
        <v>35912</v>
      </c>
      <c r="D96" s="279" t="s">
        <v>432</v>
      </c>
      <c r="E96" s="288">
        <v>7</v>
      </c>
      <c r="F96" s="92" t="s">
        <v>180</v>
      </c>
      <c r="G96" s="113" t="s">
        <v>439</v>
      </c>
    </row>
    <row r="97" spans="1:7" x14ac:dyDescent="0.2">
      <c r="A97" s="289" t="s">
        <v>440</v>
      </c>
      <c r="B97" s="71" t="s">
        <v>441</v>
      </c>
      <c r="C97" s="79">
        <v>38899</v>
      </c>
      <c r="D97" s="279" t="s">
        <v>432</v>
      </c>
      <c r="E97" s="288">
        <v>7</v>
      </c>
      <c r="F97" s="92" t="s">
        <v>180</v>
      </c>
      <c r="G97" s="113" t="s">
        <v>442</v>
      </c>
    </row>
    <row r="98" spans="1:7" x14ac:dyDescent="0.2">
      <c r="A98" s="289" t="s">
        <v>443</v>
      </c>
      <c r="B98" s="71" t="s">
        <v>444</v>
      </c>
      <c r="C98" s="79">
        <v>40146</v>
      </c>
      <c r="D98" s="279" t="s">
        <v>432</v>
      </c>
      <c r="E98" s="288">
        <v>7</v>
      </c>
      <c r="F98" s="92" t="s">
        <v>180</v>
      </c>
      <c r="G98" s="113" t="s">
        <v>445</v>
      </c>
    </row>
    <row r="99" spans="1:7" x14ac:dyDescent="0.2">
      <c r="A99" s="289" t="s">
        <v>446</v>
      </c>
      <c r="B99" s="71" t="s">
        <v>447</v>
      </c>
      <c r="C99" s="79">
        <v>44779</v>
      </c>
      <c r="D99" s="279" t="s">
        <v>432</v>
      </c>
      <c r="E99" s="288">
        <v>8</v>
      </c>
      <c r="F99" s="92" t="s">
        <v>180</v>
      </c>
      <c r="G99" s="113" t="s">
        <v>448</v>
      </c>
    </row>
    <row r="100" spans="1:7" x14ac:dyDescent="0.2">
      <c r="A100" s="289" t="s">
        <v>449</v>
      </c>
      <c r="B100" s="71" t="s">
        <v>450</v>
      </c>
      <c r="C100" s="79">
        <v>49391</v>
      </c>
      <c r="D100" s="279" t="s">
        <v>432</v>
      </c>
      <c r="E100" s="288">
        <v>8</v>
      </c>
      <c r="F100" s="92" t="s">
        <v>180</v>
      </c>
      <c r="G100" s="113" t="s">
        <v>451</v>
      </c>
    </row>
    <row r="101" spans="1:7" x14ac:dyDescent="0.2">
      <c r="A101" s="289" t="s">
        <v>452</v>
      </c>
      <c r="B101" s="71" t="s">
        <v>453</v>
      </c>
      <c r="C101" s="79">
        <v>52873</v>
      </c>
      <c r="D101" s="279" t="s">
        <v>432</v>
      </c>
      <c r="E101" s="288">
        <v>8</v>
      </c>
      <c r="F101" s="92" t="s">
        <v>180</v>
      </c>
      <c r="G101" s="113" t="s">
        <v>454</v>
      </c>
    </row>
    <row r="102" spans="1:7" x14ac:dyDescent="0.2">
      <c r="A102" s="97" t="s">
        <v>455</v>
      </c>
      <c r="B102" s="71" t="s">
        <v>456</v>
      </c>
      <c r="C102" s="79">
        <v>33850</v>
      </c>
      <c r="D102" s="279" t="s">
        <v>248</v>
      </c>
      <c r="E102" s="288">
        <v>3.5</v>
      </c>
      <c r="F102" s="92" t="s">
        <v>180</v>
      </c>
      <c r="G102" s="113" t="s">
        <v>457</v>
      </c>
    </row>
    <row r="103" spans="1:7" x14ac:dyDescent="0.2">
      <c r="A103" s="97" t="s">
        <v>458</v>
      </c>
      <c r="B103" s="71" t="s">
        <v>459</v>
      </c>
      <c r="C103" s="79">
        <v>33895</v>
      </c>
      <c r="D103" s="279" t="s">
        <v>248</v>
      </c>
      <c r="E103" s="288">
        <v>3.5</v>
      </c>
      <c r="F103" s="92" t="s">
        <v>180</v>
      </c>
      <c r="G103" s="113" t="s">
        <v>457</v>
      </c>
    </row>
    <row r="104" spans="1:7" x14ac:dyDescent="0.2">
      <c r="A104" s="97" t="s">
        <v>460</v>
      </c>
      <c r="B104" s="71" t="s">
        <v>461</v>
      </c>
      <c r="C104" s="79">
        <v>34778</v>
      </c>
      <c r="D104" s="279" t="s">
        <v>248</v>
      </c>
      <c r="E104" s="288">
        <v>3.5</v>
      </c>
      <c r="F104" s="92" t="s">
        <v>180</v>
      </c>
      <c r="G104" s="113" t="s">
        <v>457</v>
      </c>
    </row>
    <row r="105" spans="1:7" x14ac:dyDescent="0.2">
      <c r="A105" s="97" t="s">
        <v>462</v>
      </c>
      <c r="B105" s="71" t="s">
        <v>463</v>
      </c>
      <c r="C105" s="79">
        <v>38546</v>
      </c>
      <c r="D105" s="279" t="s">
        <v>425</v>
      </c>
      <c r="E105" s="288">
        <v>4.8</v>
      </c>
      <c r="F105" s="92" t="s">
        <v>180</v>
      </c>
      <c r="G105" s="113" t="s">
        <v>457</v>
      </c>
    </row>
    <row r="106" spans="1:7" x14ac:dyDescent="0.2">
      <c r="A106" s="97" t="s">
        <v>464</v>
      </c>
      <c r="B106" s="71" t="s">
        <v>465</v>
      </c>
      <c r="C106" s="79">
        <v>40532</v>
      </c>
      <c r="D106" s="279" t="s">
        <v>425</v>
      </c>
      <c r="E106" s="288">
        <v>4.8</v>
      </c>
      <c r="F106" s="92" t="s">
        <v>180</v>
      </c>
      <c r="G106" s="113" t="s">
        <v>457</v>
      </c>
    </row>
    <row r="107" spans="1:7" x14ac:dyDescent="0.2">
      <c r="A107" s="289" t="s">
        <v>466</v>
      </c>
      <c r="B107" s="71" t="s">
        <v>467</v>
      </c>
      <c r="C107" s="79">
        <v>38491</v>
      </c>
      <c r="D107" s="279" t="s">
        <v>432</v>
      </c>
      <c r="E107" s="288">
        <v>7</v>
      </c>
      <c r="F107" s="92" t="s">
        <v>180</v>
      </c>
      <c r="G107" s="113" t="s">
        <v>468</v>
      </c>
    </row>
    <row r="108" spans="1:7" x14ac:dyDescent="0.2">
      <c r="A108" s="289" t="s">
        <v>469</v>
      </c>
      <c r="B108" s="71" t="s">
        <v>470</v>
      </c>
      <c r="C108" s="79">
        <v>38554</v>
      </c>
      <c r="D108" s="279" t="s">
        <v>432</v>
      </c>
      <c r="E108" s="288">
        <v>7</v>
      </c>
      <c r="F108" s="92" t="s">
        <v>180</v>
      </c>
      <c r="G108" s="113" t="s">
        <v>471</v>
      </c>
    </row>
    <row r="109" spans="1:7" x14ac:dyDescent="0.2">
      <c r="A109" s="289" t="s">
        <v>472</v>
      </c>
      <c r="B109" s="71" t="s">
        <v>473</v>
      </c>
      <c r="C109" s="79">
        <v>38854</v>
      </c>
      <c r="D109" s="279" t="s">
        <v>432</v>
      </c>
      <c r="E109" s="288">
        <v>7</v>
      </c>
      <c r="F109" s="92" t="s">
        <v>180</v>
      </c>
      <c r="G109" s="113" t="s">
        <v>474</v>
      </c>
    </row>
    <row r="110" spans="1:7" x14ac:dyDescent="0.2">
      <c r="A110" s="289" t="s">
        <v>475</v>
      </c>
      <c r="B110" s="71" t="s">
        <v>476</v>
      </c>
      <c r="C110" s="79">
        <v>41841</v>
      </c>
      <c r="D110" s="279" t="s">
        <v>432</v>
      </c>
      <c r="E110" s="288">
        <v>7</v>
      </c>
      <c r="F110" s="92" t="s">
        <v>180</v>
      </c>
      <c r="G110" s="113" t="s">
        <v>477</v>
      </c>
    </row>
    <row r="111" spans="1:7" x14ac:dyDescent="0.2">
      <c r="A111" s="289" t="s">
        <v>478</v>
      </c>
      <c r="B111" s="71" t="s">
        <v>479</v>
      </c>
      <c r="C111" s="79">
        <v>43086</v>
      </c>
      <c r="D111" s="279" t="s">
        <v>432</v>
      </c>
      <c r="E111" s="288">
        <v>7</v>
      </c>
      <c r="F111" s="92" t="s">
        <v>180</v>
      </c>
      <c r="G111" s="113" t="s">
        <v>480</v>
      </c>
    </row>
    <row r="112" spans="1:7" x14ac:dyDescent="0.2">
      <c r="A112" s="289" t="s">
        <v>481</v>
      </c>
      <c r="B112" s="71" t="s">
        <v>482</v>
      </c>
      <c r="C112" s="79">
        <v>47794</v>
      </c>
      <c r="D112" s="279" t="s">
        <v>432</v>
      </c>
      <c r="E112" s="288">
        <v>8</v>
      </c>
      <c r="F112" s="92" t="s">
        <v>180</v>
      </c>
      <c r="G112" s="113" t="s">
        <v>483</v>
      </c>
    </row>
    <row r="113" spans="1:7" x14ac:dyDescent="0.2">
      <c r="A113" s="289" t="s">
        <v>484</v>
      </c>
      <c r="B113" s="71" t="s">
        <v>485</v>
      </c>
      <c r="C113" s="79">
        <v>52453</v>
      </c>
      <c r="D113" s="279" t="s">
        <v>432</v>
      </c>
      <c r="E113" s="288">
        <v>8</v>
      </c>
      <c r="F113" s="92" t="s">
        <v>180</v>
      </c>
      <c r="G113" s="113" t="s">
        <v>486</v>
      </c>
    </row>
    <row r="114" spans="1:7" x14ac:dyDescent="0.2">
      <c r="A114" s="289" t="s">
        <v>487</v>
      </c>
      <c r="B114" s="71" t="s">
        <v>488</v>
      </c>
      <c r="C114" s="79">
        <v>55985</v>
      </c>
      <c r="D114" s="279" t="s">
        <v>432</v>
      </c>
      <c r="E114" s="288">
        <v>8</v>
      </c>
      <c r="F114" s="92" t="s">
        <v>180</v>
      </c>
      <c r="G114" s="113" t="s">
        <v>489</v>
      </c>
    </row>
    <row r="115" spans="1:7" x14ac:dyDescent="0.2">
      <c r="A115" s="97" t="s">
        <v>490</v>
      </c>
      <c r="B115" s="71" t="s">
        <v>491</v>
      </c>
      <c r="C115" s="79">
        <v>28751</v>
      </c>
      <c r="D115" s="279" t="s">
        <v>248</v>
      </c>
      <c r="E115" s="288">
        <v>4.0999999999999996</v>
      </c>
      <c r="F115" s="92" t="s">
        <v>180</v>
      </c>
      <c r="G115" s="113" t="s">
        <v>492</v>
      </c>
    </row>
    <row r="116" spans="1:7" x14ac:dyDescent="0.2">
      <c r="A116" s="97" t="s">
        <v>493</v>
      </c>
      <c r="B116" s="71" t="s">
        <v>494</v>
      </c>
      <c r="C116" s="79">
        <v>31182</v>
      </c>
      <c r="D116" s="279" t="s">
        <v>248</v>
      </c>
      <c r="E116" s="288">
        <v>4.0999999999999996</v>
      </c>
      <c r="F116" s="92" t="s">
        <v>180</v>
      </c>
      <c r="G116" s="113" t="s">
        <v>495</v>
      </c>
    </row>
    <row r="117" spans="1:7" x14ac:dyDescent="0.2">
      <c r="A117" s="97" t="s">
        <v>496</v>
      </c>
      <c r="B117" s="71" t="s">
        <v>497</v>
      </c>
      <c r="C117" s="79">
        <v>34791</v>
      </c>
      <c r="D117" s="279" t="s">
        <v>498</v>
      </c>
      <c r="E117" s="288">
        <v>5.6</v>
      </c>
      <c r="F117" s="92" t="s">
        <v>180</v>
      </c>
      <c r="G117" s="113" t="s">
        <v>499</v>
      </c>
    </row>
    <row r="118" spans="1:7" x14ac:dyDescent="0.2">
      <c r="A118" s="97" t="s">
        <v>500</v>
      </c>
      <c r="B118" s="71" t="s">
        <v>501</v>
      </c>
      <c r="C118" s="79">
        <v>39714</v>
      </c>
      <c r="D118" s="279" t="s">
        <v>498</v>
      </c>
      <c r="E118" s="288">
        <v>5.8</v>
      </c>
      <c r="F118" s="92" t="s">
        <v>180</v>
      </c>
      <c r="G118" s="113" t="s">
        <v>502</v>
      </c>
    </row>
    <row r="119" spans="1:7" x14ac:dyDescent="0.2">
      <c r="A119" s="289" t="s">
        <v>503</v>
      </c>
      <c r="B119" s="75" t="s">
        <v>504</v>
      </c>
      <c r="C119" s="79">
        <v>37924</v>
      </c>
      <c r="D119" s="279" t="s">
        <v>432</v>
      </c>
      <c r="E119" s="288">
        <v>7</v>
      </c>
      <c r="F119" s="92" t="s">
        <v>180</v>
      </c>
      <c r="G119" s="113" t="s">
        <v>505</v>
      </c>
    </row>
    <row r="120" spans="1:7" x14ac:dyDescent="0.2">
      <c r="A120" s="289" t="s">
        <v>506</v>
      </c>
      <c r="B120" s="75" t="s">
        <v>507</v>
      </c>
      <c r="C120" s="79">
        <v>38228</v>
      </c>
      <c r="D120" s="279" t="s">
        <v>432</v>
      </c>
      <c r="E120" s="288">
        <v>7</v>
      </c>
      <c r="F120" s="92" t="s">
        <v>180</v>
      </c>
      <c r="G120" s="113" t="s">
        <v>508</v>
      </c>
    </row>
    <row r="121" spans="1:7" x14ac:dyDescent="0.2">
      <c r="A121" s="289" t="s">
        <v>509</v>
      </c>
      <c r="B121" s="75" t="s">
        <v>510</v>
      </c>
      <c r="C121" s="79">
        <v>38836</v>
      </c>
      <c r="D121" s="279" t="s">
        <v>432</v>
      </c>
      <c r="E121" s="288">
        <v>7</v>
      </c>
      <c r="F121" s="92" t="s">
        <v>180</v>
      </c>
      <c r="G121" s="113" t="s">
        <v>511</v>
      </c>
    </row>
    <row r="122" spans="1:7" x14ac:dyDescent="0.2">
      <c r="A122" s="289" t="s">
        <v>512</v>
      </c>
      <c r="B122" s="75" t="s">
        <v>513</v>
      </c>
      <c r="C122" s="79">
        <v>39443</v>
      </c>
      <c r="D122" s="279" t="s">
        <v>432</v>
      </c>
      <c r="E122" s="288">
        <v>7</v>
      </c>
      <c r="F122" s="92" t="s">
        <v>180</v>
      </c>
      <c r="G122" s="113" t="s">
        <v>514</v>
      </c>
    </row>
    <row r="123" spans="1:7" x14ac:dyDescent="0.2">
      <c r="A123" s="289" t="s">
        <v>515</v>
      </c>
      <c r="B123" s="75" t="s">
        <v>516</v>
      </c>
      <c r="C123" s="79">
        <v>43775</v>
      </c>
      <c r="D123" s="279" t="s">
        <v>432</v>
      </c>
      <c r="E123" s="288">
        <v>7</v>
      </c>
      <c r="F123" s="92" t="s">
        <v>180</v>
      </c>
      <c r="G123" s="113" t="s">
        <v>517</v>
      </c>
    </row>
    <row r="124" spans="1:7" x14ac:dyDescent="0.2">
      <c r="A124" s="289" t="s">
        <v>518</v>
      </c>
      <c r="B124" s="75" t="s">
        <v>519</v>
      </c>
      <c r="C124" s="79">
        <v>44899</v>
      </c>
      <c r="D124" s="279" t="s">
        <v>432</v>
      </c>
      <c r="E124" s="288">
        <v>7</v>
      </c>
      <c r="F124" s="92" t="s">
        <v>180</v>
      </c>
      <c r="G124" s="113" t="s">
        <v>520</v>
      </c>
    </row>
    <row r="125" spans="1:7" x14ac:dyDescent="0.2">
      <c r="A125" s="289" t="s">
        <v>521</v>
      </c>
      <c r="B125" s="75" t="s">
        <v>522</v>
      </c>
      <c r="C125" s="79">
        <v>46606</v>
      </c>
      <c r="D125" s="279" t="s">
        <v>432</v>
      </c>
      <c r="E125" s="288">
        <v>7</v>
      </c>
      <c r="F125" s="92" t="s">
        <v>180</v>
      </c>
      <c r="G125" s="113" t="s">
        <v>523</v>
      </c>
    </row>
    <row r="126" spans="1:7" x14ac:dyDescent="0.2">
      <c r="A126" s="289" t="s">
        <v>524</v>
      </c>
      <c r="B126" s="75" t="s">
        <v>525</v>
      </c>
      <c r="C126" s="79">
        <v>47586</v>
      </c>
      <c r="D126" s="279" t="s">
        <v>432</v>
      </c>
      <c r="E126" s="288">
        <v>7</v>
      </c>
      <c r="F126" s="92" t="s">
        <v>180</v>
      </c>
      <c r="G126" s="113" t="s">
        <v>526</v>
      </c>
    </row>
    <row r="127" spans="1:7" x14ac:dyDescent="0.2">
      <c r="A127" s="289" t="s">
        <v>527</v>
      </c>
      <c r="B127" s="75" t="s">
        <v>528</v>
      </c>
      <c r="C127" s="79">
        <v>45900</v>
      </c>
      <c r="D127" s="279" t="s">
        <v>432</v>
      </c>
      <c r="E127" s="288">
        <v>7</v>
      </c>
      <c r="F127" s="92" t="s">
        <v>180</v>
      </c>
      <c r="G127" s="113" t="s">
        <v>529</v>
      </c>
    </row>
    <row r="128" spans="1:7" x14ac:dyDescent="0.2">
      <c r="A128" s="289" t="s">
        <v>530</v>
      </c>
      <c r="B128" s="75" t="s">
        <v>531</v>
      </c>
      <c r="C128" s="79">
        <v>47407</v>
      </c>
      <c r="D128" s="279" t="s">
        <v>432</v>
      </c>
      <c r="E128" s="288">
        <v>8</v>
      </c>
      <c r="F128" s="92" t="s">
        <v>180</v>
      </c>
      <c r="G128" s="113" t="s">
        <v>532</v>
      </c>
    </row>
    <row r="129" spans="1:7" x14ac:dyDescent="0.2">
      <c r="A129" s="289" t="s">
        <v>533</v>
      </c>
      <c r="B129" s="75" t="s">
        <v>534</v>
      </c>
      <c r="C129" s="79">
        <v>49460</v>
      </c>
      <c r="D129" s="279" t="s">
        <v>432</v>
      </c>
      <c r="E129" s="288">
        <v>8</v>
      </c>
      <c r="F129" s="92" t="s">
        <v>180</v>
      </c>
      <c r="G129" s="113" t="s">
        <v>535</v>
      </c>
    </row>
    <row r="130" spans="1:7" x14ac:dyDescent="0.2">
      <c r="A130" s="289" t="s">
        <v>536</v>
      </c>
      <c r="B130" s="75" t="s">
        <v>537</v>
      </c>
      <c r="C130" s="79">
        <v>50536</v>
      </c>
      <c r="D130" s="279" t="s">
        <v>432</v>
      </c>
      <c r="E130" s="288">
        <v>8</v>
      </c>
      <c r="F130" s="92" t="s">
        <v>180</v>
      </c>
      <c r="G130" s="113" t="s">
        <v>538</v>
      </c>
    </row>
    <row r="131" spans="1:7" x14ac:dyDescent="0.2">
      <c r="A131" s="289" t="s">
        <v>539</v>
      </c>
      <c r="B131" s="75" t="s">
        <v>540</v>
      </c>
      <c r="C131" s="79">
        <v>70319</v>
      </c>
      <c r="D131" s="279" t="s">
        <v>541</v>
      </c>
      <c r="E131" s="288">
        <v>11</v>
      </c>
      <c r="F131" s="92" t="s">
        <v>180</v>
      </c>
      <c r="G131" s="113" t="s">
        <v>542</v>
      </c>
    </row>
    <row r="132" spans="1:7" x14ac:dyDescent="0.2">
      <c r="A132" s="289" t="s">
        <v>543</v>
      </c>
      <c r="B132" s="75" t="s">
        <v>544</v>
      </c>
      <c r="C132" s="79">
        <v>73196</v>
      </c>
      <c r="D132" s="279" t="s">
        <v>541</v>
      </c>
      <c r="E132" s="288">
        <v>11</v>
      </c>
      <c r="F132" s="92" t="s">
        <v>180</v>
      </c>
      <c r="G132" s="113" t="s">
        <v>545</v>
      </c>
    </row>
    <row r="133" spans="1:7" x14ac:dyDescent="0.2">
      <c r="A133" s="289" t="s">
        <v>546</v>
      </c>
      <c r="B133" s="75" t="s">
        <v>547</v>
      </c>
      <c r="C133" s="79">
        <v>76337</v>
      </c>
      <c r="D133" s="279" t="s">
        <v>541</v>
      </c>
      <c r="E133" s="288">
        <v>11</v>
      </c>
      <c r="F133" s="92" t="s">
        <v>180</v>
      </c>
      <c r="G133" s="113" t="s">
        <v>548</v>
      </c>
    </row>
    <row r="134" spans="1:7" x14ac:dyDescent="0.2">
      <c r="A134" s="289" t="s">
        <v>549</v>
      </c>
      <c r="B134" s="75" t="s">
        <v>550</v>
      </c>
      <c r="C134" s="79">
        <v>79204</v>
      </c>
      <c r="D134" s="279" t="s">
        <v>541</v>
      </c>
      <c r="E134" s="288">
        <v>11</v>
      </c>
      <c r="F134" s="92" t="s">
        <v>180</v>
      </c>
      <c r="G134" s="113" t="s">
        <v>551</v>
      </c>
    </row>
    <row r="135" spans="1:7" x14ac:dyDescent="0.2">
      <c r="A135" s="289" t="s">
        <v>552</v>
      </c>
      <c r="B135" s="75" t="s">
        <v>553</v>
      </c>
      <c r="C135" s="79">
        <v>70885</v>
      </c>
      <c r="D135" s="279" t="s">
        <v>541</v>
      </c>
      <c r="E135" s="288">
        <v>11</v>
      </c>
      <c r="F135" s="92" t="s">
        <v>180</v>
      </c>
      <c r="G135" s="113" t="s">
        <v>554</v>
      </c>
    </row>
    <row r="136" spans="1:7" x14ac:dyDescent="0.2">
      <c r="A136" s="289" t="s">
        <v>555</v>
      </c>
      <c r="B136" s="75" t="s">
        <v>556</v>
      </c>
      <c r="C136" s="79">
        <v>73804</v>
      </c>
      <c r="D136" s="279" t="s">
        <v>541</v>
      </c>
      <c r="E136" s="288">
        <v>11</v>
      </c>
      <c r="F136" s="92" t="s">
        <v>180</v>
      </c>
      <c r="G136" s="113" t="s">
        <v>557</v>
      </c>
    </row>
    <row r="137" spans="1:7" x14ac:dyDescent="0.2">
      <c r="A137" s="289" t="s">
        <v>558</v>
      </c>
      <c r="B137" s="75" t="s">
        <v>559</v>
      </c>
      <c r="C137" s="79">
        <v>76984</v>
      </c>
      <c r="D137" s="279" t="s">
        <v>541</v>
      </c>
      <c r="E137" s="288">
        <v>11</v>
      </c>
      <c r="F137" s="92" t="s">
        <v>180</v>
      </c>
      <c r="G137" s="113" t="s">
        <v>560</v>
      </c>
    </row>
    <row r="138" spans="1:7" x14ac:dyDescent="0.2">
      <c r="A138" s="289" t="s">
        <v>561</v>
      </c>
      <c r="B138" s="75" t="s">
        <v>562</v>
      </c>
      <c r="C138" s="79">
        <v>80315</v>
      </c>
      <c r="D138" s="279" t="s">
        <v>541</v>
      </c>
      <c r="E138" s="288">
        <v>11</v>
      </c>
      <c r="F138" s="92" t="s">
        <v>180</v>
      </c>
      <c r="G138" s="113" t="s">
        <v>563</v>
      </c>
    </row>
    <row r="139" spans="1:7" x14ac:dyDescent="0.2">
      <c r="A139" s="289" t="s">
        <v>564</v>
      </c>
      <c r="B139" s="75" t="s">
        <v>565</v>
      </c>
      <c r="C139" s="79">
        <v>71400</v>
      </c>
      <c r="D139" s="279" t="s">
        <v>541</v>
      </c>
      <c r="E139" s="288">
        <v>11</v>
      </c>
      <c r="F139" s="92" t="s">
        <v>180</v>
      </c>
      <c r="G139" s="113" t="s">
        <v>566</v>
      </c>
    </row>
    <row r="140" spans="1:7" x14ac:dyDescent="0.2">
      <c r="A140" s="289" t="s">
        <v>567</v>
      </c>
      <c r="B140" s="75" t="s">
        <v>568</v>
      </c>
      <c r="C140" s="79">
        <v>74323</v>
      </c>
      <c r="D140" s="279" t="s">
        <v>541</v>
      </c>
      <c r="E140" s="288">
        <v>11</v>
      </c>
      <c r="F140" s="92" t="s">
        <v>180</v>
      </c>
      <c r="G140" s="113" t="s">
        <v>569</v>
      </c>
    </row>
    <row r="141" spans="1:7" x14ac:dyDescent="0.2">
      <c r="A141" s="289" t="s">
        <v>570</v>
      </c>
      <c r="B141" s="75" t="s">
        <v>571</v>
      </c>
      <c r="C141" s="79">
        <v>77476</v>
      </c>
      <c r="D141" s="279" t="s">
        <v>541</v>
      </c>
      <c r="E141" s="288">
        <v>11</v>
      </c>
      <c r="F141" s="92" t="s">
        <v>180</v>
      </c>
      <c r="G141" s="113" t="s">
        <v>572</v>
      </c>
    </row>
    <row r="142" spans="1:7" x14ac:dyDescent="0.2">
      <c r="A142" s="289" t="s">
        <v>573</v>
      </c>
      <c r="B142" s="75" t="s">
        <v>574</v>
      </c>
      <c r="C142" s="79">
        <v>80838</v>
      </c>
      <c r="D142" s="279" t="s">
        <v>541</v>
      </c>
      <c r="E142" s="288">
        <v>11</v>
      </c>
      <c r="F142" s="92" t="s">
        <v>180</v>
      </c>
      <c r="G142" s="113" t="s">
        <v>575</v>
      </c>
    </row>
    <row r="143" spans="1:7" x14ac:dyDescent="0.2">
      <c r="A143" s="289" t="s">
        <v>576</v>
      </c>
      <c r="B143" s="75" t="s">
        <v>577</v>
      </c>
      <c r="C143" s="79">
        <v>70319</v>
      </c>
      <c r="D143" s="279" t="s">
        <v>578</v>
      </c>
      <c r="E143" s="288">
        <v>21</v>
      </c>
      <c r="F143" s="92" t="s">
        <v>180</v>
      </c>
      <c r="G143" s="113" t="s">
        <v>579</v>
      </c>
    </row>
    <row r="144" spans="1:7" x14ac:dyDescent="0.2">
      <c r="A144" s="289" t="s">
        <v>580</v>
      </c>
      <c r="B144" s="75" t="s">
        <v>581</v>
      </c>
      <c r="C144" s="79">
        <v>70319</v>
      </c>
      <c r="D144" s="279" t="s">
        <v>578</v>
      </c>
      <c r="E144" s="288">
        <v>21</v>
      </c>
      <c r="F144" s="92" t="s">
        <v>180</v>
      </c>
      <c r="G144" s="113" t="s">
        <v>582</v>
      </c>
    </row>
    <row r="145" spans="1:7" x14ac:dyDescent="0.2">
      <c r="A145" s="289" t="s">
        <v>583</v>
      </c>
      <c r="B145" s="75" t="s">
        <v>584</v>
      </c>
      <c r="C145" s="79">
        <v>79170</v>
      </c>
      <c r="D145" s="279" t="s">
        <v>578</v>
      </c>
      <c r="E145" s="288">
        <v>21</v>
      </c>
      <c r="F145" s="92" t="s">
        <v>180</v>
      </c>
      <c r="G145" s="113" t="s">
        <v>585</v>
      </c>
    </row>
    <row r="146" spans="1:7" x14ac:dyDescent="0.2">
      <c r="A146" s="289" t="s">
        <v>586</v>
      </c>
      <c r="B146" s="75" t="s">
        <v>587</v>
      </c>
      <c r="C146" s="79">
        <v>82084</v>
      </c>
      <c r="D146" s="279" t="s">
        <v>578</v>
      </c>
      <c r="E146" s="288">
        <v>21</v>
      </c>
      <c r="F146" s="92" t="s">
        <v>180</v>
      </c>
      <c r="G146" s="113" t="s">
        <v>588</v>
      </c>
    </row>
    <row r="147" spans="1:7" x14ac:dyDescent="0.2">
      <c r="A147" s="289" t="s">
        <v>589</v>
      </c>
      <c r="B147" s="75" t="s">
        <v>590</v>
      </c>
      <c r="C147" s="79">
        <v>75268</v>
      </c>
      <c r="D147" s="279" t="s">
        <v>578</v>
      </c>
      <c r="E147" s="288">
        <v>21</v>
      </c>
      <c r="F147" s="92" t="s">
        <v>180</v>
      </c>
      <c r="G147" s="113" t="s">
        <v>591</v>
      </c>
    </row>
    <row r="148" spans="1:7" x14ac:dyDescent="0.2">
      <c r="A148" s="289" t="s">
        <v>592</v>
      </c>
      <c r="B148" s="75" t="s">
        <v>593</v>
      </c>
      <c r="C148" s="79">
        <v>77819</v>
      </c>
      <c r="D148" s="279" t="s">
        <v>578</v>
      </c>
      <c r="E148" s="288">
        <v>21</v>
      </c>
      <c r="F148" s="92" t="s">
        <v>180</v>
      </c>
      <c r="G148" s="113" t="s">
        <v>594</v>
      </c>
    </row>
    <row r="149" spans="1:7" x14ac:dyDescent="0.2">
      <c r="A149" s="289" t="s">
        <v>595</v>
      </c>
      <c r="B149" s="75" t="s">
        <v>596</v>
      </c>
      <c r="C149" s="79">
        <v>79883</v>
      </c>
      <c r="D149" s="279" t="s">
        <v>578</v>
      </c>
      <c r="E149" s="288">
        <v>21</v>
      </c>
      <c r="F149" s="92" t="s">
        <v>180</v>
      </c>
      <c r="G149" s="113" t="s">
        <v>597</v>
      </c>
    </row>
    <row r="150" spans="1:7" x14ac:dyDescent="0.2">
      <c r="A150" s="289" t="s">
        <v>598</v>
      </c>
      <c r="B150" s="75" t="s">
        <v>599</v>
      </c>
      <c r="C150" s="79">
        <v>82798</v>
      </c>
      <c r="D150" s="279" t="s">
        <v>578</v>
      </c>
      <c r="E150" s="288">
        <v>21</v>
      </c>
      <c r="F150" s="92" t="s">
        <v>180</v>
      </c>
      <c r="G150" s="113" t="s">
        <v>600</v>
      </c>
    </row>
    <row r="151" spans="1:7" x14ac:dyDescent="0.2">
      <c r="A151" s="289" t="s">
        <v>601</v>
      </c>
      <c r="B151" s="75" t="s">
        <v>602</v>
      </c>
      <c r="C151" s="79">
        <v>77042</v>
      </c>
      <c r="D151" s="279" t="s">
        <v>578</v>
      </c>
      <c r="E151" s="288">
        <v>21</v>
      </c>
      <c r="F151" s="92" t="s">
        <v>180</v>
      </c>
      <c r="G151" s="113" t="s">
        <v>603</v>
      </c>
    </row>
    <row r="152" spans="1:7" x14ac:dyDescent="0.2">
      <c r="A152" s="289" t="s">
        <v>604</v>
      </c>
      <c r="B152" s="75" t="s">
        <v>605</v>
      </c>
      <c r="C152" s="79">
        <v>79634</v>
      </c>
      <c r="D152" s="279" t="s">
        <v>578</v>
      </c>
      <c r="E152" s="288">
        <v>21</v>
      </c>
      <c r="F152" s="92" t="s">
        <v>180</v>
      </c>
      <c r="G152" s="113" t="s">
        <v>606</v>
      </c>
    </row>
    <row r="153" spans="1:7" x14ac:dyDescent="0.2">
      <c r="A153" s="289" t="s">
        <v>607</v>
      </c>
      <c r="B153" s="75" t="s">
        <v>608</v>
      </c>
      <c r="C153" s="79">
        <v>82376</v>
      </c>
      <c r="D153" s="279" t="s">
        <v>578</v>
      </c>
      <c r="E153" s="288">
        <v>21</v>
      </c>
      <c r="F153" s="92" t="s">
        <v>180</v>
      </c>
      <c r="G153" s="113" t="s">
        <v>609</v>
      </c>
    </row>
    <row r="154" spans="1:7" x14ac:dyDescent="0.2">
      <c r="A154" s="289" t="s">
        <v>610</v>
      </c>
      <c r="B154" s="75" t="s">
        <v>611</v>
      </c>
      <c r="C154" s="79">
        <v>86058</v>
      </c>
      <c r="D154" s="279" t="s">
        <v>578</v>
      </c>
      <c r="E154" s="288">
        <v>21</v>
      </c>
      <c r="F154" s="92" t="s">
        <v>180</v>
      </c>
      <c r="G154" s="113" t="s">
        <v>612</v>
      </c>
    </row>
    <row r="155" spans="1:7" x14ac:dyDescent="0.2">
      <c r="A155" s="289" t="s">
        <v>613</v>
      </c>
      <c r="B155" s="75" t="s">
        <v>614</v>
      </c>
      <c r="C155" s="79">
        <v>77875</v>
      </c>
      <c r="D155" s="279" t="s">
        <v>578</v>
      </c>
      <c r="E155" s="288">
        <v>21</v>
      </c>
      <c r="F155" s="92" t="s">
        <v>180</v>
      </c>
      <c r="G155" s="113" t="s">
        <v>615</v>
      </c>
    </row>
    <row r="156" spans="1:7" x14ac:dyDescent="0.2">
      <c r="A156" s="289" t="s">
        <v>616</v>
      </c>
      <c r="B156" s="75" t="s">
        <v>617</v>
      </c>
      <c r="C156" s="79">
        <v>80466</v>
      </c>
      <c r="D156" s="279" t="s">
        <v>578</v>
      </c>
      <c r="E156" s="288">
        <v>21</v>
      </c>
      <c r="F156" s="92" t="s">
        <v>180</v>
      </c>
      <c r="G156" s="113" t="s">
        <v>618</v>
      </c>
    </row>
    <row r="157" spans="1:7" x14ac:dyDescent="0.2">
      <c r="A157" s="289" t="s">
        <v>619</v>
      </c>
      <c r="B157" s="75" t="s">
        <v>620</v>
      </c>
      <c r="C157" s="79">
        <v>83525</v>
      </c>
      <c r="D157" s="279" t="s">
        <v>578</v>
      </c>
      <c r="E157" s="288">
        <v>21</v>
      </c>
      <c r="F157" s="92" t="s">
        <v>180</v>
      </c>
      <c r="G157" s="113" t="s">
        <v>621</v>
      </c>
    </row>
    <row r="158" spans="1:7" x14ac:dyDescent="0.2">
      <c r="A158" s="289" t="s">
        <v>622</v>
      </c>
      <c r="B158" s="75" t="s">
        <v>623</v>
      </c>
      <c r="C158" s="79">
        <v>87217</v>
      </c>
      <c r="D158" s="279" t="s">
        <v>578</v>
      </c>
      <c r="E158" s="288">
        <v>21</v>
      </c>
      <c r="F158" s="92" t="s">
        <v>180</v>
      </c>
      <c r="G158" s="113" t="s">
        <v>624</v>
      </c>
    </row>
    <row r="159" spans="1:7" x14ac:dyDescent="0.2">
      <c r="A159" s="289" t="s">
        <v>625</v>
      </c>
      <c r="B159" s="75" t="s">
        <v>626</v>
      </c>
      <c r="C159" s="79">
        <v>77592</v>
      </c>
      <c r="D159" s="279" t="s">
        <v>578</v>
      </c>
      <c r="E159" s="288">
        <v>21</v>
      </c>
      <c r="F159" s="92" t="s">
        <v>180</v>
      </c>
      <c r="G159" s="113" t="s">
        <v>627</v>
      </c>
    </row>
    <row r="160" spans="1:7" x14ac:dyDescent="0.2">
      <c r="A160" s="289" t="s">
        <v>628</v>
      </c>
      <c r="B160" s="75" t="s">
        <v>629</v>
      </c>
      <c r="C160" s="79">
        <v>80144</v>
      </c>
      <c r="D160" s="279" t="s">
        <v>578</v>
      </c>
      <c r="E160" s="288">
        <v>21</v>
      </c>
      <c r="F160" s="92" t="s">
        <v>180</v>
      </c>
      <c r="G160" s="113" t="s">
        <v>630</v>
      </c>
    </row>
    <row r="161" spans="1:7" x14ac:dyDescent="0.2">
      <c r="A161" s="289" t="s">
        <v>631</v>
      </c>
      <c r="B161" s="75" t="s">
        <v>632</v>
      </c>
      <c r="C161" s="79">
        <v>82209</v>
      </c>
      <c r="D161" s="279" t="s">
        <v>578</v>
      </c>
      <c r="E161" s="288">
        <v>21</v>
      </c>
      <c r="F161" s="92" t="s">
        <v>180</v>
      </c>
      <c r="G161" s="113" t="s">
        <v>633</v>
      </c>
    </row>
    <row r="162" spans="1:7" x14ac:dyDescent="0.2">
      <c r="A162" s="289" t="s">
        <v>634</v>
      </c>
      <c r="B162" s="75" t="s">
        <v>635</v>
      </c>
      <c r="C162" s="79">
        <v>88161</v>
      </c>
      <c r="D162" s="279" t="s">
        <v>578</v>
      </c>
      <c r="E162" s="288">
        <v>21</v>
      </c>
      <c r="F162" s="92" t="s">
        <v>180</v>
      </c>
      <c r="G162" s="113" t="s">
        <v>636</v>
      </c>
    </row>
    <row r="163" spans="1:7" x14ac:dyDescent="0.2">
      <c r="A163" s="289" t="s">
        <v>637</v>
      </c>
      <c r="B163" s="75" t="s">
        <v>638</v>
      </c>
      <c r="C163" s="79">
        <v>87422</v>
      </c>
      <c r="D163" s="279" t="s">
        <v>578</v>
      </c>
      <c r="E163" s="288">
        <v>21</v>
      </c>
      <c r="F163" s="92" t="s">
        <v>180</v>
      </c>
      <c r="G163" s="113" t="s">
        <v>639</v>
      </c>
    </row>
    <row r="164" spans="1:7" x14ac:dyDescent="0.2">
      <c r="A164" s="289" t="s">
        <v>640</v>
      </c>
      <c r="B164" s="75" t="s">
        <v>641</v>
      </c>
      <c r="C164" s="79">
        <v>83896</v>
      </c>
      <c r="D164" s="279" t="s">
        <v>578</v>
      </c>
      <c r="E164" s="288">
        <v>21</v>
      </c>
      <c r="F164" s="92" t="s">
        <v>180</v>
      </c>
      <c r="G164" s="113" t="s">
        <v>642</v>
      </c>
    </row>
    <row r="165" spans="1:7" x14ac:dyDescent="0.2">
      <c r="A165" s="289" t="s">
        <v>643</v>
      </c>
      <c r="B165" s="75" t="s">
        <v>644</v>
      </c>
      <c r="C165" s="79">
        <v>85960</v>
      </c>
      <c r="D165" s="279" t="s">
        <v>578</v>
      </c>
      <c r="E165" s="288">
        <v>21</v>
      </c>
      <c r="F165" s="92" t="s">
        <v>180</v>
      </c>
      <c r="G165" s="113" t="s">
        <v>645</v>
      </c>
    </row>
    <row r="166" spans="1:7" x14ac:dyDescent="0.2">
      <c r="A166" s="289" t="s">
        <v>646</v>
      </c>
      <c r="B166" s="75" t="s">
        <v>647</v>
      </c>
      <c r="C166" s="79">
        <v>88875</v>
      </c>
      <c r="D166" s="279" t="s">
        <v>578</v>
      </c>
      <c r="E166" s="288">
        <v>21</v>
      </c>
      <c r="F166" s="92" t="s">
        <v>180</v>
      </c>
      <c r="G166" s="113" t="s">
        <v>648</v>
      </c>
    </row>
    <row r="167" spans="1:7" x14ac:dyDescent="0.2">
      <c r="A167" s="289" t="s">
        <v>649</v>
      </c>
      <c r="B167" s="75" t="s">
        <v>650</v>
      </c>
      <c r="C167" s="79">
        <v>83216</v>
      </c>
      <c r="D167" s="279" t="s">
        <v>578</v>
      </c>
      <c r="E167" s="288">
        <v>21</v>
      </c>
      <c r="F167" s="92" t="s">
        <v>180</v>
      </c>
      <c r="G167" s="113" t="s">
        <v>651</v>
      </c>
    </row>
    <row r="168" spans="1:7" x14ac:dyDescent="0.2">
      <c r="A168" s="289" t="s">
        <v>652</v>
      </c>
      <c r="B168" s="75" t="s">
        <v>653</v>
      </c>
      <c r="C168" s="79">
        <v>85809</v>
      </c>
      <c r="D168" s="279" t="s">
        <v>578</v>
      </c>
      <c r="E168" s="288">
        <v>21</v>
      </c>
      <c r="F168" s="92" t="s">
        <v>180</v>
      </c>
      <c r="G168" s="113" t="s">
        <v>654</v>
      </c>
    </row>
    <row r="169" spans="1:7" x14ac:dyDescent="0.2">
      <c r="A169" s="289" t="s">
        <v>655</v>
      </c>
      <c r="B169" s="75" t="s">
        <v>656</v>
      </c>
      <c r="C169" s="79">
        <v>88599</v>
      </c>
      <c r="D169" s="279" t="s">
        <v>578</v>
      </c>
      <c r="E169" s="288">
        <v>21</v>
      </c>
      <c r="F169" s="92" t="s">
        <v>180</v>
      </c>
      <c r="G169" s="113" t="s">
        <v>657</v>
      </c>
    </row>
    <row r="170" spans="1:7" x14ac:dyDescent="0.2">
      <c r="A170" s="289" t="s">
        <v>658</v>
      </c>
      <c r="B170" s="75" t="s">
        <v>659</v>
      </c>
      <c r="C170" s="79">
        <v>92330</v>
      </c>
      <c r="D170" s="279" t="s">
        <v>578</v>
      </c>
      <c r="E170" s="288">
        <v>21</v>
      </c>
      <c r="F170" s="92" t="s">
        <v>180</v>
      </c>
      <c r="G170" s="113" t="s">
        <v>660</v>
      </c>
    </row>
    <row r="171" spans="1:7" x14ac:dyDescent="0.2">
      <c r="A171" s="289" t="s">
        <v>661</v>
      </c>
      <c r="B171" s="75" t="s">
        <v>662</v>
      </c>
      <c r="C171" s="79">
        <v>84048</v>
      </c>
      <c r="D171" s="279" t="s">
        <v>578</v>
      </c>
      <c r="E171" s="288">
        <v>21</v>
      </c>
      <c r="F171" s="92" t="s">
        <v>180</v>
      </c>
      <c r="G171" s="113" t="s">
        <v>663</v>
      </c>
    </row>
    <row r="172" spans="1:7" x14ac:dyDescent="0.2">
      <c r="A172" s="289" t="s">
        <v>664</v>
      </c>
      <c r="B172" s="75" t="s">
        <v>665</v>
      </c>
      <c r="C172" s="79">
        <v>86641</v>
      </c>
      <c r="D172" s="279" t="s">
        <v>578</v>
      </c>
      <c r="E172" s="288">
        <v>21</v>
      </c>
      <c r="F172" s="92" t="s">
        <v>180</v>
      </c>
      <c r="G172" s="113" t="s">
        <v>666</v>
      </c>
    </row>
    <row r="173" spans="1:7" x14ac:dyDescent="0.2">
      <c r="A173" s="289" t="s">
        <v>667</v>
      </c>
      <c r="B173" s="75" t="s">
        <v>668</v>
      </c>
      <c r="C173" s="79">
        <v>89749</v>
      </c>
      <c r="D173" s="279" t="s">
        <v>578</v>
      </c>
      <c r="E173" s="288">
        <v>21</v>
      </c>
      <c r="F173" s="92" t="s">
        <v>180</v>
      </c>
      <c r="G173" s="113" t="s">
        <v>669</v>
      </c>
    </row>
    <row r="174" spans="1:7" x14ac:dyDescent="0.2">
      <c r="A174" s="289" t="s">
        <v>670</v>
      </c>
      <c r="B174" s="75" t="s">
        <v>671</v>
      </c>
      <c r="C174" s="79">
        <v>93488</v>
      </c>
      <c r="D174" s="279" t="s">
        <v>578</v>
      </c>
      <c r="E174" s="288">
        <v>21</v>
      </c>
      <c r="F174" s="92" t="s">
        <v>180</v>
      </c>
      <c r="G174" s="113" t="s">
        <v>672</v>
      </c>
    </row>
    <row r="175" spans="1:7" x14ac:dyDescent="0.2">
      <c r="A175" s="97" t="s">
        <v>673</v>
      </c>
      <c r="B175" s="71" t="s">
        <v>674</v>
      </c>
      <c r="C175" s="79">
        <v>33774</v>
      </c>
      <c r="D175" s="279" t="s">
        <v>248</v>
      </c>
      <c r="E175" s="288">
        <v>4.0999999999999996</v>
      </c>
      <c r="F175" s="92" t="s">
        <v>180</v>
      </c>
      <c r="G175" s="113" t="s">
        <v>457</v>
      </c>
    </row>
    <row r="176" spans="1:7" x14ac:dyDescent="0.2">
      <c r="A176" s="97" t="s">
        <v>675</v>
      </c>
      <c r="B176" s="71" t="s">
        <v>676</v>
      </c>
      <c r="C176" s="79">
        <v>35937</v>
      </c>
      <c r="D176" s="279" t="s">
        <v>248</v>
      </c>
      <c r="E176" s="288">
        <v>4.2</v>
      </c>
      <c r="F176" s="92" t="s">
        <v>180</v>
      </c>
      <c r="G176" s="113" t="s">
        <v>457</v>
      </c>
    </row>
    <row r="177" spans="1:7" x14ac:dyDescent="0.2">
      <c r="A177" s="97" t="s">
        <v>677</v>
      </c>
      <c r="B177" s="71" t="s">
        <v>678</v>
      </c>
      <c r="C177" s="79">
        <v>41499</v>
      </c>
      <c r="D177" s="279" t="s">
        <v>498</v>
      </c>
      <c r="E177" s="288">
        <v>5.6</v>
      </c>
      <c r="F177" s="92" t="s">
        <v>180</v>
      </c>
      <c r="G177" s="113" t="s">
        <v>457</v>
      </c>
    </row>
    <row r="178" spans="1:7" x14ac:dyDescent="0.2">
      <c r="A178" s="97" t="s">
        <v>679</v>
      </c>
      <c r="B178" s="71" t="s">
        <v>680</v>
      </c>
      <c r="C178" s="79">
        <v>45722</v>
      </c>
      <c r="D178" s="279" t="s">
        <v>498</v>
      </c>
      <c r="E178" s="288">
        <v>5.8</v>
      </c>
      <c r="F178" s="92" t="s">
        <v>180</v>
      </c>
      <c r="G178" s="113" t="s">
        <v>457</v>
      </c>
    </row>
    <row r="179" spans="1:7" x14ac:dyDescent="0.2">
      <c r="A179" s="289" t="s">
        <v>681</v>
      </c>
      <c r="B179" s="75" t="s">
        <v>682</v>
      </c>
      <c r="C179" s="79">
        <v>40963</v>
      </c>
      <c r="D179" s="279" t="s">
        <v>432</v>
      </c>
      <c r="E179" s="288">
        <v>7</v>
      </c>
      <c r="F179" s="92" t="s">
        <v>180</v>
      </c>
      <c r="G179" s="113" t="s">
        <v>683</v>
      </c>
    </row>
    <row r="180" spans="1:7" x14ac:dyDescent="0.2">
      <c r="A180" s="289" t="s">
        <v>684</v>
      </c>
      <c r="B180" s="75" t="s">
        <v>685</v>
      </c>
      <c r="C180" s="79">
        <v>41266</v>
      </c>
      <c r="D180" s="279" t="s">
        <v>432</v>
      </c>
      <c r="E180" s="288">
        <v>7</v>
      </c>
      <c r="F180" s="92" t="s">
        <v>180</v>
      </c>
      <c r="G180" s="113" t="s">
        <v>686</v>
      </c>
    </row>
    <row r="181" spans="1:7" x14ac:dyDescent="0.2">
      <c r="A181" s="289" t="s">
        <v>687</v>
      </c>
      <c r="B181" s="75" t="s">
        <v>688</v>
      </c>
      <c r="C181" s="79">
        <v>41874</v>
      </c>
      <c r="D181" s="279" t="s">
        <v>432</v>
      </c>
      <c r="E181" s="288">
        <v>7</v>
      </c>
      <c r="F181" s="92" t="s">
        <v>180</v>
      </c>
      <c r="G181" s="113" t="s">
        <v>689</v>
      </c>
    </row>
    <row r="182" spans="1:7" x14ac:dyDescent="0.2">
      <c r="A182" s="289" t="s">
        <v>690</v>
      </c>
      <c r="B182" s="75" t="s">
        <v>691</v>
      </c>
      <c r="C182" s="79">
        <v>42482</v>
      </c>
      <c r="D182" s="279" t="s">
        <v>432</v>
      </c>
      <c r="E182" s="288">
        <v>7</v>
      </c>
      <c r="F182" s="92" t="s">
        <v>180</v>
      </c>
      <c r="G182" s="113" t="s">
        <v>692</v>
      </c>
    </row>
    <row r="183" spans="1:7" x14ac:dyDescent="0.2">
      <c r="A183" s="289" t="s">
        <v>693</v>
      </c>
      <c r="B183" s="75" t="s">
        <v>694</v>
      </c>
      <c r="C183" s="79">
        <v>46814</v>
      </c>
      <c r="D183" s="279" t="s">
        <v>432</v>
      </c>
      <c r="E183" s="288">
        <v>7</v>
      </c>
      <c r="F183" s="92" t="s">
        <v>180</v>
      </c>
      <c r="G183" s="113" t="s">
        <v>695</v>
      </c>
    </row>
    <row r="184" spans="1:7" x14ac:dyDescent="0.2">
      <c r="A184" s="289" t="s">
        <v>696</v>
      </c>
      <c r="B184" s="75" t="s">
        <v>697</v>
      </c>
      <c r="C184" s="79">
        <v>47938</v>
      </c>
      <c r="D184" s="279" t="s">
        <v>432</v>
      </c>
      <c r="E184" s="288">
        <v>7</v>
      </c>
      <c r="F184" s="92" t="s">
        <v>180</v>
      </c>
      <c r="G184" s="113" t="s">
        <v>698</v>
      </c>
    </row>
    <row r="185" spans="1:7" x14ac:dyDescent="0.2">
      <c r="A185" s="289" t="s">
        <v>699</v>
      </c>
      <c r="B185" s="75" t="s">
        <v>700</v>
      </c>
      <c r="C185" s="79">
        <v>49669</v>
      </c>
      <c r="D185" s="279" t="s">
        <v>432</v>
      </c>
      <c r="E185" s="288">
        <v>7</v>
      </c>
      <c r="F185" s="92" t="s">
        <v>180</v>
      </c>
      <c r="G185" s="113" t="s">
        <v>701</v>
      </c>
    </row>
    <row r="186" spans="1:7" x14ac:dyDescent="0.2">
      <c r="A186" s="289" t="s">
        <v>702</v>
      </c>
      <c r="B186" s="75" t="s">
        <v>703</v>
      </c>
      <c r="C186" s="79">
        <v>50650</v>
      </c>
      <c r="D186" s="279" t="s">
        <v>432</v>
      </c>
      <c r="E186" s="288">
        <v>7</v>
      </c>
      <c r="F186" s="92" t="s">
        <v>180</v>
      </c>
      <c r="G186" s="113" t="s">
        <v>704</v>
      </c>
    </row>
    <row r="187" spans="1:7" x14ac:dyDescent="0.2">
      <c r="A187" s="289" t="s">
        <v>705</v>
      </c>
      <c r="B187" s="75" t="s">
        <v>706</v>
      </c>
      <c r="C187" s="79">
        <v>48964</v>
      </c>
      <c r="D187" s="279" t="s">
        <v>432</v>
      </c>
      <c r="E187" s="288">
        <v>7</v>
      </c>
      <c r="F187" s="92" t="s">
        <v>180</v>
      </c>
      <c r="G187" s="113" t="s">
        <v>707</v>
      </c>
    </row>
    <row r="188" spans="1:7" x14ac:dyDescent="0.2">
      <c r="A188" s="289" t="s">
        <v>708</v>
      </c>
      <c r="B188" s="75" t="s">
        <v>709</v>
      </c>
      <c r="C188" s="79">
        <v>50494</v>
      </c>
      <c r="D188" s="279" t="s">
        <v>432</v>
      </c>
      <c r="E188" s="288">
        <v>8</v>
      </c>
      <c r="F188" s="92" t="s">
        <v>180</v>
      </c>
      <c r="G188" s="113" t="s">
        <v>710</v>
      </c>
    </row>
    <row r="189" spans="1:7" x14ac:dyDescent="0.2">
      <c r="A189" s="289" t="s">
        <v>711</v>
      </c>
      <c r="B189" s="75" t="s">
        <v>712</v>
      </c>
      <c r="C189" s="79">
        <v>52572</v>
      </c>
      <c r="D189" s="279" t="s">
        <v>432</v>
      </c>
      <c r="E189" s="288">
        <v>8</v>
      </c>
      <c r="F189" s="92" t="s">
        <v>180</v>
      </c>
      <c r="G189" s="113" t="s">
        <v>713</v>
      </c>
    </row>
    <row r="190" spans="1:7" x14ac:dyDescent="0.2">
      <c r="A190" s="289" t="s">
        <v>714</v>
      </c>
      <c r="B190" s="75" t="s">
        <v>715</v>
      </c>
      <c r="C190" s="79">
        <v>53673</v>
      </c>
      <c r="D190" s="279" t="s">
        <v>432</v>
      </c>
      <c r="E190" s="288">
        <v>8</v>
      </c>
      <c r="F190" s="92" t="s">
        <v>180</v>
      </c>
      <c r="G190" s="113" t="s">
        <v>716</v>
      </c>
    </row>
    <row r="191" spans="1:7" s="45" customFormat="1" ht="15" x14ac:dyDescent="0.25">
      <c r="A191" s="275"/>
      <c r="B191" s="275" t="s">
        <v>717</v>
      </c>
      <c r="C191" s="283"/>
      <c r="D191" s="276"/>
      <c r="E191" s="275"/>
      <c r="F191" s="275"/>
      <c r="G191" s="275"/>
    </row>
    <row r="192" spans="1:7" s="78" customFormat="1" x14ac:dyDescent="0.25">
      <c r="A192" s="285"/>
      <c r="B192" s="285" t="s">
        <v>718</v>
      </c>
      <c r="C192" s="290"/>
      <c r="D192" s="291"/>
      <c r="E192" s="292"/>
      <c r="F192" s="292"/>
      <c r="G192" s="285"/>
    </row>
    <row r="193" spans="1:11" x14ac:dyDescent="0.2">
      <c r="A193" s="46" t="s">
        <v>719</v>
      </c>
      <c r="B193" s="71" t="s">
        <v>720</v>
      </c>
      <c r="C193" s="79">
        <v>39039</v>
      </c>
      <c r="D193" s="103" t="s">
        <v>498</v>
      </c>
      <c r="E193" s="104">
        <v>6.3</v>
      </c>
      <c r="F193" s="101" t="s">
        <v>180</v>
      </c>
      <c r="G193" s="278" t="s">
        <v>721</v>
      </c>
    </row>
    <row r="194" spans="1:11" x14ac:dyDescent="0.2">
      <c r="A194" s="46" t="s">
        <v>722</v>
      </c>
      <c r="B194" s="71" t="s">
        <v>723</v>
      </c>
      <c r="C194" s="79">
        <v>40662</v>
      </c>
      <c r="D194" s="103" t="s">
        <v>498</v>
      </c>
      <c r="E194" s="104">
        <v>6.3</v>
      </c>
      <c r="F194" s="101" t="s">
        <v>180</v>
      </c>
      <c r="G194" s="278" t="s">
        <v>724</v>
      </c>
    </row>
    <row r="195" spans="1:11" x14ac:dyDescent="0.2">
      <c r="A195" s="46" t="s">
        <v>725</v>
      </c>
      <c r="B195" s="71" t="s">
        <v>726</v>
      </c>
      <c r="C195" s="79">
        <v>42157</v>
      </c>
      <c r="D195" s="103" t="s">
        <v>498</v>
      </c>
      <c r="E195" s="104">
        <v>6.5</v>
      </c>
      <c r="F195" s="101" t="s">
        <v>180</v>
      </c>
      <c r="G195" s="278" t="s">
        <v>727</v>
      </c>
      <c r="K195" s="78"/>
    </row>
    <row r="196" spans="1:11" x14ac:dyDescent="0.2">
      <c r="A196" s="46" t="s">
        <v>728</v>
      </c>
      <c r="B196" s="71" t="s">
        <v>729</v>
      </c>
      <c r="C196" s="79">
        <v>44944</v>
      </c>
      <c r="D196" s="103" t="s">
        <v>498</v>
      </c>
      <c r="E196" s="104">
        <v>6.5</v>
      </c>
      <c r="F196" s="101" t="s">
        <v>180</v>
      </c>
      <c r="G196" s="278" t="s">
        <v>730</v>
      </c>
    </row>
    <row r="197" spans="1:11" x14ac:dyDescent="0.2">
      <c r="A197" s="46" t="s">
        <v>731</v>
      </c>
      <c r="B197" s="71" t="s">
        <v>732</v>
      </c>
      <c r="C197" s="79">
        <v>41980</v>
      </c>
      <c r="D197" s="103" t="s">
        <v>498</v>
      </c>
      <c r="E197" s="104">
        <v>6.3</v>
      </c>
      <c r="F197" s="101" t="s">
        <v>180</v>
      </c>
      <c r="G197" s="278" t="s">
        <v>457</v>
      </c>
    </row>
    <row r="198" spans="1:11" x14ac:dyDescent="0.2">
      <c r="A198" s="46" t="s">
        <v>733</v>
      </c>
      <c r="B198" s="71" t="s">
        <v>734</v>
      </c>
      <c r="C198" s="79">
        <v>43653</v>
      </c>
      <c r="D198" s="103" t="s">
        <v>498</v>
      </c>
      <c r="E198" s="104">
        <v>6.3</v>
      </c>
      <c r="F198" s="101" t="s">
        <v>180</v>
      </c>
      <c r="G198" s="278" t="s">
        <v>457</v>
      </c>
    </row>
    <row r="199" spans="1:11" x14ac:dyDescent="0.2">
      <c r="A199" s="46" t="s">
        <v>735</v>
      </c>
      <c r="B199" s="71" t="s">
        <v>736</v>
      </c>
      <c r="C199" s="79">
        <v>45198</v>
      </c>
      <c r="D199" s="103" t="s">
        <v>498</v>
      </c>
      <c r="E199" s="104">
        <v>6.5</v>
      </c>
      <c r="F199" s="101" t="s">
        <v>180</v>
      </c>
      <c r="G199" s="278" t="s">
        <v>457</v>
      </c>
    </row>
    <row r="200" spans="1:11" x14ac:dyDescent="0.2">
      <c r="A200" s="46" t="s">
        <v>737</v>
      </c>
      <c r="B200" s="71" t="s">
        <v>738</v>
      </c>
      <c r="C200" s="79">
        <v>48037</v>
      </c>
      <c r="D200" s="103" t="s">
        <v>498</v>
      </c>
      <c r="E200" s="104">
        <v>6.5</v>
      </c>
      <c r="F200" s="101" t="s">
        <v>180</v>
      </c>
      <c r="G200" s="278" t="s">
        <v>457</v>
      </c>
    </row>
    <row r="201" spans="1:11" x14ac:dyDescent="0.2">
      <c r="A201" s="46" t="s">
        <v>739</v>
      </c>
      <c r="B201" s="71" t="s">
        <v>740</v>
      </c>
      <c r="C201" s="79">
        <v>48777</v>
      </c>
      <c r="D201" s="103" t="s">
        <v>498</v>
      </c>
      <c r="E201" s="104">
        <v>6.3</v>
      </c>
      <c r="F201" s="101" t="s">
        <v>180</v>
      </c>
      <c r="G201" s="278" t="s">
        <v>741</v>
      </c>
    </row>
    <row r="202" spans="1:11" x14ac:dyDescent="0.2">
      <c r="A202" s="46" t="s">
        <v>742</v>
      </c>
      <c r="B202" s="71" t="s">
        <v>743</v>
      </c>
      <c r="C202" s="79">
        <v>50564</v>
      </c>
      <c r="D202" s="103" t="s">
        <v>498</v>
      </c>
      <c r="E202" s="104">
        <v>6.3</v>
      </c>
      <c r="F202" s="101" t="s">
        <v>180</v>
      </c>
      <c r="G202" s="278" t="s">
        <v>744</v>
      </c>
    </row>
    <row r="203" spans="1:11" x14ac:dyDescent="0.2">
      <c r="A203" s="46" t="s">
        <v>745</v>
      </c>
      <c r="B203" s="71" t="s">
        <v>746</v>
      </c>
      <c r="C203" s="79">
        <v>52220</v>
      </c>
      <c r="D203" s="103" t="s">
        <v>498</v>
      </c>
      <c r="E203" s="104">
        <v>6.5</v>
      </c>
      <c r="F203" s="101" t="s">
        <v>180</v>
      </c>
      <c r="G203" s="278" t="s">
        <v>747</v>
      </c>
    </row>
    <row r="204" spans="1:11" x14ac:dyDescent="0.2">
      <c r="A204" s="46" t="s">
        <v>748</v>
      </c>
      <c r="B204" s="71" t="s">
        <v>749</v>
      </c>
      <c r="C204" s="79">
        <v>55197</v>
      </c>
      <c r="D204" s="103" t="s">
        <v>498</v>
      </c>
      <c r="E204" s="104">
        <v>6.5</v>
      </c>
      <c r="F204" s="101" t="s">
        <v>180</v>
      </c>
      <c r="G204" s="278" t="s">
        <v>750</v>
      </c>
    </row>
    <row r="205" spans="1:11" x14ac:dyDescent="0.2">
      <c r="A205" s="46" t="s">
        <v>751</v>
      </c>
      <c r="B205" s="71" t="s">
        <v>752</v>
      </c>
      <c r="C205" s="79">
        <v>52298</v>
      </c>
      <c r="D205" s="103" t="s">
        <v>498</v>
      </c>
      <c r="E205" s="104">
        <v>6.3</v>
      </c>
      <c r="F205" s="101" t="s">
        <v>180</v>
      </c>
      <c r="G205" s="278" t="s">
        <v>457</v>
      </c>
    </row>
    <row r="206" spans="1:11" x14ac:dyDescent="0.2">
      <c r="A206" s="46" t="s">
        <v>753</v>
      </c>
      <c r="B206" s="71" t="s">
        <v>754</v>
      </c>
      <c r="C206" s="79">
        <v>54143</v>
      </c>
      <c r="D206" s="103" t="s">
        <v>498</v>
      </c>
      <c r="E206" s="104">
        <v>6.3</v>
      </c>
      <c r="F206" s="101" t="s">
        <v>180</v>
      </c>
      <c r="G206" s="278" t="s">
        <v>457</v>
      </c>
    </row>
    <row r="207" spans="1:11" x14ac:dyDescent="0.2">
      <c r="A207" s="46" t="s">
        <v>755</v>
      </c>
      <c r="B207" s="71" t="s">
        <v>756</v>
      </c>
      <c r="C207" s="79">
        <v>55859</v>
      </c>
      <c r="D207" s="103" t="s">
        <v>498</v>
      </c>
      <c r="E207" s="104">
        <v>6.5</v>
      </c>
      <c r="F207" s="101" t="s">
        <v>180</v>
      </c>
      <c r="G207" s="278" t="s">
        <v>457</v>
      </c>
    </row>
    <row r="208" spans="1:11" x14ac:dyDescent="0.2">
      <c r="A208" s="46" t="s">
        <v>757</v>
      </c>
      <c r="B208" s="71" t="s">
        <v>758</v>
      </c>
      <c r="C208" s="79">
        <v>58895</v>
      </c>
      <c r="D208" s="103" t="s">
        <v>498</v>
      </c>
      <c r="E208" s="104">
        <v>6.5</v>
      </c>
      <c r="F208" s="101" t="s">
        <v>180</v>
      </c>
      <c r="G208" s="278" t="s">
        <v>457</v>
      </c>
    </row>
    <row r="209" spans="1:7" x14ac:dyDescent="0.2">
      <c r="A209" s="46" t="s">
        <v>759</v>
      </c>
      <c r="B209" s="71" t="s">
        <v>760</v>
      </c>
      <c r="C209" s="79">
        <v>57218</v>
      </c>
      <c r="D209" s="94" t="s">
        <v>761</v>
      </c>
      <c r="E209" s="91">
        <v>16.399999999999999</v>
      </c>
      <c r="F209" s="101" t="s">
        <v>180</v>
      </c>
      <c r="G209" s="278" t="s">
        <v>762</v>
      </c>
    </row>
    <row r="210" spans="1:7" x14ac:dyDescent="0.2">
      <c r="A210" s="46" t="s">
        <v>763</v>
      </c>
      <c r="B210" s="71" t="s">
        <v>764</v>
      </c>
      <c r="C210" s="79">
        <v>59148</v>
      </c>
      <c r="D210" s="94" t="s">
        <v>761</v>
      </c>
      <c r="E210" s="91">
        <v>16.399999999999999</v>
      </c>
      <c r="F210" s="101" t="s">
        <v>180</v>
      </c>
      <c r="G210" s="278" t="s">
        <v>765</v>
      </c>
    </row>
    <row r="211" spans="1:7" x14ac:dyDescent="0.2">
      <c r="A211" s="46" t="s">
        <v>766</v>
      </c>
      <c r="B211" s="71" t="s">
        <v>767</v>
      </c>
      <c r="C211" s="79">
        <v>60951</v>
      </c>
      <c r="D211" s="94" t="s">
        <v>761</v>
      </c>
      <c r="E211" s="91">
        <v>16.399999999999999</v>
      </c>
      <c r="F211" s="101" t="s">
        <v>180</v>
      </c>
      <c r="G211" s="278" t="s">
        <v>768</v>
      </c>
    </row>
    <row r="212" spans="1:7" x14ac:dyDescent="0.2">
      <c r="A212" s="46" t="s">
        <v>769</v>
      </c>
      <c r="B212" s="71" t="s">
        <v>770</v>
      </c>
      <c r="C212" s="79">
        <v>64704</v>
      </c>
      <c r="D212" s="94" t="s">
        <v>761</v>
      </c>
      <c r="E212" s="91">
        <v>16.399999999999999</v>
      </c>
      <c r="F212" s="101" t="s">
        <v>180</v>
      </c>
      <c r="G212" s="278" t="s">
        <v>771</v>
      </c>
    </row>
    <row r="213" spans="1:7" x14ac:dyDescent="0.2">
      <c r="A213" s="46" t="s">
        <v>2517</v>
      </c>
      <c r="B213" s="71" t="s">
        <v>2518</v>
      </c>
      <c r="C213" s="79">
        <v>67098</v>
      </c>
      <c r="D213" s="293" t="s">
        <v>761</v>
      </c>
      <c r="E213" s="294">
        <v>16.399999999999999</v>
      </c>
      <c r="F213" s="92" t="s">
        <v>180</v>
      </c>
      <c r="G213" s="113" t="s">
        <v>2519</v>
      </c>
    </row>
    <row r="214" spans="1:7" x14ac:dyDescent="0.2">
      <c r="A214" s="46" t="s">
        <v>2520</v>
      </c>
      <c r="B214" s="71" t="s">
        <v>2521</v>
      </c>
      <c r="C214" s="79">
        <v>69931</v>
      </c>
      <c r="D214" s="293" t="s">
        <v>761</v>
      </c>
      <c r="E214" s="294">
        <v>16.399999999999999</v>
      </c>
      <c r="F214" s="92" t="s">
        <v>180</v>
      </c>
      <c r="G214" s="113" t="s">
        <v>2522</v>
      </c>
    </row>
    <row r="215" spans="1:7" x14ac:dyDescent="0.2">
      <c r="A215" s="46" t="s">
        <v>2523</v>
      </c>
      <c r="B215" s="71" t="s">
        <v>2524</v>
      </c>
      <c r="C215" s="79">
        <v>72624</v>
      </c>
      <c r="D215" s="293" t="s">
        <v>761</v>
      </c>
      <c r="E215" s="294">
        <v>16.399999999999999</v>
      </c>
      <c r="F215" s="92" t="s">
        <v>180</v>
      </c>
      <c r="G215" s="113" t="s">
        <v>2525</v>
      </c>
    </row>
    <row r="216" spans="1:7" x14ac:dyDescent="0.25">
      <c r="A216" s="46" t="s">
        <v>772</v>
      </c>
      <c r="B216" s="82" t="s">
        <v>773</v>
      </c>
      <c r="C216" s="79">
        <v>40891</v>
      </c>
      <c r="D216" s="103" t="s">
        <v>498</v>
      </c>
      <c r="E216" s="104">
        <v>6.6</v>
      </c>
      <c r="F216" s="101" t="s">
        <v>180</v>
      </c>
      <c r="G216" s="278" t="s">
        <v>774</v>
      </c>
    </row>
    <row r="217" spans="1:7" x14ac:dyDescent="0.25">
      <c r="A217" s="46" t="s">
        <v>775</v>
      </c>
      <c r="B217" s="82" t="s">
        <v>776</v>
      </c>
      <c r="C217" s="79">
        <v>42561</v>
      </c>
      <c r="D217" s="103" t="s">
        <v>498</v>
      </c>
      <c r="E217" s="104">
        <v>6.6</v>
      </c>
      <c r="F217" s="101" t="s">
        <v>180</v>
      </c>
      <c r="G217" s="278" t="s">
        <v>777</v>
      </c>
    </row>
    <row r="218" spans="1:7" x14ac:dyDescent="0.25">
      <c r="A218" s="46" t="s">
        <v>778</v>
      </c>
      <c r="B218" s="82" t="s">
        <v>779</v>
      </c>
      <c r="C218" s="79">
        <v>45329</v>
      </c>
      <c r="D218" s="103" t="s">
        <v>498</v>
      </c>
      <c r="E218" s="104">
        <v>6.8</v>
      </c>
      <c r="F218" s="101" t="s">
        <v>180</v>
      </c>
      <c r="G218" s="278" t="s">
        <v>780</v>
      </c>
    </row>
    <row r="219" spans="1:7" x14ac:dyDescent="0.25">
      <c r="A219" s="46" t="s">
        <v>781</v>
      </c>
      <c r="B219" s="82" t="s">
        <v>782</v>
      </c>
      <c r="C219" s="79">
        <v>48978</v>
      </c>
      <c r="D219" s="103" t="s">
        <v>498</v>
      </c>
      <c r="E219" s="104">
        <v>6.8</v>
      </c>
      <c r="F219" s="101" t="s">
        <v>180</v>
      </c>
      <c r="G219" s="278" t="s">
        <v>783</v>
      </c>
    </row>
    <row r="220" spans="1:7" x14ac:dyDescent="0.25">
      <c r="A220" s="46" t="s">
        <v>784</v>
      </c>
      <c r="B220" s="82" t="s">
        <v>785</v>
      </c>
      <c r="C220" s="79">
        <v>43833</v>
      </c>
      <c r="D220" s="103" t="s">
        <v>498</v>
      </c>
      <c r="E220" s="104">
        <v>6.6</v>
      </c>
      <c r="F220" s="101" t="s">
        <v>180</v>
      </c>
      <c r="G220" s="278" t="s">
        <v>786</v>
      </c>
    </row>
    <row r="221" spans="1:7" x14ac:dyDescent="0.25">
      <c r="A221" s="46" t="s">
        <v>787</v>
      </c>
      <c r="B221" s="82" t="s">
        <v>788</v>
      </c>
      <c r="C221" s="79">
        <v>45553</v>
      </c>
      <c r="D221" s="103" t="s">
        <v>498</v>
      </c>
      <c r="E221" s="104">
        <v>6.6</v>
      </c>
      <c r="F221" s="101" t="s">
        <v>180</v>
      </c>
      <c r="G221" s="278" t="s">
        <v>786</v>
      </c>
    </row>
    <row r="222" spans="1:7" x14ac:dyDescent="0.25">
      <c r="A222" s="46" t="s">
        <v>789</v>
      </c>
      <c r="B222" s="82" t="s">
        <v>790</v>
      </c>
      <c r="C222" s="79">
        <v>48372</v>
      </c>
      <c r="D222" s="103" t="s">
        <v>498</v>
      </c>
      <c r="E222" s="104">
        <v>6.8</v>
      </c>
      <c r="F222" s="101" t="s">
        <v>180</v>
      </c>
      <c r="G222" s="278" t="s">
        <v>786</v>
      </c>
    </row>
    <row r="223" spans="1:7" x14ac:dyDescent="0.25">
      <c r="A223" s="46" t="s">
        <v>791</v>
      </c>
      <c r="B223" s="82" t="s">
        <v>792</v>
      </c>
      <c r="C223" s="79">
        <v>52072</v>
      </c>
      <c r="D223" s="103" t="s">
        <v>498</v>
      </c>
      <c r="E223" s="104">
        <v>6.8</v>
      </c>
      <c r="F223" s="101" t="s">
        <v>180</v>
      </c>
      <c r="G223" s="278" t="s">
        <v>786</v>
      </c>
    </row>
    <row r="224" spans="1:7" x14ac:dyDescent="0.25">
      <c r="A224" s="46" t="s">
        <v>793</v>
      </c>
      <c r="B224" s="82" t="s">
        <v>794</v>
      </c>
      <c r="C224" s="79">
        <v>58647</v>
      </c>
      <c r="D224" s="103" t="s">
        <v>795</v>
      </c>
      <c r="E224" s="104">
        <v>8.4</v>
      </c>
      <c r="F224" s="101" t="s">
        <v>180</v>
      </c>
      <c r="G224" s="278" t="s">
        <v>796</v>
      </c>
    </row>
    <row r="225" spans="1:7" x14ac:dyDescent="0.25">
      <c r="A225" s="46" t="s">
        <v>797</v>
      </c>
      <c r="B225" s="82" t="s">
        <v>798</v>
      </c>
      <c r="C225" s="79">
        <v>60622</v>
      </c>
      <c r="D225" s="103" t="s">
        <v>795</v>
      </c>
      <c r="E225" s="104">
        <v>8.4</v>
      </c>
      <c r="F225" s="101" t="s">
        <v>180</v>
      </c>
      <c r="G225" s="278" t="s">
        <v>799</v>
      </c>
    </row>
    <row r="226" spans="1:7" x14ac:dyDescent="0.25">
      <c r="A226" s="46" t="s">
        <v>800</v>
      </c>
      <c r="B226" s="82" t="s">
        <v>801</v>
      </c>
      <c r="C226" s="79">
        <v>65035</v>
      </c>
      <c r="D226" s="103" t="s">
        <v>795</v>
      </c>
      <c r="E226" s="104">
        <v>8.6999999999999993</v>
      </c>
      <c r="F226" s="101" t="s">
        <v>180</v>
      </c>
      <c r="G226" s="278" t="s">
        <v>802</v>
      </c>
    </row>
    <row r="227" spans="1:7" x14ac:dyDescent="0.25">
      <c r="A227" s="46" t="s">
        <v>803</v>
      </c>
      <c r="B227" s="82" t="s">
        <v>804</v>
      </c>
      <c r="C227" s="79">
        <v>68495</v>
      </c>
      <c r="D227" s="103" t="s">
        <v>795</v>
      </c>
      <c r="E227" s="104">
        <v>8.6999999999999993</v>
      </c>
      <c r="F227" s="101" t="s">
        <v>180</v>
      </c>
      <c r="G227" s="278" t="s">
        <v>805</v>
      </c>
    </row>
    <row r="228" spans="1:7" x14ac:dyDescent="0.25">
      <c r="A228" s="46" t="s">
        <v>806</v>
      </c>
      <c r="B228" s="82" t="s">
        <v>807</v>
      </c>
      <c r="C228" s="79">
        <v>62166</v>
      </c>
      <c r="D228" s="103" t="s">
        <v>795</v>
      </c>
      <c r="E228" s="104">
        <v>8.4</v>
      </c>
      <c r="F228" s="101" t="s">
        <v>180</v>
      </c>
      <c r="G228" s="278" t="s">
        <v>786</v>
      </c>
    </row>
    <row r="229" spans="1:7" x14ac:dyDescent="0.25">
      <c r="A229" s="46" t="s">
        <v>808</v>
      </c>
      <c r="B229" s="82" t="s">
        <v>809</v>
      </c>
      <c r="C229" s="79">
        <v>64201</v>
      </c>
      <c r="D229" s="103" t="s">
        <v>795</v>
      </c>
      <c r="E229" s="104">
        <v>8.4</v>
      </c>
      <c r="F229" s="101" t="s">
        <v>180</v>
      </c>
      <c r="G229" s="278" t="s">
        <v>786</v>
      </c>
    </row>
    <row r="230" spans="1:7" x14ac:dyDescent="0.25">
      <c r="A230" s="46" t="s">
        <v>810</v>
      </c>
      <c r="B230" s="82" t="s">
        <v>811</v>
      </c>
      <c r="C230" s="79">
        <v>68673</v>
      </c>
      <c r="D230" s="103" t="s">
        <v>795</v>
      </c>
      <c r="E230" s="104">
        <v>8.6999999999999993</v>
      </c>
      <c r="F230" s="101" t="s">
        <v>180</v>
      </c>
      <c r="G230" s="278" t="s">
        <v>786</v>
      </c>
    </row>
    <row r="231" spans="1:7" x14ac:dyDescent="0.25">
      <c r="A231" s="46" t="s">
        <v>812</v>
      </c>
      <c r="B231" s="82" t="s">
        <v>813</v>
      </c>
      <c r="C231" s="79">
        <v>72193</v>
      </c>
      <c r="D231" s="103" t="s">
        <v>795</v>
      </c>
      <c r="E231" s="104">
        <v>8.6999999999999993</v>
      </c>
      <c r="F231" s="101" t="s">
        <v>180</v>
      </c>
      <c r="G231" s="278" t="s">
        <v>786</v>
      </c>
    </row>
    <row r="232" spans="1:7" x14ac:dyDescent="0.2">
      <c r="A232" s="46" t="s">
        <v>814</v>
      </c>
      <c r="B232" s="71" t="s">
        <v>815</v>
      </c>
      <c r="C232" s="79">
        <v>69454</v>
      </c>
      <c r="D232" s="94" t="s">
        <v>816</v>
      </c>
      <c r="E232" s="91">
        <v>22.5</v>
      </c>
      <c r="F232" s="101" t="s">
        <v>180</v>
      </c>
      <c r="G232" s="278" t="s">
        <v>817</v>
      </c>
    </row>
    <row r="233" spans="1:7" x14ac:dyDescent="0.2">
      <c r="A233" s="46" t="s">
        <v>818</v>
      </c>
      <c r="B233" s="71" t="s">
        <v>819</v>
      </c>
      <c r="C233" s="79">
        <v>71649</v>
      </c>
      <c r="D233" s="94" t="s">
        <v>816</v>
      </c>
      <c r="E233" s="91">
        <v>22.5</v>
      </c>
      <c r="F233" s="101" t="s">
        <v>180</v>
      </c>
      <c r="G233" s="278" t="s">
        <v>820</v>
      </c>
    </row>
    <row r="234" spans="1:7" x14ac:dyDescent="0.2">
      <c r="A234" s="46" t="s">
        <v>821</v>
      </c>
      <c r="B234" s="71" t="s">
        <v>822</v>
      </c>
      <c r="C234" s="79">
        <v>76852</v>
      </c>
      <c r="D234" s="94" t="s">
        <v>816</v>
      </c>
      <c r="E234" s="91">
        <v>22.5</v>
      </c>
      <c r="F234" s="101" t="s">
        <v>180</v>
      </c>
      <c r="G234" s="278" t="s">
        <v>823</v>
      </c>
    </row>
    <row r="235" spans="1:7" x14ac:dyDescent="0.2">
      <c r="A235" s="46" t="s">
        <v>824</v>
      </c>
      <c r="B235" s="71" t="s">
        <v>825</v>
      </c>
      <c r="C235" s="79">
        <v>80571</v>
      </c>
      <c r="D235" s="94" t="s">
        <v>816</v>
      </c>
      <c r="E235" s="91">
        <v>22.5</v>
      </c>
      <c r="F235" s="101" t="s">
        <v>180</v>
      </c>
      <c r="G235" s="278" t="s">
        <v>826</v>
      </c>
    </row>
    <row r="236" spans="1:7" x14ac:dyDescent="0.2">
      <c r="A236" s="46" t="s">
        <v>2526</v>
      </c>
      <c r="B236" s="71" t="s">
        <v>2527</v>
      </c>
      <c r="C236" s="79">
        <v>84574</v>
      </c>
      <c r="D236" s="293" t="s">
        <v>816</v>
      </c>
      <c r="E236" s="294">
        <v>22.5</v>
      </c>
      <c r="F236" s="92" t="s">
        <v>180</v>
      </c>
      <c r="G236" s="113" t="s">
        <v>2528</v>
      </c>
    </row>
    <row r="237" spans="1:7" x14ac:dyDescent="0.2">
      <c r="A237" s="46" t="s">
        <v>2529</v>
      </c>
      <c r="B237" s="71" t="s">
        <v>2530</v>
      </c>
      <c r="C237" s="79">
        <v>87852</v>
      </c>
      <c r="D237" s="293" t="s">
        <v>816</v>
      </c>
      <c r="E237" s="294">
        <v>22.5</v>
      </c>
      <c r="F237" s="92" t="s">
        <v>180</v>
      </c>
      <c r="G237" s="113" t="s">
        <v>2531</v>
      </c>
    </row>
    <row r="238" spans="1:7" x14ac:dyDescent="0.2">
      <c r="A238" s="46" t="s">
        <v>2532</v>
      </c>
      <c r="B238" s="71" t="s">
        <v>2533</v>
      </c>
      <c r="C238" s="79">
        <v>92197</v>
      </c>
      <c r="D238" s="293" t="s">
        <v>816</v>
      </c>
      <c r="E238" s="294">
        <v>22.5</v>
      </c>
      <c r="F238" s="92" t="s">
        <v>180</v>
      </c>
      <c r="G238" s="113" t="s">
        <v>2534</v>
      </c>
    </row>
    <row r="239" spans="1:7" ht="15" x14ac:dyDescent="0.25">
      <c r="A239" s="295"/>
      <c r="B239" s="296" t="s">
        <v>717</v>
      </c>
      <c r="C239" s="283"/>
      <c r="D239" s="276"/>
      <c r="E239" s="275"/>
      <c r="F239" s="275"/>
      <c r="G239" s="297"/>
    </row>
    <row r="240" spans="1:7" x14ac:dyDescent="0.25">
      <c r="A240" s="117"/>
      <c r="B240" s="117" t="s">
        <v>827</v>
      </c>
      <c r="C240" s="281"/>
      <c r="D240" s="94"/>
      <c r="E240" s="91"/>
      <c r="F240" s="101"/>
      <c r="G240" s="278"/>
    </row>
    <row r="241" spans="1:7" x14ac:dyDescent="0.2">
      <c r="A241" s="46" t="s">
        <v>828</v>
      </c>
      <c r="B241" s="71" t="s">
        <v>829</v>
      </c>
      <c r="C241" s="79">
        <v>83511</v>
      </c>
      <c r="D241" s="279" t="s">
        <v>795</v>
      </c>
      <c r="E241" s="288">
        <v>8.6999999999999993</v>
      </c>
      <c r="F241" s="92" t="s">
        <v>180</v>
      </c>
      <c r="G241" s="113" t="s">
        <v>830</v>
      </c>
    </row>
    <row r="242" spans="1:7" x14ac:dyDescent="0.2">
      <c r="A242" s="46" t="s">
        <v>831</v>
      </c>
      <c r="B242" s="71" t="s">
        <v>832</v>
      </c>
      <c r="C242" s="79">
        <v>85375</v>
      </c>
      <c r="D242" s="279" t="s">
        <v>795</v>
      </c>
      <c r="E242" s="288">
        <v>8.6999999999999993</v>
      </c>
      <c r="F242" s="92" t="s">
        <v>180</v>
      </c>
      <c r="G242" s="113" t="s">
        <v>833</v>
      </c>
    </row>
    <row r="243" spans="1:7" x14ac:dyDescent="0.2">
      <c r="A243" s="46" t="s">
        <v>834</v>
      </c>
      <c r="B243" s="71" t="s">
        <v>835</v>
      </c>
      <c r="C243" s="79">
        <v>87393</v>
      </c>
      <c r="D243" s="279" t="s">
        <v>795</v>
      </c>
      <c r="E243" s="288">
        <v>8.9</v>
      </c>
      <c r="F243" s="92" t="s">
        <v>180</v>
      </c>
      <c r="G243" s="113" t="s">
        <v>836</v>
      </c>
    </row>
    <row r="244" spans="1:7" x14ac:dyDescent="0.2">
      <c r="A244" s="46" t="s">
        <v>837</v>
      </c>
      <c r="B244" s="71" t="s">
        <v>838</v>
      </c>
      <c r="C244" s="79">
        <v>92156</v>
      </c>
      <c r="D244" s="279" t="s">
        <v>795</v>
      </c>
      <c r="E244" s="288">
        <v>8.9</v>
      </c>
      <c r="F244" s="92" t="s">
        <v>180</v>
      </c>
      <c r="G244" s="113" t="s">
        <v>839</v>
      </c>
    </row>
    <row r="245" spans="1:7" x14ac:dyDescent="0.2">
      <c r="A245" s="86" t="s">
        <v>840</v>
      </c>
      <c r="B245" s="75" t="s">
        <v>841</v>
      </c>
      <c r="C245" s="79">
        <v>91140</v>
      </c>
      <c r="D245" s="279" t="s">
        <v>795</v>
      </c>
      <c r="E245" s="288">
        <v>8.6999999999999993</v>
      </c>
      <c r="F245" s="92" t="s">
        <v>180</v>
      </c>
      <c r="G245" s="113" t="s">
        <v>842</v>
      </c>
    </row>
    <row r="246" spans="1:7" x14ac:dyDescent="0.2">
      <c r="A246" s="86" t="s">
        <v>843</v>
      </c>
      <c r="B246" s="75" t="s">
        <v>844</v>
      </c>
      <c r="C246" s="79">
        <v>92650</v>
      </c>
      <c r="D246" s="279" t="s">
        <v>795</v>
      </c>
      <c r="E246" s="288">
        <v>8.6999999999999993</v>
      </c>
      <c r="F246" s="92" t="s">
        <v>180</v>
      </c>
      <c r="G246" s="113" t="s">
        <v>845</v>
      </c>
    </row>
    <row r="247" spans="1:7" x14ac:dyDescent="0.2">
      <c r="A247" s="86" t="s">
        <v>846</v>
      </c>
      <c r="B247" s="75" t="s">
        <v>847</v>
      </c>
      <c r="C247" s="79">
        <v>94041</v>
      </c>
      <c r="D247" s="279" t="s">
        <v>795</v>
      </c>
      <c r="E247" s="288">
        <v>8.9</v>
      </c>
      <c r="F247" s="92" t="s">
        <v>180</v>
      </c>
      <c r="G247" s="113" t="s">
        <v>848</v>
      </c>
    </row>
    <row r="248" spans="1:7" x14ac:dyDescent="0.2">
      <c r="A248" s="86" t="s">
        <v>849</v>
      </c>
      <c r="B248" s="75" t="s">
        <v>850</v>
      </c>
      <c r="C248" s="79">
        <v>99313</v>
      </c>
      <c r="D248" s="279" t="s">
        <v>795</v>
      </c>
      <c r="E248" s="288">
        <v>8.9</v>
      </c>
      <c r="F248" s="92" t="s">
        <v>180</v>
      </c>
      <c r="G248" s="113" t="s">
        <v>851</v>
      </c>
    </row>
    <row r="249" spans="1:7" x14ac:dyDescent="0.2">
      <c r="A249" s="86" t="s">
        <v>852</v>
      </c>
      <c r="B249" s="75" t="s">
        <v>853</v>
      </c>
      <c r="C249" s="79">
        <v>94251</v>
      </c>
      <c r="D249" s="279" t="s">
        <v>795</v>
      </c>
      <c r="E249" s="288">
        <v>8.6999999999999993</v>
      </c>
      <c r="F249" s="92" t="s">
        <v>180</v>
      </c>
      <c r="G249" s="113" t="s">
        <v>854</v>
      </c>
    </row>
    <row r="250" spans="1:7" x14ac:dyDescent="0.2">
      <c r="A250" s="86" t="s">
        <v>855</v>
      </c>
      <c r="B250" s="75" t="s">
        <v>856</v>
      </c>
      <c r="C250" s="79">
        <v>95786</v>
      </c>
      <c r="D250" s="279" t="s">
        <v>795</v>
      </c>
      <c r="E250" s="288">
        <v>8.6999999999999993</v>
      </c>
      <c r="F250" s="92" t="s">
        <v>180</v>
      </c>
      <c r="G250" s="113" t="s">
        <v>857</v>
      </c>
    </row>
    <row r="251" spans="1:7" x14ac:dyDescent="0.2">
      <c r="A251" s="86" t="s">
        <v>858</v>
      </c>
      <c r="B251" s="75" t="s">
        <v>859</v>
      </c>
      <c r="C251" s="79">
        <v>97201</v>
      </c>
      <c r="D251" s="279" t="s">
        <v>795</v>
      </c>
      <c r="E251" s="288">
        <v>8.9</v>
      </c>
      <c r="F251" s="92" t="s">
        <v>180</v>
      </c>
      <c r="G251" s="113" t="s">
        <v>860</v>
      </c>
    </row>
    <row r="252" spans="1:7" x14ac:dyDescent="0.2">
      <c r="A252" s="86" t="s">
        <v>861</v>
      </c>
      <c r="B252" s="75" t="s">
        <v>862</v>
      </c>
      <c r="C252" s="79">
        <v>102498</v>
      </c>
      <c r="D252" s="279" t="s">
        <v>795</v>
      </c>
      <c r="E252" s="288">
        <v>8.9</v>
      </c>
      <c r="F252" s="92" t="s">
        <v>180</v>
      </c>
      <c r="G252" s="113" t="s">
        <v>863</v>
      </c>
    </row>
    <row r="253" spans="1:7" x14ac:dyDescent="0.2">
      <c r="A253" s="46" t="s">
        <v>864</v>
      </c>
      <c r="B253" s="71" t="s">
        <v>865</v>
      </c>
      <c r="C253" s="79">
        <v>104694</v>
      </c>
      <c r="D253" s="279" t="s">
        <v>795</v>
      </c>
      <c r="E253" s="288">
        <v>8.9</v>
      </c>
      <c r="F253" s="92" t="s">
        <v>180</v>
      </c>
      <c r="G253" s="113" t="s">
        <v>866</v>
      </c>
    </row>
    <row r="254" spans="1:7" x14ac:dyDescent="0.2">
      <c r="A254" s="46" t="s">
        <v>867</v>
      </c>
      <c r="B254" s="71" t="s">
        <v>868</v>
      </c>
      <c r="C254" s="79">
        <v>108232</v>
      </c>
      <c r="D254" s="279" t="s">
        <v>795</v>
      </c>
      <c r="E254" s="288">
        <v>8.9</v>
      </c>
      <c r="F254" s="92" t="s">
        <v>180</v>
      </c>
      <c r="G254" s="113" t="s">
        <v>869</v>
      </c>
    </row>
    <row r="255" spans="1:7" x14ac:dyDescent="0.2">
      <c r="A255" s="46" t="s">
        <v>870</v>
      </c>
      <c r="B255" s="71" t="s">
        <v>871</v>
      </c>
      <c r="C255" s="79">
        <v>110144</v>
      </c>
      <c r="D255" s="279" t="s">
        <v>795</v>
      </c>
      <c r="E255" s="288">
        <v>9.1</v>
      </c>
      <c r="F255" s="92" t="s">
        <v>180</v>
      </c>
      <c r="G255" s="113" t="s">
        <v>872</v>
      </c>
    </row>
    <row r="256" spans="1:7" x14ac:dyDescent="0.2">
      <c r="A256" s="46" t="s">
        <v>873</v>
      </c>
      <c r="B256" s="71" t="s">
        <v>874</v>
      </c>
      <c r="C256" s="79">
        <v>115266</v>
      </c>
      <c r="D256" s="279" t="s">
        <v>795</v>
      </c>
      <c r="E256" s="288">
        <v>9.1</v>
      </c>
      <c r="F256" s="92" t="s">
        <v>180</v>
      </c>
      <c r="G256" s="113" t="s">
        <v>875</v>
      </c>
    </row>
    <row r="257" spans="1:7" x14ac:dyDescent="0.2">
      <c r="A257" s="86" t="s">
        <v>876</v>
      </c>
      <c r="B257" s="75" t="s">
        <v>877</v>
      </c>
      <c r="C257" s="79">
        <v>112785</v>
      </c>
      <c r="D257" s="279" t="s">
        <v>795</v>
      </c>
      <c r="E257" s="288">
        <v>8.6999999999999993</v>
      </c>
      <c r="F257" s="92" t="s">
        <v>180</v>
      </c>
      <c r="G257" s="113" t="s">
        <v>878</v>
      </c>
    </row>
    <row r="258" spans="1:7" x14ac:dyDescent="0.2">
      <c r="A258" s="86" t="s">
        <v>879</v>
      </c>
      <c r="B258" s="75" t="s">
        <v>880</v>
      </c>
      <c r="C258" s="79">
        <v>115799</v>
      </c>
      <c r="D258" s="279" t="s">
        <v>795</v>
      </c>
      <c r="E258" s="288">
        <v>8.6999999999999993</v>
      </c>
      <c r="F258" s="92" t="s">
        <v>180</v>
      </c>
      <c r="G258" s="113" t="s">
        <v>881</v>
      </c>
    </row>
    <row r="259" spans="1:7" x14ac:dyDescent="0.2">
      <c r="A259" s="86" t="s">
        <v>882</v>
      </c>
      <c r="B259" s="75" t="s">
        <v>883</v>
      </c>
      <c r="C259" s="79">
        <v>116884</v>
      </c>
      <c r="D259" s="279" t="s">
        <v>795</v>
      </c>
      <c r="E259" s="288">
        <v>8.9</v>
      </c>
      <c r="F259" s="92" t="s">
        <v>180</v>
      </c>
      <c r="G259" s="113" t="s">
        <v>884</v>
      </c>
    </row>
    <row r="260" spans="1:7" x14ac:dyDescent="0.2">
      <c r="A260" s="86" t="s">
        <v>885</v>
      </c>
      <c r="B260" s="75" t="s">
        <v>886</v>
      </c>
      <c r="C260" s="79">
        <v>122322</v>
      </c>
      <c r="D260" s="279" t="s">
        <v>795</v>
      </c>
      <c r="E260" s="288">
        <v>8.9</v>
      </c>
      <c r="F260" s="92" t="s">
        <v>180</v>
      </c>
      <c r="G260" s="113" t="s">
        <v>887</v>
      </c>
    </row>
    <row r="261" spans="1:7" x14ac:dyDescent="0.2">
      <c r="A261" s="86" t="s">
        <v>888</v>
      </c>
      <c r="B261" s="75" t="s">
        <v>889</v>
      </c>
      <c r="C261" s="79">
        <v>115897</v>
      </c>
      <c r="D261" s="279" t="s">
        <v>795</v>
      </c>
      <c r="E261" s="288">
        <v>8.6999999999999993</v>
      </c>
      <c r="F261" s="92" t="s">
        <v>180</v>
      </c>
      <c r="G261" s="113" t="s">
        <v>890</v>
      </c>
    </row>
    <row r="262" spans="1:7" x14ac:dyDescent="0.2">
      <c r="A262" s="86" t="s">
        <v>891</v>
      </c>
      <c r="B262" s="75" t="s">
        <v>892</v>
      </c>
      <c r="C262" s="79">
        <v>118935</v>
      </c>
      <c r="D262" s="279" t="s">
        <v>795</v>
      </c>
      <c r="E262" s="288">
        <v>8.6999999999999993</v>
      </c>
      <c r="F262" s="92" t="s">
        <v>180</v>
      </c>
      <c r="G262" s="113" t="s">
        <v>893</v>
      </c>
    </row>
    <row r="263" spans="1:7" x14ac:dyDescent="0.2">
      <c r="A263" s="86" t="s">
        <v>894</v>
      </c>
      <c r="B263" s="75" t="s">
        <v>895</v>
      </c>
      <c r="C263" s="79">
        <v>120044</v>
      </c>
      <c r="D263" s="279" t="s">
        <v>795</v>
      </c>
      <c r="E263" s="288">
        <v>8.9</v>
      </c>
      <c r="F263" s="92" t="s">
        <v>180</v>
      </c>
      <c r="G263" s="113" t="s">
        <v>896</v>
      </c>
    </row>
    <row r="264" spans="1:7" x14ac:dyDescent="0.2">
      <c r="A264" s="86" t="s">
        <v>897</v>
      </c>
      <c r="B264" s="75" t="s">
        <v>898</v>
      </c>
      <c r="C264" s="79">
        <v>125507</v>
      </c>
      <c r="D264" s="279" t="s">
        <v>795</v>
      </c>
      <c r="E264" s="288">
        <v>8.9</v>
      </c>
      <c r="F264" s="92" t="s">
        <v>180</v>
      </c>
      <c r="G264" s="113" t="s">
        <v>899</v>
      </c>
    </row>
    <row r="265" spans="1:7" x14ac:dyDescent="0.2">
      <c r="A265" s="46" t="s">
        <v>900</v>
      </c>
      <c r="B265" s="71" t="s">
        <v>901</v>
      </c>
      <c r="C265" s="79">
        <v>128160</v>
      </c>
      <c r="D265" s="279" t="s">
        <v>902</v>
      </c>
      <c r="E265" s="294">
        <v>10.199999999999999</v>
      </c>
      <c r="F265" s="92" t="s">
        <v>180</v>
      </c>
      <c r="G265" s="113" t="s">
        <v>903</v>
      </c>
    </row>
    <row r="266" spans="1:7" x14ac:dyDescent="0.2">
      <c r="A266" s="46" t="s">
        <v>904</v>
      </c>
      <c r="B266" s="71" t="s">
        <v>905</v>
      </c>
      <c r="C266" s="79">
        <v>131469</v>
      </c>
      <c r="D266" s="279" t="s">
        <v>902</v>
      </c>
      <c r="E266" s="294">
        <v>10.199999999999999</v>
      </c>
      <c r="F266" s="92" t="s">
        <v>180</v>
      </c>
      <c r="G266" s="113" t="s">
        <v>906</v>
      </c>
    </row>
    <row r="267" spans="1:7" x14ac:dyDescent="0.2">
      <c r="A267" s="46" t="s">
        <v>907</v>
      </c>
      <c r="B267" s="71" t="s">
        <v>908</v>
      </c>
      <c r="C267" s="79">
        <v>106675</v>
      </c>
      <c r="D267" s="279" t="s">
        <v>902</v>
      </c>
      <c r="E267" s="294">
        <v>10.4</v>
      </c>
      <c r="F267" s="92" t="s">
        <v>180</v>
      </c>
      <c r="G267" s="113" t="s">
        <v>909</v>
      </c>
    </row>
    <row r="268" spans="1:7" x14ac:dyDescent="0.2">
      <c r="A268" s="46" t="s">
        <v>910</v>
      </c>
      <c r="B268" s="71" t="s">
        <v>911</v>
      </c>
      <c r="C268" s="79">
        <v>109721</v>
      </c>
      <c r="D268" s="279" t="s">
        <v>902</v>
      </c>
      <c r="E268" s="294">
        <v>10.4</v>
      </c>
      <c r="F268" s="92" t="s">
        <v>180</v>
      </c>
      <c r="G268" s="113" t="s">
        <v>912</v>
      </c>
    </row>
    <row r="269" spans="1:7" x14ac:dyDescent="0.2">
      <c r="A269" s="46" t="s">
        <v>913</v>
      </c>
      <c r="B269" s="71" t="s">
        <v>914</v>
      </c>
      <c r="C269" s="79">
        <v>116202</v>
      </c>
      <c r="D269" s="279" t="s">
        <v>902</v>
      </c>
      <c r="E269" s="294">
        <v>10.7</v>
      </c>
      <c r="F269" s="92" t="s">
        <v>180</v>
      </c>
      <c r="G269" s="113" t="s">
        <v>915</v>
      </c>
    </row>
    <row r="270" spans="1:7" x14ac:dyDescent="0.2">
      <c r="A270" s="46" t="s">
        <v>916</v>
      </c>
      <c r="B270" s="71" t="s">
        <v>917</v>
      </c>
      <c r="C270" s="79">
        <v>123496</v>
      </c>
      <c r="D270" s="279" t="s">
        <v>902</v>
      </c>
      <c r="E270" s="294">
        <v>10.7</v>
      </c>
      <c r="F270" s="92" t="s">
        <v>180</v>
      </c>
      <c r="G270" s="113" t="s">
        <v>918</v>
      </c>
    </row>
    <row r="271" spans="1:7" x14ac:dyDescent="0.2">
      <c r="A271" s="46" t="s">
        <v>919</v>
      </c>
      <c r="B271" s="71" t="s">
        <v>920</v>
      </c>
      <c r="C271" s="79">
        <v>133758</v>
      </c>
      <c r="D271" s="279" t="s">
        <v>902</v>
      </c>
      <c r="E271" s="294">
        <v>11.4</v>
      </c>
      <c r="F271" s="92" t="s">
        <v>180</v>
      </c>
      <c r="G271" s="113" t="s">
        <v>921</v>
      </c>
    </row>
    <row r="272" spans="1:7" x14ac:dyDescent="0.2">
      <c r="A272" s="46" t="s">
        <v>922</v>
      </c>
      <c r="B272" s="71" t="s">
        <v>923</v>
      </c>
      <c r="C272" s="79">
        <v>138766</v>
      </c>
      <c r="D272" s="279" t="s">
        <v>902</v>
      </c>
      <c r="E272" s="294">
        <v>11.4</v>
      </c>
      <c r="F272" s="92" t="s">
        <v>180</v>
      </c>
      <c r="G272" s="113" t="s">
        <v>924</v>
      </c>
    </row>
    <row r="273" spans="1:7" x14ac:dyDescent="0.2">
      <c r="A273" s="46" t="s">
        <v>925</v>
      </c>
      <c r="B273" s="71" t="s">
        <v>926</v>
      </c>
      <c r="C273" s="79">
        <v>110189</v>
      </c>
      <c r="D273" s="293" t="s">
        <v>578</v>
      </c>
      <c r="E273" s="89">
        <v>41</v>
      </c>
      <c r="F273" s="92" t="s">
        <v>180</v>
      </c>
      <c r="G273" s="113" t="s">
        <v>927</v>
      </c>
    </row>
    <row r="274" spans="1:7" x14ac:dyDescent="0.2">
      <c r="A274" s="46" t="s">
        <v>928</v>
      </c>
      <c r="B274" s="71" t="s">
        <v>929</v>
      </c>
      <c r="C274" s="79">
        <v>113677</v>
      </c>
      <c r="D274" s="293" t="s">
        <v>578</v>
      </c>
      <c r="E274" s="89">
        <v>41</v>
      </c>
      <c r="F274" s="92" t="s">
        <v>180</v>
      </c>
      <c r="G274" s="113" t="s">
        <v>930</v>
      </c>
    </row>
    <row r="275" spans="1:7" x14ac:dyDescent="0.2">
      <c r="A275" s="46" t="s">
        <v>931</v>
      </c>
      <c r="B275" s="71" t="s">
        <v>932</v>
      </c>
      <c r="C275" s="79">
        <v>117399</v>
      </c>
      <c r="D275" s="293" t="s">
        <v>578</v>
      </c>
      <c r="E275" s="89">
        <v>41</v>
      </c>
      <c r="F275" s="92" t="s">
        <v>180</v>
      </c>
      <c r="G275" s="113" t="s">
        <v>933</v>
      </c>
    </row>
    <row r="276" spans="1:7" x14ac:dyDescent="0.2">
      <c r="A276" s="46" t="s">
        <v>934</v>
      </c>
      <c r="B276" s="71" t="s">
        <v>935</v>
      </c>
      <c r="C276" s="79">
        <v>122160</v>
      </c>
      <c r="D276" s="293" t="s">
        <v>578</v>
      </c>
      <c r="E276" s="89">
        <v>41</v>
      </c>
      <c r="F276" s="92" t="s">
        <v>180</v>
      </c>
      <c r="G276" s="113" t="s">
        <v>936</v>
      </c>
    </row>
    <row r="277" spans="1:7" x14ac:dyDescent="0.2">
      <c r="A277" s="46" t="s">
        <v>937</v>
      </c>
      <c r="B277" s="71" t="s">
        <v>938</v>
      </c>
      <c r="C277" s="79">
        <v>139113</v>
      </c>
      <c r="D277" s="293" t="s">
        <v>578</v>
      </c>
      <c r="E277" s="89">
        <v>43</v>
      </c>
      <c r="F277" s="92" t="s">
        <v>180</v>
      </c>
      <c r="G277" s="113" t="s">
        <v>939</v>
      </c>
    </row>
    <row r="278" spans="1:7" x14ac:dyDescent="0.2">
      <c r="A278" s="46" t="s">
        <v>940</v>
      </c>
      <c r="B278" s="71" t="s">
        <v>941</v>
      </c>
      <c r="C278" s="79">
        <v>145472</v>
      </c>
      <c r="D278" s="293" t="s">
        <v>578</v>
      </c>
      <c r="E278" s="89">
        <v>43</v>
      </c>
      <c r="F278" s="92" t="s">
        <v>180</v>
      </c>
      <c r="G278" s="113" t="s">
        <v>942</v>
      </c>
    </row>
    <row r="279" spans="1:7" x14ac:dyDescent="0.2">
      <c r="A279" s="46" t="s">
        <v>943</v>
      </c>
      <c r="B279" s="71" t="s">
        <v>944</v>
      </c>
      <c r="C279" s="79">
        <v>144826</v>
      </c>
      <c r="D279" s="293" t="s">
        <v>578</v>
      </c>
      <c r="E279" s="89">
        <v>43</v>
      </c>
      <c r="F279" s="92" t="s">
        <v>180</v>
      </c>
      <c r="G279" s="113" t="s">
        <v>945</v>
      </c>
    </row>
    <row r="280" spans="1:7" x14ac:dyDescent="0.2">
      <c r="A280" s="86" t="s">
        <v>946</v>
      </c>
      <c r="B280" s="75" t="s">
        <v>947</v>
      </c>
      <c r="C280" s="79">
        <v>113949</v>
      </c>
      <c r="D280" s="293" t="s">
        <v>578</v>
      </c>
      <c r="E280" s="89">
        <v>41</v>
      </c>
      <c r="F280" s="92" t="s">
        <v>180</v>
      </c>
      <c r="G280" s="113" t="s">
        <v>948</v>
      </c>
    </row>
    <row r="281" spans="1:7" x14ac:dyDescent="0.2">
      <c r="A281" s="86" t="s">
        <v>949</v>
      </c>
      <c r="B281" s="75" t="s">
        <v>950</v>
      </c>
      <c r="C281" s="79">
        <v>117281</v>
      </c>
      <c r="D281" s="293" t="s">
        <v>578</v>
      </c>
      <c r="E281" s="89">
        <v>41</v>
      </c>
      <c r="F281" s="92" t="s">
        <v>180</v>
      </c>
      <c r="G281" s="113" t="s">
        <v>951</v>
      </c>
    </row>
    <row r="282" spans="1:7" x14ac:dyDescent="0.2">
      <c r="A282" s="86" t="s">
        <v>952</v>
      </c>
      <c r="B282" s="75" t="s">
        <v>953</v>
      </c>
      <c r="C282" s="79">
        <v>119639</v>
      </c>
      <c r="D282" s="293" t="s">
        <v>578</v>
      </c>
      <c r="E282" s="89">
        <v>41</v>
      </c>
      <c r="F282" s="92" t="s">
        <v>180</v>
      </c>
      <c r="G282" s="113" t="s">
        <v>954</v>
      </c>
    </row>
    <row r="283" spans="1:7" x14ac:dyDescent="0.2">
      <c r="A283" s="86" t="s">
        <v>955</v>
      </c>
      <c r="B283" s="75" t="s">
        <v>956</v>
      </c>
      <c r="C283" s="79">
        <v>123588</v>
      </c>
      <c r="D283" s="293" t="s">
        <v>578</v>
      </c>
      <c r="E283" s="89">
        <v>41</v>
      </c>
      <c r="F283" s="92" t="s">
        <v>180</v>
      </c>
      <c r="G283" s="113" t="s">
        <v>957</v>
      </c>
    </row>
    <row r="284" spans="1:7" x14ac:dyDescent="0.2">
      <c r="A284" s="86" t="s">
        <v>958</v>
      </c>
      <c r="B284" s="75" t="s">
        <v>959</v>
      </c>
      <c r="C284" s="79">
        <v>140873</v>
      </c>
      <c r="D284" s="293" t="s">
        <v>578</v>
      </c>
      <c r="E284" s="89">
        <v>43</v>
      </c>
      <c r="F284" s="92" t="s">
        <v>180</v>
      </c>
      <c r="G284" s="113" t="s">
        <v>960</v>
      </c>
    </row>
    <row r="285" spans="1:7" x14ac:dyDescent="0.2">
      <c r="A285" s="86" t="s">
        <v>961</v>
      </c>
      <c r="B285" s="75" t="s">
        <v>962</v>
      </c>
      <c r="C285" s="79">
        <v>151804</v>
      </c>
      <c r="D285" s="293" t="s">
        <v>578</v>
      </c>
      <c r="E285" s="89">
        <v>43</v>
      </c>
      <c r="F285" s="92" t="s">
        <v>180</v>
      </c>
      <c r="G285" s="113" t="s">
        <v>963</v>
      </c>
    </row>
    <row r="286" spans="1:7" x14ac:dyDescent="0.2">
      <c r="A286" s="86" t="s">
        <v>964</v>
      </c>
      <c r="B286" s="75" t="s">
        <v>965</v>
      </c>
      <c r="C286" s="79">
        <v>154514</v>
      </c>
      <c r="D286" s="293" t="s">
        <v>578</v>
      </c>
      <c r="E286" s="89">
        <v>43</v>
      </c>
      <c r="F286" s="92" t="s">
        <v>180</v>
      </c>
      <c r="G286" s="113" t="s">
        <v>966</v>
      </c>
    </row>
    <row r="287" spans="1:7" x14ac:dyDescent="0.2">
      <c r="A287" s="86" t="s">
        <v>967</v>
      </c>
      <c r="B287" s="75" t="s">
        <v>968</v>
      </c>
      <c r="C287" s="79">
        <v>117013</v>
      </c>
      <c r="D287" s="293" t="s">
        <v>578</v>
      </c>
      <c r="E287" s="89">
        <v>41</v>
      </c>
      <c r="F287" s="92" t="s">
        <v>180</v>
      </c>
      <c r="G287" s="113" t="s">
        <v>969</v>
      </c>
    </row>
    <row r="288" spans="1:7" x14ac:dyDescent="0.2">
      <c r="A288" s="86" t="s">
        <v>970</v>
      </c>
      <c r="B288" s="75" t="s">
        <v>971</v>
      </c>
      <c r="C288" s="79">
        <v>120344</v>
      </c>
      <c r="D288" s="293" t="s">
        <v>578</v>
      </c>
      <c r="E288" s="89">
        <v>41</v>
      </c>
      <c r="F288" s="92" t="s">
        <v>180</v>
      </c>
      <c r="G288" s="113" t="s">
        <v>972</v>
      </c>
    </row>
    <row r="289" spans="1:7" x14ac:dyDescent="0.2">
      <c r="A289" s="86" t="s">
        <v>973</v>
      </c>
      <c r="B289" s="75" t="s">
        <v>974</v>
      </c>
      <c r="C289" s="79">
        <v>122702</v>
      </c>
      <c r="D289" s="293" t="s">
        <v>578</v>
      </c>
      <c r="E289" s="89">
        <v>41</v>
      </c>
      <c r="F289" s="92" t="s">
        <v>180</v>
      </c>
      <c r="G289" s="113" t="s">
        <v>975</v>
      </c>
    </row>
    <row r="290" spans="1:7" x14ac:dyDescent="0.2">
      <c r="A290" s="86" t="s">
        <v>976</v>
      </c>
      <c r="B290" s="75" t="s">
        <v>977</v>
      </c>
      <c r="C290" s="79">
        <v>126676</v>
      </c>
      <c r="D290" s="293" t="s">
        <v>578</v>
      </c>
      <c r="E290" s="89">
        <v>41</v>
      </c>
      <c r="F290" s="92" t="s">
        <v>180</v>
      </c>
      <c r="G290" s="113" t="s">
        <v>978</v>
      </c>
    </row>
    <row r="291" spans="1:7" x14ac:dyDescent="0.2">
      <c r="A291" s="86" t="s">
        <v>979</v>
      </c>
      <c r="B291" s="75" t="s">
        <v>980</v>
      </c>
      <c r="C291" s="79">
        <v>143959</v>
      </c>
      <c r="D291" s="293" t="s">
        <v>578</v>
      </c>
      <c r="E291" s="89">
        <v>43</v>
      </c>
      <c r="F291" s="92" t="s">
        <v>180</v>
      </c>
      <c r="G291" s="113" t="s">
        <v>981</v>
      </c>
    </row>
    <row r="292" spans="1:7" x14ac:dyDescent="0.2">
      <c r="A292" s="86" t="s">
        <v>982</v>
      </c>
      <c r="B292" s="75" t="s">
        <v>983</v>
      </c>
      <c r="C292" s="79">
        <v>154916</v>
      </c>
      <c r="D292" s="293" t="s">
        <v>578</v>
      </c>
      <c r="E292" s="89">
        <v>43</v>
      </c>
      <c r="F292" s="92" t="s">
        <v>180</v>
      </c>
      <c r="G292" s="113" t="s">
        <v>984</v>
      </c>
    </row>
    <row r="293" spans="1:7" x14ac:dyDescent="0.2">
      <c r="A293" s="86" t="s">
        <v>985</v>
      </c>
      <c r="B293" s="75" t="s">
        <v>986</v>
      </c>
      <c r="C293" s="79">
        <v>157650</v>
      </c>
      <c r="D293" s="293" t="s">
        <v>578</v>
      </c>
      <c r="E293" s="89">
        <v>43</v>
      </c>
      <c r="F293" s="92" t="s">
        <v>180</v>
      </c>
      <c r="G293" s="113" t="s">
        <v>987</v>
      </c>
    </row>
    <row r="294" spans="1:7" x14ac:dyDescent="0.2">
      <c r="A294" s="46" t="s">
        <v>988</v>
      </c>
      <c r="B294" s="71" t="s">
        <v>989</v>
      </c>
      <c r="C294" s="79">
        <v>133724</v>
      </c>
      <c r="D294" s="293" t="s">
        <v>578</v>
      </c>
      <c r="E294" s="89">
        <v>42</v>
      </c>
      <c r="F294" s="92" t="s">
        <v>180</v>
      </c>
      <c r="G294" s="113" t="s">
        <v>990</v>
      </c>
    </row>
    <row r="295" spans="1:7" x14ac:dyDescent="0.2">
      <c r="A295" s="46" t="s">
        <v>991</v>
      </c>
      <c r="B295" s="71" t="s">
        <v>992</v>
      </c>
      <c r="C295" s="79">
        <v>139426</v>
      </c>
      <c r="D295" s="293" t="s">
        <v>578</v>
      </c>
      <c r="E295" s="89">
        <v>42</v>
      </c>
      <c r="F295" s="92" t="s">
        <v>180</v>
      </c>
      <c r="G295" s="113" t="s">
        <v>993</v>
      </c>
    </row>
    <row r="296" spans="1:7" x14ac:dyDescent="0.2">
      <c r="A296" s="46" t="s">
        <v>994</v>
      </c>
      <c r="B296" s="71" t="s">
        <v>995</v>
      </c>
      <c r="C296" s="79">
        <v>141978</v>
      </c>
      <c r="D296" s="293" t="s">
        <v>578</v>
      </c>
      <c r="E296" s="89">
        <v>42</v>
      </c>
      <c r="F296" s="92" t="s">
        <v>180</v>
      </c>
      <c r="G296" s="113" t="s">
        <v>996</v>
      </c>
    </row>
    <row r="297" spans="1:7" x14ac:dyDescent="0.2">
      <c r="A297" s="46" t="s">
        <v>997</v>
      </c>
      <c r="B297" s="71" t="s">
        <v>998</v>
      </c>
      <c r="C297" s="79">
        <v>152122</v>
      </c>
      <c r="D297" s="293" t="s">
        <v>578</v>
      </c>
      <c r="E297" s="89">
        <v>42</v>
      </c>
      <c r="F297" s="92" t="s">
        <v>180</v>
      </c>
      <c r="G297" s="113" t="s">
        <v>999</v>
      </c>
    </row>
    <row r="298" spans="1:7" x14ac:dyDescent="0.2">
      <c r="A298" s="46" t="s">
        <v>1000</v>
      </c>
      <c r="B298" s="71" t="s">
        <v>1001</v>
      </c>
      <c r="C298" s="79">
        <v>174707</v>
      </c>
      <c r="D298" s="293" t="s">
        <v>1002</v>
      </c>
      <c r="E298" s="89">
        <v>51</v>
      </c>
      <c r="F298" s="92" t="s">
        <v>180</v>
      </c>
      <c r="G298" s="113" t="s">
        <v>1003</v>
      </c>
    </row>
    <row r="299" spans="1:7" x14ac:dyDescent="0.2">
      <c r="A299" s="46" t="s">
        <v>1004</v>
      </c>
      <c r="B299" s="71" t="s">
        <v>1005</v>
      </c>
      <c r="C299" s="79">
        <v>174936</v>
      </c>
      <c r="D299" s="293" t="s">
        <v>1002</v>
      </c>
      <c r="E299" s="89">
        <v>51</v>
      </c>
      <c r="F299" s="92" t="s">
        <v>180</v>
      </c>
      <c r="G299" s="113" t="s">
        <v>1006</v>
      </c>
    </row>
    <row r="300" spans="1:7" x14ac:dyDescent="0.2">
      <c r="A300" s="46" t="s">
        <v>1007</v>
      </c>
      <c r="B300" s="71" t="s">
        <v>1008</v>
      </c>
      <c r="C300" s="79">
        <v>183490</v>
      </c>
      <c r="D300" s="293" t="s">
        <v>1002</v>
      </c>
      <c r="E300" s="89">
        <v>51</v>
      </c>
      <c r="F300" s="92" t="s">
        <v>180</v>
      </c>
      <c r="G300" s="113" t="s">
        <v>1009</v>
      </c>
    </row>
    <row r="301" spans="1:7" x14ac:dyDescent="0.2">
      <c r="A301" s="86" t="s">
        <v>1010</v>
      </c>
      <c r="B301" s="75" t="s">
        <v>1011</v>
      </c>
      <c r="C301" s="79">
        <v>142816</v>
      </c>
      <c r="D301" s="293" t="s">
        <v>578</v>
      </c>
      <c r="E301" s="89">
        <v>42</v>
      </c>
      <c r="F301" s="92" t="s">
        <v>180</v>
      </c>
      <c r="G301" s="113" t="s">
        <v>1012</v>
      </c>
    </row>
    <row r="302" spans="1:7" x14ac:dyDescent="0.2">
      <c r="A302" s="86" t="s">
        <v>1013</v>
      </c>
      <c r="B302" s="75" t="s">
        <v>1014</v>
      </c>
      <c r="C302" s="79">
        <v>140239</v>
      </c>
      <c r="D302" s="293" t="s">
        <v>578</v>
      </c>
      <c r="E302" s="89">
        <v>42</v>
      </c>
      <c r="F302" s="92" t="s">
        <v>180</v>
      </c>
      <c r="G302" s="113" t="s">
        <v>1015</v>
      </c>
    </row>
    <row r="303" spans="1:7" x14ac:dyDescent="0.2">
      <c r="A303" s="86" t="s">
        <v>1016</v>
      </c>
      <c r="B303" s="75" t="s">
        <v>1017</v>
      </c>
      <c r="C303" s="79">
        <v>140757</v>
      </c>
      <c r="D303" s="293" t="s">
        <v>578</v>
      </c>
      <c r="E303" s="89">
        <v>42</v>
      </c>
      <c r="F303" s="92" t="s">
        <v>180</v>
      </c>
      <c r="G303" s="113" t="s">
        <v>1018</v>
      </c>
    </row>
    <row r="304" spans="1:7" x14ac:dyDescent="0.2">
      <c r="A304" s="86" t="s">
        <v>1019</v>
      </c>
      <c r="B304" s="75" t="s">
        <v>1020</v>
      </c>
      <c r="C304" s="79">
        <v>149721</v>
      </c>
      <c r="D304" s="293" t="s">
        <v>578</v>
      </c>
      <c r="E304" s="89">
        <v>42</v>
      </c>
      <c r="F304" s="92" t="s">
        <v>180</v>
      </c>
      <c r="G304" s="113" t="s">
        <v>1021</v>
      </c>
    </row>
    <row r="305" spans="1:7" x14ac:dyDescent="0.2">
      <c r="A305" s="86" t="s">
        <v>1022</v>
      </c>
      <c r="B305" s="75" t="s">
        <v>1023</v>
      </c>
      <c r="C305" s="79">
        <v>174828</v>
      </c>
      <c r="D305" s="293" t="s">
        <v>1002</v>
      </c>
      <c r="E305" s="89">
        <v>51</v>
      </c>
      <c r="F305" s="92" t="s">
        <v>180</v>
      </c>
      <c r="G305" s="113" t="s">
        <v>1024</v>
      </c>
    </row>
    <row r="306" spans="1:7" x14ac:dyDescent="0.2">
      <c r="A306" s="86" t="s">
        <v>1025</v>
      </c>
      <c r="B306" s="75" t="s">
        <v>1026</v>
      </c>
      <c r="C306" s="79">
        <v>179489</v>
      </c>
      <c r="D306" s="293" t="s">
        <v>1002</v>
      </c>
      <c r="E306" s="89">
        <v>51</v>
      </c>
      <c r="F306" s="92" t="s">
        <v>180</v>
      </c>
      <c r="G306" s="113" t="s">
        <v>1027</v>
      </c>
    </row>
    <row r="307" spans="1:7" x14ac:dyDescent="0.2">
      <c r="A307" s="86" t="s">
        <v>1028</v>
      </c>
      <c r="B307" s="75" t="s">
        <v>1029</v>
      </c>
      <c r="C307" s="79">
        <v>191491</v>
      </c>
      <c r="D307" s="293" t="s">
        <v>1002</v>
      </c>
      <c r="E307" s="89">
        <v>51</v>
      </c>
      <c r="F307" s="92" t="s">
        <v>180</v>
      </c>
      <c r="G307" s="113" t="s">
        <v>1030</v>
      </c>
    </row>
    <row r="308" spans="1:7" x14ac:dyDescent="0.2">
      <c r="A308" s="86" t="s">
        <v>1031</v>
      </c>
      <c r="B308" s="75" t="s">
        <v>1032</v>
      </c>
      <c r="C308" s="79">
        <v>145879</v>
      </c>
      <c r="D308" s="293" t="s">
        <v>578</v>
      </c>
      <c r="E308" s="89">
        <v>42</v>
      </c>
      <c r="F308" s="92" t="s">
        <v>180</v>
      </c>
      <c r="G308" s="113" t="s">
        <v>1033</v>
      </c>
    </row>
    <row r="309" spans="1:7" x14ac:dyDescent="0.2">
      <c r="A309" s="86" t="s">
        <v>1034</v>
      </c>
      <c r="B309" s="75" t="s">
        <v>1035</v>
      </c>
      <c r="C309" s="79">
        <v>143302</v>
      </c>
      <c r="D309" s="293" t="s">
        <v>578</v>
      </c>
      <c r="E309" s="89">
        <v>42</v>
      </c>
      <c r="F309" s="92" t="s">
        <v>180</v>
      </c>
      <c r="G309" s="113" t="s">
        <v>1036</v>
      </c>
    </row>
    <row r="310" spans="1:7" x14ac:dyDescent="0.2">
      <c r="A310" s="86" t="s">
        <v>1037</v>
      </c>
      <c r="B310" s="75" t="s">
        <v>1038</v>
      </c>
      <c r="C310" s="79">
        <v>143819</v>
      </c>
      <c r="D310" s="293" t="s">
        <v>578</v>
      </c>
      <c r="E310" s="89">
        <v>42</v>
      </c>
      <c r="F310" s="92" t="s">
        <v>180</v>
      </c>
      <c r="G310" s="113" t="s">
        <v>1039</v>
      </c>
    </row>
    <row r="311" spans="1:7" x14ac:dyDescent="0.2">
      <c r="A311" s="86" t="s">
        <v>1040</v>
      </c>
      <c r="B311" s="75" t="s">
        <v>1041</v>
      </c>
      <c r="C311" s="79">
        <v>152809</v>
      </c>
      <c r="D311" s="293" t="s">
        <v>578</v>
      </c>
      <c r="E311" s="89">
        <v>42</v>
      </c>
      <c r="F311" s="92" t="s">
        <v>180</v>
      </c>
      <c r="G311" s="113" t="s">
        <v>1042</v>
      </c>
    </row>
    <row r="312" spans="1:7" x14ac:dyDescent="0.2">
      <c r="A312" s="86" t="s">
        <v>1043</v>
      </c>
      <c r="B312" s="75" t="s">
        <v>1044</v>
      </c>
      <c r="C312" s="79">
        <v>177915</v>
      </c>
      <c r="D312" s="293" t="s">
        <v>1002</v>
      </c>
      <c r="E312" s="89">
        <v>51</v>
      </c>
      <c r="F312" s="92" t="s">
        <v>180</v>
      </c>
      <c r="G312" s="113" t="s">
        <v>1045</v>
      </c>
    </row>
    <row r="313" spans="1:7" x14ac:dyDescent="0.2">
      <c r="A313" s="86" t="s">
        <v>1046</v>
      </c>
      <c r="B313" s="75" t="s">
        <v>1047</v>
      </c>
      <c r="C313" s="79">
        <v>182601</v>
      </c>
      <c r="D313" s="293" t="s">
        <v>1002</v>
      </c>
      <c r="E313" s="89">
        <v>51</v>
      </c>
      <c r="F313" s="92" t="s">
        <v>180</v>
      </c>
      <c r="G313" s="113" t="s">
        <v>1048</v>
      </c>
    </row>
    <row r="314" spans="1:7" x14ac:dyDescent="0.2">
      <c r="A314" s="86" t="s">
        <v>1049</v>
      </c>
      <c r="B314" s="75" t="s">
        <v>1050</v>
      </c>
      <c r="C314" s="79">
        <v>194627</v>
      </c>
      <c r="D314" s="293" t="s">
        <v>1002</v>
      </c>
      <c r="E314" s="89">
        <v>51</v>
      </c>
      <c r="F314" s="92" t="s">
        <v>180</v>
      </c>
      <c r="G314" s="113" t="s">
        <v>1051</v>
      </c>
    </row>
    <row r="315" spans="1:7" x14ac:dyDescent="0.2">
      <c r="A315" s="46" t="s">
        <v>1052</v>
      </c>
      <c r="B315" s="71" t="s">
        <v>1053</v>
      </c>
      <c r="C315" s="79">
        <v>157816</v>
      </c>
      <c r="D315" s="293" t="s">
        <v>578</v>
      </c>
      <c r="E315" s="89">
        <v>43</v>
      </c>
      <c r="F315" s="92" t="s">
        <v>180</v>
      </c>
      <c r="G315" s="113" t="s">
        <v>1054</v>
      </c>
    </row>
    <row r="316" spans="1:7" x14ac:dyDescent="0.2">
      <c r="A316" s="46" t="s">
        <v>1055</v>
      </c>
      <c r="B316" s="71" t="s">
        <v>1056</v>
      </c>
      <c r="C316" s="79">
        <v>162083</v>
      </c>
      <c r="D316" s="293" t="s">
        <v>578</v>
      </c>
      <c r="E316" s="89">
        <v>43</v>
      </c>
      <c r="F316" s="92" t="s">
        <v>180</v>
      </c>
      <c r="G316" s="113" t="s">
        <v>1057</v>
      </c>
    </row>
    <row r="317" spans="1:7" x14ac:dyDescent="0.2">
      <c r="A317" s="46" t="s">
        <v>1058</v>
      </c>
      <c r="B317" s="71" t="s">
        <v>1059</v>
      </c>
      <c r="C317" s="79">
        <v>169892</v>
      </c>
      <c r="D317" s="293" t="s">
        <v>578</v>
      </c>
      <c r="E317" s="89">
        <v>43</v>
      </c>
      <c r="F317" s="92" t="s">
        <v>180</v>
      </c>
      <c r="G317" s="113" t="s">
        <v>1060</v>
      </c>
    </row>
    <row r="318" spans="1:7" x14ac:dyDescent="0.2">
      <c r="A318" s="46" t="s">
        <v>1061</v>
      </c>
      <c r="B318" s="71" t="s">
        <v>1062</v>
      </c>
      <c r="C318" s="79">
        <v>189670</v>
      </c>
      <c r="D318" s="293" t="s">
        <v>1002</v>
      </c>
      <c r="E318" s="89">
        <v>53</v>
      </c>
      <c r="F318" s="92" t="s">
        <v>180</v>
      </c>
      <c r="G318" s="113" t="s">
        <v>1063</v>
      </c>
    </row>
    <row r="319" spans="1:7" x14ac:dyDescent="0.2">
      <c r="A319" s="46" t="s">
        <v>1064</v>
      </c>
      <c r="B319" s="71" t="s">
        <v>1065</v>
      </c>
      <c r="C319" s="79">
        <v>198884</v>
      </c>
      <c r="D319" s="293" t="s">
        <v>1002</v>
      </c>
      <c r="E319" s="89">
        <v>53</v>
      </c>
      <c r="F319" s="92" t="s">
        <v>180</v>
      </c>
      <c r="G319" s="113" t="s">
        <v>1066</v>
      </c>
    </row>
    <row r="320" spans="1:7" x14ac:dyDescent="0.2">
      <c r="A320" s="46" t="s">
        <v>1067</v>
      </c>
      <c r="B320" s="71" t="s">
        <v>1068</v>
      </c>
      <c r="C320" s="79">
        <v>207049</v>
      </c>
      <c r="D320" s="293" t="s">
        <v>1002</v>
      </c>
      <c r="E320" s="89">
        <v>54</v>
      </c>
      <c r="F320" s="92" t="s">
        <v>180</v>
      </c>
      <c r="G320" s="113" t="s">
        <v>1069</v>
      </c>
    </row>
    <row r="321" spans="1:7" x14ac:dyDescent="0.2">
      <c r="A321" s="46" t="s">
        <v>1070</v>
      </c>
      <c r="B321" s="71" t="s">
        <v>1071</v>
      </c>
      <c r="C321" s="79">
        <v>212613</v>
      </c>
      <c r="D321" s="293" t="s">
        <v>1002</v>
      </c>
      <c r="E321" s="89">
        <v>55</v>
      </c>
      <c r="F321" s="92" t="s">
        <v>180</v>
      </c>
      <c r="G321" s="113" t="s">
        <v>1072</v>
      </c>
    </row>
    <row r="322" spans="1:7" x14ac:dyDescent="0.2">
      <c r="A322" s="86" t="s">
        <v>1073</v>
      </c>
      <c r="B322" s="75" t="s">
        <v>1074</v>
      </c>
      <c r="C322" s="79">
        <v>168464</v>
      </c>
      <c r="D322" s="293" t="s">
        <v>578</v>
      </c>
      <c r="E322" s="89">
        <v>43</v>
      </c>
      <c r="F322" s="92" t="s">
        <v>180</v>
      </c>
      <c r="G322" s="113" t="s">
        <v>1075</v>
      </c>
    </row>
    <row r="323" spans="1:7" x14ac:dyDescent="0.2">
      <c r="A323" s="86" t="s">
        <v>1076</v>
      </c>
      <c r="B323" s="75" t="s">
        <v>1077</v>
      </c>
      <c r="C323" s="79">
        <v>165541</v>
      </c>
      <c r="D323" s="293" t="s">
        <v>578</v>
      </c>
      <c r="E323" s="89">
        <v>43</v>
      </c>
      <c r="F323" s="92" t="s">
        <v>180</v>
      </c>
      <c r="G323" s="113" t="s">
        <v>1078</v>
      </c>
    </row>
    <row r="324" spans="1:7" x14ac:dyDescent="0.2">
      <c r="A324" s="86" t="s">
        <v>1079</v>
      </c>
      <c r="B324" s="75" t="s">
        <v>1080</v>
      </c>
      <c r="C324" s="79">
        <v>173303</v>
      </c>
      <c r="D324" s="293" t="s">
        <v>578</v>
      </c>
      <c r="E324" s="89">
        <v>43</v>
      </c>
      <c r="F324" s="92" t="s">
        <v>180</v>
      </c>
      <c r="G324" s="113" t="s">
        <v>1081</v>
      </c>
    </row>
    <row r="325" spans="1:7" x14ac:dyDescent="0.2">
      <c r="A325" s="86" t="s">
        <v>1082</v>
      </c>
      <c r="B325" s="75" t="s">
        <v>1083</v>
      </c>
      <c r="C325" s="79">
        <v>192608</v>
      </c>
      <c r="D325" s="293" t="s">
        <v>1002</v>
      </c>
      <c r="E325" s="89">
        <v>53</v>
      </c>
      <c r="F325" s="92" t="s">
        <v>180</v>
      </c>
      <c r="G325" s="113" t="s">
        <v>1084</v>
      </c>
    </row>
    <row r="326" spans="1:7" x14ac:dyDescent="0.2">
      <c r="A326" s="86" t="s">
        <v>1085</v>
      </c>
      <c r="B326" s="75" t="s">
        <v>1086</v>
      </c>
      <c r="C326" s="79">
        <v>202039</v>
      </c>
      <c r="D326" s="293" t="s">
        <v>1002</v>
      </c>
      <c r="E326" s="89">
        <v>53</v>
      </c>
      <c r="F326" s="92" t="s">
        <v>180</v>
      </c>
      <c r="G326" s="113" t="s">
        <v>1087</v>
      </c>
    </row>
    <row r="327" spans="1:7" x14ac:dyDescent="0.2">
      <c r="A327" s="86" t="s">
        <v>1088</v>
      </c>
      <c r="B327" s="75" t="s">
        <v>1089</v>
      </c>
      <c r="C327" s="79">
        <v>209753</v>
      </c>
      <c r="D327" s="293" t="s">
        <v>1002</v>
      </c>
      <c r="E327" s="89">
        <v>54</v>
      </c>
      <c r="F327" s="92" t="s">
        <v>180</v>
      </c>
      <c r="G327" s="113" t="s">
        <v>1090</v>
      </c>
    </row>
    <row r="328" spans="1:7" x14ac:dyDescent="0.2">
      <c r="A328" s="86" t="s">
        <v>1091</v>
      </c>
      <c r="B328" s="75" t="s">
        <v>1092</v>
      </c>
      <c r="C328" s="79">
        <v>215483</v>
      </c>
      <c r="D328" s="293" t="s">
        <v>1002</v>
      </c>
      <c r="E328" s="89">
        <v>55</v>
      </c>
      <c r="F328" s="92" t="s">
        <v>180</v>
      </c>
      <c r="G328" s="113" t="s">
        <v>1093</v>
      </c>
    </row>
    <row r="329" spans="1:7" x14ac:dyDescent="0.2">
      <c r="A329" s="86" t="s">
        <v>1094</v>
      </c>
      <c r="B329" s="75" t="s">
        <v>1095</v>
      </c>
      <c r="C329" s="79">
        <v>171356</v>
      </c>
      <c r="D329" s="293" t="s">
        <v>578</v>
      </c>
      <c r="E329" s="89">
        <v>43</v>
      </c>
      <c r="F329" s="92" t="s">
        <v>180</v>
      </c>
      <c r="G329" s="113" t="s">
        <v>1096</v>
      </c>
    </row>
    <row r="330" spans="1:7" x14ac:dyDescent="0.2">
      <c r="A330" s="86" t="s">
        <v>1097</v>
      </c>
      <c r="B330" s="75" t="s">
        <v>1098</v>
      </c>
      <c r="C330" s="79">
        <v>168483</v>
      </c>
      <c r="D330" s="293" t="s">
        <v>578</v>
      </c>
      <c r="E330" s="89">
        <v>43</v>
      </c>
      <c r="F330" s="92" t="s">
        <v>180</v>
      </c>
      <c r="G330" s="113" t="s">
        <v>1099</v>
      </c>
    </row>
    <row r="331" spans="1:7" x14ac:dyDescent="0.2">
      <c r="A331" s="86" t="s">
        <v>1100</v>
      </c>
      <c r="B331" s="75" t="s">
        <v>1101</v>
      </c>
      <c r="C331" s="79">
        <v>176293</v>
      </c>
      <c r="D331" s="293" t="s">
        <v>578</v>
      </c>
      <c r="E331" s="89">
        <v>43</v>
      </c>
      <c r="F331" s="92" t="s">
        <v>180</v>
      </c>
      <c r="G331" s="113" t="s">
        <v>1102</v>
      </c>
    </row>
    <row r="332" spans="1:7" x14ac:dyDescent="0.2">
      <c r="A332" s="86" t="s">
        <v>1103</v>
      </c>
      <c r="B332" s="75" t="s">
        <v>1104</v>
      </c>
      <c r="C332" s="79">
        <v>198685</v>
      </c>
      <c r="D332" s="293" t="s">
        <v>1002</v>
      </c>
      <c r="E332" s="89">
        <v>53</v>
      </c>
      <c r="F332" s="92" t="s">
        <v>180</v>
      </c>
      <c r="G332" s="113" t="s">
        <v>1105</v>
      </c>
    </row>
    <row r="333" spans="1:7" x14ac:dyDescent="0.2">
      <c r="A333" s="86" t="s">
        <v>1106</v>
      </c>
      <c r="B333" s="75" t="s">
        <v>1107</v>
      </c>
      <c r="C333" s="79">
        <v>208116</v>
      </c>
      <c r="D333" s="293" t="s">
        <v>1002</v>
      </c>
      <c r="E333" s="89">
        <v>53</v>
      </c>
      <c r="F333" s="92" t="s">
        <v>180</v>
      </c>
      <c r="G333" s="113" t="s">
        <v>1108</v>
      </c>
    </row>
    <row r="334" spans="1:7" x14ac:dyDescent="0.2">
      <c r="A334" s="86" t="s">
        <v>1109</v>
      </c>
      <c r="B334" s="75" t="s">
        <v>1110</v>
      </c>
      <c r="C334" s="79">
        <v>215830</v>
      </c>
      <c r="D334" s="293" t="s">
        <v>1002</v>
      </c>
      <c r="E334" s="89">
        <v>54</v>
      </c>
      <c r="F334" s="92" t="s">
        <v>180</v>
      </c>
      <c r="G334" s="113" t="s">
        <v>1111</v>
      </c>
    </row>
    <row r="335" spans="1:7" x14ac:dyDescent="0.2">
      <c r="A335" s="86" t="s">
        <v>1112</v>
      </c>
      <c r="B335" s="75" t="s">
        <v>1113</v>
      </c>
      <c r="C335" s="79">
        <v>221560</v>
      </c>
      <c r="D335" s="293" t="s">
        <v>1002</v>
      </c>
      <c r="E335" s="89">
        <v>55</v>
      </c>
      <c r="F335" s="92" t="s">
        <v>180</v>
      </c>
      <c r="G335" s="113" t="s">
        <v>1114</v>
      </c>
    </row>
    <row r="336" spans="1:7" x14ac:dyDescent="0.2">
      <c r="A336" s="46" t="s">
        <v>1115</v>
      </c>
      <c r="B336" s="71" t="s">
        <v>1116</v>
      </c>
      <c r="C336" s="79">
        <v>127496</v>
      </c>
      <c r="D336" s="293" t="s">
        <v>578</v>
      </c>
      <c r="E336" s="89">
        <v>44</v>
      </c>
      <c r="F336" s="92" t="s">
        <v>180</v>
      </c>
      <c r="G336" s="113" t="s">
        <v>1117</v>
      </c>
    </row>
    <row r="337" spans="1:7" x14ac:dyDescent="0.2">
      <c r="A337" s="46" t="s">
        <v>1118</v>
      </c>
      <c r="B337" s="71" t="s">
        <v>1119</v>
      </c>
      <c r="C337" s="79">
        <v>132087</v>
      </c>
      <c r="D337" s="293" t="s">
        <v>578</v>
      </c>
      <c r="E337" s="89">
        <v>44</v>
      </c>
      <c r="F337" s="92" t="s">
        <v>180</v>
      </c>
      <c r="G337" s="113" t="s">
        <v>1120</v>
      </c>
    </row>
    <row r="338" spans="1:7" x14ac:dyDescent="0.2">
      <c r="A338" s="46" t="s">
        <v>1121</v>
      </c>
      <c r="B338" s="71" t="s">
        <v>1122</v>
      </c>
      <c r="C338" s="79">
        <v>145425</v>
      </c>
      <c r="D338" s="293" t="s">
        <v>1002</v>
      </c>
      <c r="E338" s="89">
        <v>56</v>
      </c>
      <c r="F338" s="92" t="s">
        <v>180</v>
      </c>
      <c r="G338" s="113" t="s">
        <v>1123</v>
      </c>
    </row>
    <row r="339" spans="1:7" x14ac:dyDescent="0.2">
      <c r="A339" s="46" t="s">
        <v>1124</v>
      </c>
      <c r="B339" s="71" t="s">
        <v>1125</v>
      </c>
      <c r="C339" s="79">
        <v>169257</v>
      </c>
      <c r="D339" s="293" t="s">
        <v>1002</v>
      </c>
      <c r="E339" s="89">
        <v>56</v>
      </c>
      <c r="F339" s="92" t="s">
        <v>180</v>
      </c>
      <c r="G339" s="113" t="s">
        <v>1126</v>
      </c>
    </row>
    <row r="340" spans="1:7" x14ac:dyDescent="0.2">
      <c r="A340" s="46" t="s">
        <v>1127</v>
      </c>
      <c r="B340" s="71" t="s">
        <v>1128</v>
      </c>
      <c r="C340" s="79">
        <v>181755</v>
      </c>
      <c r="D340" s="293" t="s">
        <v>1002</v>
      </c>
      <c r="E340" s="89">
        <v>56</v>
      </c>
      <c r="F340" s="92" t="s">
        <v>180</v>
      </c>
      <c r="G340" s="113" t="s">
        <v>1129</v>
      </c>
    </row>
    <row r="341" spans="1:7" x14ac:dyDescent="0.2">
      <c r="A341" s="46" t="s">
        <v>1130</v>
      </c>
      <c r="B341" s="71" t="s">
        <v>1131</v>
      </c>
      <c r="C341" s="79">
        <v>192952</v>
      </c>
      <c r="D341" s="293" t="s">
        <v>1002</v>
      </c>
      <c r="E341" s="89">
        <v>58</v>
      </c>
      <c r="F341" s="92" t="s">
        <v>180</v>
      </c>
      <c r="G341" s="113" t="s">
        <v>1132</v>
      </c>
    </row>
    <row r="342" spans="1:7" x14ac:dyDescent="0.2">
      <c r="A342" s="46" t="s">
        <v>1133</v>
      </c>
      <c r="B342" s="71" t="s">
        <v>1134</v>
      </c>
      <c r="C342" s="79">
        <v>286277</v>
      </c>
      <c r="D342" s="293" t="s">
        <v>1135</v>
      </c>
      <c r="E342" s="89">
        <v>109</v>
      </c>
      <c r="F342" s="92" t="s">
        <v>180</v>
      </c>
      <c r="G342" s="113" t="s">
        <v>1136</v>
      </c>
    </row>
    <row r="343" spans="1:7" x14ac:dyDescent="0.2">
      <c r="A343" s="46" t="s">
        <v>1137</v>
      </c>
      <c r="B343" s="71" t="s">
        <v>1138</v>
      </c>
      <c r="C343" s="79">
        <v>162512</v>
      </c>
      <c r="D343" s="293" t="s">
        <v>1002</v>
      </c>
      <c r="E343" s="89">
        <v>61</v>
      </c>
      <c r="F343" s="92" t="s">
        <v>180</v>
      </c>
      <c r="G343" s="113" t="s">
        <v>1139</v>
      </c>
    </row>
    <row r="344" spans="1:7" x14ac:dyDescent="0.2">
      <c r="A344" s="46" t="s">
        <v>1140</v>
      </c>
      <c r="B344" s="71" t="s">
        <v>1141</v>
      </c>
      <c r="C344" s="79">
        <v>166774</v>
      </c>
      <c r="D344" s="293" t="s">
        <v>1002</v>
      </c>
      <c r="E344" s="89">
        <v>61</v>
      </c>
      <c r="F344" s="92" t="s">
        <v>180</v>
      </c>
      <c r="G344" s="113" t="s">
        <v>1142</v>
      </c>
    </row>
    <row r="345" spans="1:7" x14ac:dyDescent="0.2">
      <c r="A345" s="46" t="s">
        <v>1143</v>
      </c>
      <c r="B345" s="71" t="s">
        <v>1144</v>
      </c>
      <c r="C345" s="79">
        <v>193140</v>
      </c>
      <c r="D345" s="293" t="s">
        <v>1002</v>
      </c>
      <c r="E345" s="89">
        <v>61</v>
      </c>
      <c r="F345" s="92" t="s">
        <v>180</v>
      </c>
      <c r="G345" s="113" t="s">
        <v>1145</v>
      </c>
    </row>
    <row r="346" spans="1:7" x14ac:dyDescent="0.2">
      <c r="A346" s="46" t="s">
        <v>1146</v>
      </c>
      <c r="B346" s="71" t="s">
        <v>1147</v>
      </c>
      <c r="C346" s="79">
        <v>203990</v>
      </c>
      <c r="D346" s="293" t="s">
        <v>1002</v>
      </c>
      <c r="E346" s="89">
        <v>63</v>
      </c>
      <c r="F346" s="92" t="s">
        <v>180</v>
      </c>
      <c r="G346" s="113" t="s">
        <v>1148</v>
      </c>
    </row>
    <row r="347" spans="1:7" x14ac:dyDescent="0.2">
      <c r="A347" s="46" t="s">
        <v>1149</v>
      </c>
      <c r="B347" s="71" t="s">
        <v>1150</v>
      </c>
      <c r="C347" s="79">
        <v>222651</v>
      </c>
      <c r="D347" s="293" t="s">
        <v>1002</v>
      </c>
      <c r="E347" s="89">
        <v>65</v>
      </c>
      <c r="F347" s="92" t="s">
        <v>180</v>
      </c>
      <c r="G347" s="113" t="s">
        <v>1151</v>
      </c>
    </row>
    <row r="348" spans="1:7" x14ac:dyDescent="0.2">
      <c r="A348" s="46" t="s">
        <v>1152</v>
      </c>
      <c r="B348" s="71" t="s">
        <v>1153</v>
      </c>
      <c r="C348" s="79">
        <v>313948</v>
      </c>
      <c r="D348" s="293" t="s">
        <v>1135</v>
      </c>
      <c r="E348" s="89">
        <v>113</v>
      </c>
      <c r="F348" s="92" t="s">
        <v>180</v>
      </c>
      <c r="G348" s="113" t="s">
        <v>1154</v>
      </c>
    </row>
    <row r="349" spans="1:7" x14ac:dyDescent="0.2">
      <c r="A349" s="46" t="s">
        <v>1155</v>
      </c>
      <c r="B349" s="71" t="s">
        <v>1156</v>
      </c>
      <c r="C349" s="79">
        <v>328899</v>
      </c>
      <c r="D349" s="293" t="s">
        <v>1135</v>
      </c>
      <c r="E349" s="89">
        <v>115</v>
      </c>
      <c r="F349" s="92" t="s">
        <v>180</v>
      </c>
      <c r="G349" s="113" t="s">
        <v>1157</v>
      </c>
    </row>
    <row r="350" spans="1:7" x14ac:dyDescent="0.2">
      <c r="A350" s="46" t="s">
        <v>1158</v>
      </c>
      <c r="B350" s="71" t="s">
        <v>1159</v>
      </c>
      <c r="C350" s="79">
        <v>194682</v>
      </c>
      <c r="D350" s="293" t="s">
        <v>1002</v>
      </c>
      <c r="E350" s="89">
        <v>69</v>
      </c>
      <c r="F350" s="92" t="s">
        <v>180</v>
      </c>
      <c r="G350" s="113" t="s">
        <v>1160</v>
      </c>
    </row>
    <row r="351" spans="1:7" x14ac:dyDescent="0.2">
      <c r="A351" s="46" t="s">
        <v>1161</v>
      </c>
      <c r="B351" s="71" t="s">
        <v>1162</v>
      </c>
      <c r="C351" s="79">
        <v>214810</v>
      </c>
      <c r="D351" s="293" t="s">
        <v>1163</v>
      </c>
      <c r="E351" s="89">
        <v>75</v>
      </c>
      <c r="F351" s="92" t="s">
        <v>180</v>
      </c>
      <c r="G351" s="113" t="s">
        <v>1164</v>
      </c>
    </row>
    <row r="352" spans="1:7" x14ac:dyDescent="0.2">
      <c r="A352" s="46" t="s">
        <v>1165</v>
      </c>
      <c r="B352" s="71" t="s">
        <v>1166</v>
      </c>
      <c r="C352" s="79">
        <v>226226</v>
      </c>
      <c r="D352" s="293" t="s">
        <v>1163</v>
      </c>
      <c r="E352" s="89">
        <v>79</v>
      </c>
      <c r="F352" s="92" t="s">
        <v>180</v>
      </c>
      <c r="G352" s="113" t="s">
        <v>1167</v>
      </c>
    </row>
    <row r="353" spans="1:7" x14ac:dyDescent="0.2">
      <c r="A353" s="46" t="s">
        <v>1168</v>
      </c>
      <c r="B353" s="71" t="s">
        <v>1169</v>
      </c>
      <c r="C353" s="79">
        <v>239174</v>
      </c>
      <c r="D353" s="293" t="s">
        <v>1163</v>
      </c>
      <c r="E353" s="89">
        <v>77</v>
      </c>
      <c r="F353" s="92" t="s">
        <v>180</v>
      </c>
      <c r="G353" s="113" t="s">
        <v>1170</v>
      </c>
    </row>
    <row r="354" spans="1:7" x14ac:dyDescent="0.2">
      <c r="A354" s="46" t="s">
        <v>1171</v>
      </c>
      <c r="B354" s="71" t="s">
        <v>1172</v>
      </c>
      <c r="C354" s="79">
        <v>260264</v>
      </c>
      <c r="D354" s="293" t="s">
        <v>1163</v>
      </c>
      <c r="E354" s="89">
        <v>79</v>
      </c>
      <c r="F354" s="92" t="s">
        <v>180</v>
      </c>
      <c r="G354" s="113" t="s">
        <v>1173</v>
      </c>
    </row>
    <row r="355" spans="1:7" x14ac:dyDescent="0.2">
      <c r="A355" s="46" t="s">
        <v>1174</v>
      </c>
      <c r="B355" s="71" t="s">
        <v>1175</v>
      </c>
      <c r="C355" s="79">
        <v>374231</v>
      </c>
      <c r="D355" s="293" t="s">
        <v>1176</v>
      </c>
      <c r="E355" s="89">
        <v>122</v>
      </c>
      <c r="F355" s="92" t="s">
        <v>180</v>
      </c>
      <c r="G355" s="113" t="s">
        <v>1177</v>
      </c>
    </row>
    <row r="356" spans="1:7" x14ac:dyDescent="0.2">
      <c r="A356" s="46" t="s">
        <v>1178</v>
      </c>
      <c r="B356" s="71" t="s">
        <v>1179</v>
      </c>
      <c r="C356" s="79">
        <v>395096</v>
      </c>
      <c r="D356" s="293" t="s">
        <v>1176</v>
      </c>
      <c r="E356" s="89">
        <v>123</v>
      </c>
      <c r="F356" s="92" t="s">
        <v>180</v>
      </c>
      <c r="G356" s="113" t="s">
        <v>1180</v>
      </c>
    </row>
    <row r="357" spans="1:7" ht="15" x14ac:dyDescent="0.25">
      <c r="A357" s="295"/>
      <c r="B357" s="296" t="s">
        <v>1181</v>
      </c>
      <c r="C357" s="283"/>
      <c r="D357" s="276"/>
      <c r="E357" s="275"/>
      <c r="F357" s="275"/>
      <c r="G357" s="297"/>
    </row>
    <row r="358" spans="1:7" x14ac:dyDescent="0.2">
      <c r="A358" s="46" t="s">
        <v>1182</v>
      </c>
      <c r="B358" s="47" t="s">
        <v>1183</v>
      </c>
      <c r="C358" s="79">
        <v>1415</v>
      </c>
      <c r="D358" s="90" t="s">
        <v>1184</v>
      </c>
      <c r="E358" s="91">
        <v>0.3</v>
      </c>
      <c r="F358" s="92" t="s">
        <v>180</v>
      </c>
      <c r="G358" s="93" t="s">
        <v>1185</v>
      </c>
    </row>
    <row r="359" spans="1:7" x14ac:dyDescent="0.2">
      <c r="A359" s="46" t="s">
        <v>1186</v>
      </c>
      <c r="B359" s="47" t="s">
        <v>1187</v>
      </c>
      <c r="C359" s="79">
        <v>1527</v>
      </c>
      <c r="D359" s="94" t="s">
        <v>1188</v>
      </c>
      <c r="E359" s="91">
        <v>0.42</v>
      </c>
      <c r="F359" s="92" t="s">
        <v>180</v>
      </c>
      <c r="G359" s="93" t="s">
        <v>1189</v>
      </c>
    </row>
    <row r="360" spans="1:7" x14ac:dyDescent="0.2">
      <c r="A360" s="46" t="s">
        <v>1190</v>
      </c>
      <c r="B360" s="47" t="s">
        <v>1191</v>
      </c>
      <c r="C360" s="79">
        <v>2186</v>
      </c>
      <c r="D360" s="94" t="s">
        <v>1192</v>
      </c>
      <c r="E360" s="91">
        <v>0.6</v>
      </c>
      <c r="F360" s="92" t="s">
        <v>180</v>
      </c>
      <c r="G360" s="93" t="s">
        <v>1193</v>
      </c>
    </row>
    <row r="361" spans="1:7" x14ac:dyDescent="0.2">
      <c r="A361" s="46" t="s">
        <v>1194</v>
      </c>
      <c r="B361" s="47" t="s">
        <v>1195</v>
      </c>
      <c r="C361" s="79">
        <v>1896</v>
      </c>
      <c r="D361" s="94" t="s">
        <v>1192</v>
      </c>
      <c r="E361" s="91">
        <v>0.6</v>
      </c>
      <c r="F361" s="92" t="s">
        <v>180</v>
      </c>
      <c r="G361" s="93" t="s">
        <v>1196</v>
      </c>
    </row>
    <row r="362" spans="1:7" s="45" customFormat="1" ht="15" x14ac:dyDescent="0.25">
      <c r="A362" s="275"/>
      <c r="B362" s="275" t="s">
        <v>1197</v>
      </c>
      <c r="C362" s="283"/>
      <c r="D362" s="276"/>
      <c r="E362" s="275"/>
      <c r="F362" s="275"/>
      <c r="G362" s="275"/>
    </row>
    <row r="363" spans="1:7" x14ac:dyDescent="0.2">
      <c r="A363" s="46" t="s">
        <v>1198</v>
      </c>
      <c r="B363" s="47" t="s">
        <v>1199</v>
      </c>
      <c r="C363" s="298">
        <v>10857</v>
      </c>
      <c r="D363" s="94" t="s">
        <v>1200</v>
      </c>
      <c r="E363" s="104">
        <v>0.9</v>
      </c>
      <c r="F363" s="101" t="s">
        <v>1201</v>
      </c>
      <c r="G363" s="278" t="s">
        <v>1202</v>
      </c>
    </row>
    <row r="364" spans="1:7" x14ac:dyDescent="0.2">
      <c r="A364" s="46" t="s">
        <v>1203</v>
      </c>
      <c r="B364" s="47" t="s">
        <v>1204</v>
      </c>
      <c r="C364" s="298">
        <v>11295</v>
      </c>
      <c r="D364" s="94" t="s">
        <v>1205</v>
      </c>
      <c r="E364" s="104">
        <v>1.04</v>
      </c>
      <c r="F364" s="101" t="s">
        <v>1201</v>
      </c>
      <c r="G364" s="278" t="s">
        <v>1206</v>
      </c>
    </row>
    <row r="365" spans="1:7" x14ac:dyDescent="0.2">
      <c r="A365" s="46" t="s">
        <v>1207</v>
      </c>
      <c r="B365" s="47" t="s">
        <v>1208</v>
      </c>
      <c r="C365" s="298">
        <v>11732</v>
      </c>
      <c r="D365" s="94" t="s">
        <v>1209</v>
      </c>
      <c r="E365" s="104">
        <v>1.1399999999999999</v>
      </c>
      <c r="F365" s="101" t="s">
        <v>1201</v>
      </c>
      <c r="G365" s="278" t="s">
        <v>1206</v>
      </c>
    </row>
    <row r="366" spans="1:7" x14ac:dyDescent="0.2">
      <c r="A366" s="46" t="s">
        <v>1210</v>
      </c>
      <c r="B366" s="47" t="s">
        <v>1211</v>
      </c>
      <c r="C366" s="298">
        <v>12499</v>
      </c>
      <c r="D366" s="94" t="s">
        <v>1209</v>
      </c>
      <c r="E366" s="104">
        <v>1.1399999999999999</v>
      </c>
      <c r="F366" s="101" t="s">
        <v>1201</v>
      </c>
      <c r="G366" s="278" t="s">
        <v>1206</v>
      </c>
    </row>
    <row r="367" spans="1:7" x14ac:dyDescent="0.2">
      <c r="A367" s="46" t="s">
        <v>1212</v>
      </c>
      <c r="B367" s="47" t="s">
        <v>1213</v>
      </c>
      <c r="C367" s="298">
        <v>16447</v>
      </c>
      <c r="D367" s="94" t="s">
        <v>1214</v>
      </c>
      <c r="E367" s="104">
        <v>1.74</v>
      </c>
      <c r="F367" s="101" t="s">
        <v>1201</v>
      </c>
      <c r="G367" s="278" t="s">
        <v>1206</v>
      </c>
    </row>
    <row r="368" spans="1:7" x14ac:dyDescent="0.2">
      <c r="A368" s="46" t="s">
        <v>1215</v>
      </c>
      <c r="B368" s="47" t="s">
        <v>1216</v>
      </c>
      <c r="C368" s="298">
        <v>17980</v>
      </c>
      <c r="D368" s="94" t="s">
        <v>1214</v>
      </c>
      <c r="E368" s="104">
        <v>1.79</v>
      </c>
      <c r="F368" s="101" t="s">
        <v>1201</v>
      </c>
      <c r="G368" s="278" t="s">
        <v>1206</v>
      </c>
    </row>
    <row r="369" spans="1:7" x14ac:dyDescent="0.2">
      <c r="A369" s="97" t="s">
        <v>1217</v>
      </c>
      <c r="B369" s="47" t="s">
        <v>1218</v>
      </c>
      <c r="C369" s="298">
        <v>17843</v>
      </c>
      <c r="D369" s="94" t="s">
        <v>1219</v>
      </c>
      <c r="E369" s="91">
        <v>1.94</v>
      </c>
      <c r="F369" s="101" t="s">
        <v>1201</v>
      </c>
      <c r="G369" s="278" t="s">
        <v>1220</v>
      </c>
    </row>
    <row r="370" spans="1:7" x14ac:dyDescent="0.2">
      <c r="A370" s="46" t="s">
        <v>1221</v>
      </c>
      <c r="B370" s="47" t="s">
        <v>1222</v>
      </c>
      <c r="C370" s="298">
        <v>20061</v>
      </c>
      <c r="D370" s="94" t="s">
        <v>1219</v>
      </c>
      <c r="E370" s="104">
        <v>1.94</v>
      </c>
      <c r="F370" s="101" t="s">
        <v>1201</v>
      </c>
      <c r="G370" s="278" t="s">
        <v>1223</v>
      </c>
    </row>
    <row r="371" spans="1:7" x14ac:dyDescent="0.2">
      <c r="A371" s="46" t="s">
        <v>1224</v>
      </c>
      <c r="B371" s="47" t="s">
        <v>1225</v>
      </c>
      <c r="C371" s="298">
        <v>21728</v>
      </c>
      <c r="D371" s="94" t="s">
        <v>1219</v>
      </c>
      <c r="E371" s="91">
        <v>1.95</v>
      </c>
      <c r="F371" s="101" t="s">
        <v>1201</v>
      </c>
      <c r="G371" s="278" t="s">
        <v>1223</v>
      </c>
    </row>
    <row r="372" spans="1:7" x14ac:dyDescent="0.2">
      <c r="A372" s="46" t="s">
        <v>1226</v>
      </c>
      <c r="B372" s="47" t="s">
        <v>1227</v>
      </c>
      <c r="C372" s="298">
        <v>24795</v>
      </c>
      <c r="D372" s="94" t="s">
        <v>1228</v>
      </c>
      <c r="E372" s="104">
        <v>3.04</v>
      </c>
      <c r="F372" s="101" t="s">
        <v>1201</v>
      </c>
      <c r="G372" s="278" t="s">
        <v>1223</v>
      </c>
    </row>
    <row r="373" spans="1:7" x14ac:dyDescent="0.2">
      <c r="A373" s="46" t="s">
        <v>1229</v>
      </c>
      <c r="B373" s="47" t="s">
        <v>1230</v>
      </c>
      <c r="C373" s="298">
        <v>27361</v>
      </c>
      <c r="D373" s="94" t="s">
        <v>1228</v>
      </c>
      <c r="E373" s="104">
        <v>3.06</v>
      </c>
      <c r="F373" s="101" t="s">
        <v>1201</v>
      </c>
      <c r="G373" s="278" t="s">
        <v>1223</v>
      </c>
    </row>
    <row r="374" spans="1:7" x14ac:dyDescent="0.2">
      <c r="A374" s="46" t="s">
        <v>1231</v>
      </c>
      <c r="B374" s="47" t="s">
        <v>1232</v>
      </c>
      <c r="C374" s="298">
        <v>33659</v>
      </c>
      <c r="D374" s="94" t="s">
        <v>1228</v>
      </c>
      <c r="E374" s="104">
        <v>3.04</v>
      </c>
      <c r="F374" s="101" t="s">
        <v>1201</v>
      </c>
      <c r="G374" s="278" t="s">
        <v>1223</v>
      </c>
    </row>
    <row r="375" spans="1:7" x14ac:dyDescent="0.2">
      <c r="A375" s="46" t="s">
        <v>1233</v>
      </c>
      <c r="B375" s="47" t="s">
        <v>1234</v>
      </c>
      <c r="C375" s="298">
        <v>38955</v>
      </c>
      <c r="D375" s="103" t="s">
        <v>1235</v>
      </c>
      <c r="E375" s="104">
        <v>6.16</v>
      </c>
      <c r="F375" s="101" t="s">
        <v>1201</v>
      </c>
      <c r="G375" s="278" t="s">
        <v>1223</v>
      </c>
    </row>
    <row r="376" spans="1:7" x14ac:dyDescent="0.2">
      <c r="A376" s="46" t="s">
        <v>1236</v>
      </c>
      <c r="B376" s="47" t="s">
        <v>1237</v>
      </c>
      <c r="C376" s="298">
        <v>50919</v>
      </c>
      <c r="D376" s="103" t="s">
        <v>1235</v>
      </c>
      <c r="E376" s="104">
        <v>6.12</v>
      </c>
      <c r="F376" s="101" t="s">
        <v>1201</v>
      </c>
      <c r="G376" s="278" t="s">
        <v>1223</v>
      </c>
    </row>
    <row r="377" spans="1:7" x14ac:dyDescent="0.2">
      <c r="A377" s="46" t="s">
        <v>1238</v>
      </c>
      <c r="B377" s="47" t="s">
        <v>1239</v>
      </c>
      <c r="C377" s="298">
        <v>66875</v>
      </c>
      <c r="D377" s="103" t="s">
        <v>1240</v>
      </c>
      <c r="E377" s="104">
        <v>11.54</v>
      </c>
      <c r="F377" s="101" t="s">
        <v>1201</v>
      </c>
      <c r="G377" s="278" t="s">
        <v>1223</v>
      </c>
    </row>
    <row r="378" spans="1:7" x14ac:dyDescent="0.2">
      <c r="A378" s="46" t="s">
        <v>1241</v>
      </c>
      <c r="B378" s="47" t="s">
        <v>1242</v>
      </c>
      <c r="C378" s="298">
        <v>82789</v>
      </c>
      <c r="D378" s="103" t="s">
        <v>1240</v>
      </c>
      <c r="E378" s="104">
        <v>11.59</v>
      </c>
      <c r="F378" s="101" t="s">
        <v>1201</v>
      </c>
      <c r="G378" s="278" t="s">
        <v>1223</v>
      </c>
    </row>
    <row r="379" spans="1:7" x14ac:dyDescent="0.2">
      <c r="A379" s="46" t="s">
        <v>1243</v>
      </c>
      <c r="B379" s="47" t="s">
        <v>1244</v>
      </c>
      <c r="C379" s="298">
        <v>113152</v>
      </c>
      <c r="D379" s="103" t="s">
        <v>1240</v>
      </c>
      <c r="E379" s="104">
        <v>11.65</v>
      </c>
      <c r="F379" s="101" t="s">
        <v>1201</v>
      </c>
      <c r="G379" s="278" t="s">
        <v>1245</v>
      </c>
    </row>
    <row r="380" spans="1:7" x14ac:dyDescent="0.2">
      <c r="A380" s="46" t="s">
        <v>1246</v>
      </c>
      <c r="B380" s="47" t="s">
        <v>1247</v>
      </c>
      <c r="C380" s="298">
        <v>144979</v>
      </c>
      <c r="D380" s="103" t="s">
        <v>1248</v>
      </c>
      <c r="E380" s="104">
        <v>23.8</v>
      </c>
      <c r="F380" s="101" t="s">
        <v>1201</v>
      </c>
      <c r="G380" s="278" t="s">
        <v>1223</v>
      </c>
    </row>
    <row r="381" spans="1:7" x14ac:dyDescent="0.2">
      <c r="A381" s="46" t="s">
        <v>1249</v>
      </c>
      <c r="B381" s="47" t="s">
        <v>1250</v>
      </c>
      <c r="C381" s="298">
        <v>185645</v>
      </c>
      <c r="D381" s="103" t="s">
        <v>1251</v>
      </c>
      <c r="E381" s="104">
        <v>31</v>
      </c>
      <c r="F381" s="101" t="s">
        <v>1201</v>
      </c>
      <c r="G381" s="278" t="s">
        <v>1223</v>
      </c>
    </row>
    <row r="382" spans="1:7" x14ac:dyDescent="0.2">
      <c r="A382" s="46" t="s">
        <v>1252</v>
      </c>
      <c r="B382" s="47" t="s">
        <v>1253</v>
      </c>
      <c r="C382" s="298">
        <v>224739</v>
      </c>
      <c r="D382" s="103" t="s">
        <v>1251</v>
      </c>
      <c r="E382" s="104">
        <v>40</v>
      </c>
      <c r="F382" s="101" t="s">
        <v>1201</v>
      </c>
      <c r="G382" s="278" t="s">
        <v>1223</v>
      </c>
    </row>
    <row r="383" spans="1:7" x14ac:dyDescent="0.2">
      <c r="A383" s="46" t="s">
        <v>1254</v>
      </c>
      <c r="B383" s="47" t="s">
        <v>1255</v>
      </c>
      <c r="C383" s="298">
        <v>269164</v>
      </c>
      <c r="D383" s="103" t="s">
        <v>1256</v>
      </c>
      <c r="E383" s="104">
        <v>40</v>
      </c>
      <c r="F383" s="101" t="s">
        <v>1201</v>
      </c>
      <c r="G383" s="278" t="s">
        <v>1223</v>
      </c>
    </row>
    <row r="384" spans="1:7" x14ac:dyDescent="0.2">
      <c r="A384" s="46" t="s">
        <v>1257</v>
      </c>
      <c r="B384" s="47" t="s">
        <v>1258</v>
      </c>
      <c r="C384" s="298">
        <v>315942</v>
      </c>
      <c r="D384" s="103" t="s">
        <v>1256</v>
      </c>
      <c r="E384" s="104">
        <v>48</v>
      </c>
      <c r="F384" s="101" t="s">
        <v>1201</v>
      </c>
      <c r="G384" s="278" t="s">
        <v>1223</v>
      </c>
    </row>
    <row r="385" spans="1:7" x14ac:dyDescent="0.25">
      <c r="A385" s="117"/>
      <c r="B385" s="282"/>
      <c r="C385" s="299"/>
      <c r="D385" s="103"/>
      <c r="E385" s="104"/>
      <c r="F385" s="101"/>
      <c r="G385" s="278"/>
    </row>
    <row r="386" spans="1:7" x14ac:dyDescent="0.2">
      <c r="A386" s="46" t="s">
        <v>1259</v>
      </c>
      <c r="B386" s="47" t="s">
        <v>1260</v>
      </c>
      <c r="C386" s="298">
        <v>8063</v>
      </c>
      <c r="D386" s="103" t="s">
        <v>1261</v>
      </c>
      <c r="E386" s="104">
        <v>1.1000000000000001</v>
      </c>
      <c r="F386" s="101" t="s">
        <v>1262</v>
      </c>
      <c r="G386" s="278" t="s">
        <v>1263</v>
      </c>
    </row>
    <row r="387" spans="1:7" x14ac:dyDescent="0.2">
      <c r="A387" s="46" t="s">
        <v>1264</v>
      </c>
      <c r="B387" s="47" t="s">
        <v>1265</v>
      </c>
      <c r="C387" s="298">
        <v>8417</v>
      </c>
      <c r="D387" s="103" t="s">
        <v>1261</v>
      </c>
      <c r="E387" s="104">
        <v>1.1000000000000001</v>
      </c>
      <c r="F387" s="101" t="s">
        <v>1262</v>
      </c>
      <c r="G387" s="278" t="s">
        <v>1263</v>
      </c>
    </row>
    <row r="388" spans="1:7" x14ac:dyDescent="0.2">
      <c r="A388" s="46" t="s">
        <v>1266</v>
      </c>
      <c r="B388" s="47" t="s">
        <v>1267</v>
      </c>
      <c r="C388" s="298">
        <v>9846</v>
      </c>
      <c r="D388" s="103" t="s">
        <v>1261</v>
      </c>
      <c r="E388" s="104">
        <v>1.1000000000000001</v>
      </c>
      <c r="F388" s="101" t="s">
        <v>1262</v>
      </c>
      <c r="G388" s="278" t="s">
        <v>1263</v>
      </c>
    </row>
    <row r="389" spans="1:7" x14ac:dyDescent="0.2">
      <c r="A389" s="46" t="s">
        <v>1268</v>
      </c>
      <c r="B389" s="47" t="s">
        <v>1269</v>
      </c>
      <c r="C389" s="298">
        <v>12002</v>
      </c>
      <c r="D389" s="103" t="s">
        <v>1270</v>
      </c>
      <c r="E389" s="104">
        <v>1.6</v>
      </c>
      <c r="F389" s="101" t="s">
        <v>1262</v>
      </c>
      <c r="G389" s="278" t="s">
        <v>1263</v>
      </c>
    </row>
    <row r="390" spans="1:7" x14ac:dyDescent="0.2">
      <c r="A390" s="46" t="s">
        <v>1271</v>
      </c>
      <c r="B390" s="47" t="s">
        <v>1272</v>
      </c>
      <c r="C390" s="298">
        <v>16114</v>
      </c>
      <c r="D390" s="103" t="s">
        <v>1273</v>
      </c>
      <c r="E390" s="104">
        <v>3</v>
      </c>
      <c r="F390" s="101" t="s">
        <v>1262</v>
      </c>
      <c r="G390" s="278" t="s">
        <v>1263</v>
      </c>
    </row>
    <row r="391" spans="1:7" x14ac:dyDescent="0.2">
      <c r="A391" s="46" t="s">
        <v>1274</v>
      </c>
      <c r="B391" s="47" t="s">
        <v>1275</v>
      </c>
      <c r="C391" s="298">
        <v>12962</v>
      </c>
      <c r="D391" s="103" t="s">
        <v>1261</v>
      </c>
      <c r="E391" s="104">
        <v>1.1000000000000001</v>
      </c>
      <c r="F391" s="101" t="s">
        <v>1262</v>
      </c>
      <c r="G391" s="278" t="s">
        <v>1276</v>
      </c>
    </row>
    <row r="392" spans="1:7" x14ac:dyDescent="0.2">
      <c r="A392" s="46" t="s">
        <v>1277</v>
      </c>
      <c r="B392" s="47" t="s">
        <v>1278</v>
      </c>
      <c r="C392" s="298">
        <v>14448</v>
      </c>
      <c r="D392" s="103" t="s">
        <v>1261</v>
      </c>
      <c r="E392" s="104">
        <v>1.1000000000000001</v>
      </c>
      <c r="F392" s="101" t="s">
        <v>1262</v>
      </c>
      <c r="G392" s="278" t="s">
        <v>1276</v>
      </c>
    </row>
    <row r="393" spans="1:7" x14ac:dyDescent="0.2">
      <c r="A393" s="46" t="s">
        <v>1279</v>
      </c>
      <c r="B393" s="47" t="s">
        <v>1280</v>
      </c>
      <c r="C393" s="298">
        <v>17119</v>
      </c>
      <c r="D393" s="103" t="s">
        <v>1270</v>
      </c>
      <c r="E393" s="104">
        <v>1.6</v>
      </c>
      <c r="F393" s="101" t="s">
        <v>1262</v>
      </c>
      <c r="G393" s="278" t="s">
        <v>1276</v>
      </c>
    </row>
    <row r="394" spans="1:7" x14ac:dyDescent="0.2">
      <c r="A394" s="46" t="s">
        <v>1281</v>
      </c>
      <c r="B394" s="47" t="s">
        <v>1282</v>
      </c>
      <c r="C394" s="298">
        <v>16965</v>
      </c>
      <c r="D394" s="103" t="s">
        <v>1270</v>
      </c>
      <c r="E394" s="104">
        <v>1.6</v>
      </c>
      <c r="F394" s="101" t="s">
        <v>1262</v>
      </c>
      <c r="G394" s="278" t="s">
        <v>1276</v>
      </c>
    </row>
    <row r="395" spans="1:7" x14ac:dyDescent="0.2">
      <c r="A395" s="46" t="s">
        <v>1283</v>
      </c>
      <c r="B395" s="47" t="s">
        <v>1284</v>
      </c>
      <c r="C395" s="298">
        <v>19278</v>
      </c>
      <c r="D395" s="103" t="s">
        <v>1273</v>
      </c>
      <c r="E395" s="104">
        <v>3</v>
      </c>
      <c r="F395" s="101" t="s">
        <v>1262</v>
      </c>
      <c r="G395" s="278" t="s">
        <v>1276</v>
      </c>
    </row>
    <row r="396" spans="1:7" x14ac:dyDescent="0.2">
      <c r="A396" s="46" t="s">
        <v>1285</v>
      </c>
      <c r="B396" s="47" t="s">
        <v>1286</v>
      </c>
      <c r="C396" s="298">
        <v>22518</v>
      </c>
      <c r="D396" s="103" t="s">
        <v>1273</v>
      </c>
      <c r="E396" s="104">
        <v>3</v>
      </c>
      <c r="F396" s="101" t="s">
        <v>1262</v>
      </c>
      <c r="G396" s="278" t="s">
        <v>1276</v>
      </c>
    </row>
    <row r="397" spans="1:7" x14ac:dyDescent="0.2">
      <c r="A397" s="46" t="s">
        <v>1287</v>
      </c>
      <c r="B397" s="47" t="s">
        <v>1288</v>
      </c>
      <c r="C397" s="298">
        <v>28509</v>
      </c>
      <c r="D397" s="103" t="s">
        <v>1273</v>
      </c>
      <c r="E397" s="104">
        <v>3</v>
      </c>
      <c r="F397" s="101" t="s">
        <v>1262</v>
      </c>
      <c r="G397" s="278" t="s">
        <v>1276</v>
      </c>
    </row>
    <row r="398" spans="1:7" x14ac:dyDescent="0.2">
      <c r="A398" s="46" t="s">
        <v>1289</v>
      </c>
      <c r="B398" s="47" t="s">
        <v>1290</v>
      </c>
      <c r="C398" s="298">
        <v>34238</v>
      </c>
      <c r="D398" s="103" t="s">
        <v>1273</v>
      </c>
      <c r="E398" s="104">
        <v>3</v>
      </c>
      <c r="F398" s="101" t="s">
        <v>1262</v>
      </c>
      <c r="G398" s="278" t="s">
        <v>1276</v>
      </c>
    </row>
    <row r="399" spans="1:7" x14ac:dyDescent="0.2">
      <c r="A399" s="46" t="s">
        <v>1291</v>
      </c>
      <c r="B399" s="47" t="s">
        <v>1292</v>
      </c>
      <c r="C399" s="298">
        <v>47419</v>
      </c>
      <c r="D399" s="103" t="s">
        <v>1293</v>
      </c>
      <c r="E399" s="104">
        <v>6</v>
      </c>
      <c r="F399" s="101" t="s">
        <v>1262</v>
      </c>
      <c r="G399" s="278" t="s">
        <v>1276</v>
      </c>
    </row>
    <row r="400" spans="1:7" x14ac:dyDescent="0.2">
      <c r="A400" s="46" t="s">
        <v>1294</v>
      </c>
      <c r="B400" s="47" t="s">
        <v>2535</v>
      </c>
      <c r="C400" s="298">
        <v>57179</v>
      </c>
      <c r="D400" s="103" t="s">
        <v>1293</v>
      </c>
      <c r="E400" s="104">
        <v>6</v>
      </c>
      <c r="F400" s="101" t="s">
        <v>1262</v>
      </c>
      <c r="G400" s="278" t="s">
        <v>1276</v>
      </c>
    </row>
    <row r="401" spans="1:7" x14ac:dyDescent="0.2">
      <c r="A401" s="46" t="s">
        <v>1296</v>
      </c>
      <c r="B401" s="47" t="s">
        <v>2536</v>
      </c>
      <c r="C401" s="298">
        <v>66349</v>
      </c>
      <c r="D401" s="103" t="s">
        <v>1298</v>
      </c>
      <c r="E401" s="104">
        <v>9.5</v>
      </c>
      <c r="F401" s="101" t="s">
        <v>1262</v>
      </c>
      <c r="G401" s="278" t="s">
        <v>1276</v>
      </c>
    </row>
    <row r="402" spans="1:7" x14ac:dyDescent="0.2">
      <c r="A402" s="46" t="s">
        <v>1299</v>
      </c>
      <c r="B402" s="47" t="s">
        <v>2537</v>
      </c>
      <c r="C402" s="298">
        <v>92281</v>
      </c>
      <c r="D402" s="103" t="s">
        <v>1298</v>
      </c>
      <c r="E402" s="104">
        <v>9.5</v>
      </c>
      <c r="F402" s="101" t="s">
        <v>1262</v>
      </c>
      <c r="G402" s="278" t="s">
        <v>1276</v>
      </c>
    </row>
    <row r="403" spans="1:7" x14ac:dyDescent="0.2">
      <c r="A403" s="46" t="s">
        <v>1301</v>
      </c>
      <c r="B403" s="47" t="s">
        <v>1302</v>
      </c>
      <c r="C403" s="298">
        <v>1305</v>
      </c>
      <c r="D403" s="103" t="s">
        <v>1303</v>
      </c>
      <c r="E403" s="104">
        <v>0.2</v>
      </c>
      <c r="F403" s="101" t="s">
        <v>1262</v>
      </c>
      <c r="G403" s="278"/>
    </row>
    <row r="404" spans="1:7" x14ac:dyDescent="0.2">
      <c r="A404" s="46" t="s">
        <v>1304</v>
      </c>
      <c r="B404" s="47" t="s">
        <v>1305</v>
      </c>
      <c r="C404" s="298">
        <v>1807</v>
      </c>
      <c r="D404" s="103" t="s">
        <v>1303</v>
      </c>
      <c r="E404" s="104">
        <v>0.3</v>
      </c>
      <c r="F404" s="101" t="s">
        <v>1262</v>
      </c>
      <c r="G404" s="278"/>
    </row>
    <row r="405" spans="1:7" x14ac:dyDescent="0.25">
      <c r="A405" s="117"/>
      <c r="B405" s="282"/>
      <c r="C405" s="299"/>
      <c r="D405" s="103"/>
      <c r="E405" s="104"/>
      <c r="F405" s="101"/>
      <c r="G405" s="278"/>
    </row>
    <row r="406" spans="1:7" x14ac:dyDescent="0.2">
      <c r="A406" s="46" t="s">
        <v>1306</v>
      </c>
      <c r="B406" s="300" t="s">
        <v>1307</v>
      </c>
      <c r="C406" s="301">
        <v>10829</v>
      </c>
      <c r="D406" s="94" t="s">
        <v>1308</v>
      </c>
      <c r="E406" s="104">
        <v>0.7</v>
      </c>
      <c r="F406" s="101" t="s">
        <v>1201</v>
      </c>
      <c r="G406" s="278" t="s">
        <v>1220</v>
      </c>
    </row>
    <row r="407" spans="1:7" x14ac:dyDescent="0.2">
      <c r="A407" s="82" t="s">
        <v>1309</v>
      </c>
      <c r="B407" s="300" t="s">
        <v>1310</v>
      </c>
      <c r="C407" s="301">
        <v>12145</v>
      </c>
      <c r="D407" s="94" t="s">
        <v>1308</v>
      </c>
      <c r="E407" s="104">
        <v>1</v>
      </c>
      <c r="F407" s="101" t="s">
        <v>1201</v>
      </c>
      <c r="G407" s="278" t="s">
        <v>1220</v>
      </c>
    </row>
    <row r="408" spans="1:7" x14ac:dyDescent="0.2">
      <c r="A408" s="82" t="s">
        <v>1311</v>
      </c>
      <c r="B408" s="300" t="s">
        <v>1312</v>
      </c>
      <c r="C408" s="302">
        <v>15259</v>
      </c>
      <c r="D408" s="103" t="s">
        <v>1313</v>
      </c>
      <c r="E408" s="104">
        <v>1.4</v>
      </c>
      <c r="F408" s="101" t="s">
        <v>1201</v>
      </c>
      <c r="G408" s="278" t="s">
        <v>1220</v>
      </c>
    </row>
    <row r="409" spans="1:7" x14ac:dyDescent="0.2">
      <c r="A409" s="82" t="s">
        <v>1314</v>
      </c>
      <c r="B409" s="300" t="s">
        <v>1315</v>
      </c>
      <c r="C409" s="302">
        <v>16307</v>
      </c>
      <c r="D409" s="103" t="s">
        <v>1313</v>
      </c>
      <c r="E409" s="104">
        <v>1.4</v>
      </c>
      <c r="F409" s="101" t="s">
        <v>1201</v>
      </c>
      <c r="G409" s="278" t="s">
        <v>1220</v>
      </c>
    </row>
    <row r="410" spans="1:7" x14ac:dyDescent="0.2">
      <c r="A410" s="82" t="s">
        <v>1316</v>
      </c>
      <c r="B410" s="300" t="s">
        <v>1317</v>
      </c>
      <c r="C410" s="302">
        <v>18629</v>
      </c>
      <c r="D410" s="103" t="s">
        <v>1318</v>
      </c>
      <c r="E410" s="104">
        <v>2.2000000000000002</v>
      </c>
      <c r="F410" s="101" t="s">
        <v>1201</v>
      </c>
      <c r="G410" s="278" t="s">
        <v>1220</v>
      </c>
    </row>
    <row r="411" spans="1:7" x14ac:dyDescent="0.2">
      <c r="A411" s="82" t="s">
        <v>1319</v>
      </c>
      <c r="B411" s="300" t="s">
        <v>1320</v>
      </c>
      <c r="C411" s="302">
        <v>20865</v>
      </c>
      <c r="D411" s="103" t="s">
        <v>1318</v>
      </c>
      <c r="E411" s="104">
        <v>2.2000000000000002</v>
      </c>
      <c r="F411" s="101" t="s">
        <v>1201</v>
      </c>
      <c r="G411" s="278" t="s">
        <v>1220</v>
      </c>
    </row>
    <row r="412" spans="1:7" x14ac:dyDescent="0.2">
      <c r="A412" s="82" t="s">
        <v>1321</v>
      </c>
      <c r="B412" s="300" t="s">
        <v>1322</v>
      </c>
      <c r="C412" s="302">
        <v>25541</v>
      </c>
      <c r="D412" s="103" t="s">
        <v>1318</v>
      </c>
      <c r="E412" s="104">
        <v>2.2999999999999998</v>
      </c>
      <c r="F412" s="101" t="s">
        <v>1201</v>
      </c>
      <c r="G412" s="278" t="s">
        <v>1220</v>
      </c>
    </row>
    <row r="413" spans="1:7" x14ac:dyDescent="0.2">
      <c r="A413" s="82" t="s">
        <v>1323</v>
      </c>
      <c r="B413" s="300" t="s">
        <v>1324</v>
      </c>
      <c r="C413" s="302">
        <v>29853</v>
      </c>
      <c r="D413" s="103" t="s">
        <v>1325</v>
      </c>
      <c r="E413" s="104">
        <v>4.0999999999999996</v>
      </c>
      <c r="F413" s="101" t="s">
        <v>1201</v>
      </c>
      <c r="G413" s="278" t="s">
        <v>1220</v>
      </c>
    </row>
    <row r="414" spans="1:7" x14ac:dyDescent="0.2">
      <c r="A414" s="82" t="s">
        <v>1326</v>
      </c>
      <c r="B414" s="300" t="s">
        <v>1327</v>
      </c>
      <c r="C414" s="302">
        <v>38349</v>
      </c>
      <c r="D414" s="103" t="s">
        <v>1325</v>
      </c>
      <c r="E414" s="104">
        <v>4.2</v>
      </c>
      <c r="F414" s="101" t="s">
        <v>1201</v>
      </c>
      <c r="G414" s="278" t="s">
        <v>1220</v>
      </c>
    </row>
    <row r="415" spans="1:7" s="45" customFormat="1" ht="15" x14ac:dyDescent="0.25">
      <c r="A415" s="275"/>
      <c r="B415" s="275" t="s">
        <v>1328</v>
      </c>
      <c r="C415" s="283"/>
      <c r="D415" s="276"/>
      <c r="E415" s="275"/>
      <c r="F415" s="275"/>
      <c r="G415" s="275"/>
    </row>
    <row r="416" spans="1:7" x14ac:dyDescent="0.2">
      <c r="A416" s="46" t="s">
        <v>1329</v>
      </c>
      <c r="B416" s="47" t="s">
        <v>1330</v>
      </c>
      <c r="C416" s="298">
        <v>2203</v>
      </c>
      <c r="D416" s="94" t="s">
        <v>1331</v>
      </c>
      <c r="E416" s="91">
        <v>0.3</v>
      </c>
      <c r="F416" s="101" t="s">
        <v>1201</v>
      </c>
      <c r="G416" s="278" t="s">
        <v>1332</v>
      </c>
    </row>
    <row r="417" spans="1:7" x14ac:dyDescent="0.2">
      <c r="A417" s="46" t="s">
        <v>1333</v>
      </c>
      <c r="B417" s="47" t="s">
        <v>1334</v>
      </c>
      <c r="C417" s="298">
        <v>2216</v>
      </c>
      <c r="D417" s="94" t="s">
        <v>1331</v>
      </c>
      <c r="E417" s="91">
        <v>0.3</v>
      </c>
      <c r="F417" s="101" t="s">
        <v>1201</v>
      </c>
      <c r="G417" s="278" t="s">
        <v>1335</v>
      </c>
    </row>
    <row r="418" spans="1:7" x14ac:dyDescent="0.2">
      <c r="A418" s="46" t="s">
        <v>1336</v>
      </c>
      <c r="B418" s="47" t="s">
        <v>1337</v>
      </c>
      <c r="C418" s="298">
        <v>2228</v>
      </c>
      <c r="D418" s="94" t="s">
        <v>1331</v>
      </c>
      <c r="E418" s="91">
        <v>0.3</v>
      </c>
      <c r="F418" s="101" t="s">
        <v>1201</v>
      </c>
      <c r="G418" s="278" t="s">
        <v>1338</v>
      </c>
    </row>
    <row r="419" spans="1:7" x14ac:dyDescent="0.2">
      <c r="A419" s="46" t="s">
        <v>1339</v>
      </c>
      <c r="B419" s="47" t="s">
        <v>1340</v>
      </c>
      <c r="C419" s="298">
        <v>2231</v>
      </c>
      <c r="D419" s="94" t="s">
        <v>1331</v>
      </c>
      <c r="E419" s="91">
        <v>0.3</v>
      </c>
      <c r="F419" s="101" t="s">
        <v>1201</v>
      </c>
      <c r="G419" s="278" t="s">
        <v>1341</v>
      </c>
    </row>
    <row r="420" spans="1:7" x14ac:dyDescent="0.2">
      <c r="A420" s="46" t="s">
        <v>1342</v>
      </c>
      <c r="B420" s="47" t="s">
        <v>1343</v>
      </c>
      <c r="C420" s="298">
        <v>2241</v>
      </c>
      <c r="D420" s="94" t="s">
        <v>1331</v>
      </c>
      <c r="E420" s="91">
        <v>0.3</v>
      </c>
      <c r="F420" s="101" t="s">
        <v>1201</v>
      </c>
      <c r="G420" s="278" t="s">
        <v>1344</v>
      </c>
    </row>
    <row r="421" spans="1:7" x14ac:dyDescent="0.2">
      <c r="A421" s="46" t="s">
        <v>1345</v>
      </c>
      <c r="B421" s="47" t="s">
        <v>1346</v>
      </c>
      <c r="C421" s="298">
        <v>2254</v>
      </c>
      <c r="D421" s="94" t="s">
        <v>1331</v>
      </c>
      <c r="E421" s="91">
        <v>0.3</v>
      </c>
      <c r="F421" s="101" t="s">
        <v>1201</v>
      </c>
      <c r="G421" s="278" t="s">
        <v>1347</v>
      </c>
    </row>
    <row r="422" spans="1:7" x14ac:dyDescent="0.2">
      <c r="A422" s="46" t="s">
        <v>1348</v>
      </c>
      <c r="B422" s="47" t="s">
        <v>1349</v>
      </c>
      <c r="C422" s="298">
        <v>2267</v>
      </c>
      <c r="D422" s="94" t="s">
        <v>1331</v>
      </c>
      <c r="E422" s="91">
        <v>0.3</v>
      </c>
      <c r="F422" s="101" t="s">
        <v>1201</v>
      </c>
      <c r="G422" s="278" t="s">
        <v>1350</v>
      </c>
    </row>
    <row r="423" spans="1:7" x14ac:dyDescent="0.2">
      <c r="A423" s="46" t="s">
        <v>1351</v>
      </c>
      <c r="B423" s="47" t="s">
        <v>1352</v>
      </c>
      <c r="C423" s="298">
        <v>2273</v>
      </c>
      <c r="D423" s="94" t="s">
        <v>1331</v>
      </c>
      <c r="E423" s="91">
        <v>0.3</v>
      </c>
      <c r="F423" s="101" t="s">
        <v>1201</v>
      </c>
      <c r="G423" s="278" t="s">
        <v>1353</v>
      </c>
    </row>
    <row r="424" spans="1:7" x14ac:dyDescent="0.2">
      <c r="A424" s="46" t="s">
        <v>1354</v>
      </c>
      <c r="B424" s="47" t="s">
        <v>1355</v>
      </c>
      <c r="C424" s="298">
        <v>2342</v>
      </c>
      <c r="D424" s="94" t="s">
        <v>1331</v>
      </c>
      <c r="E424" s="91">
        <v>0.3</v>
      </c>
      <c r="F424" s="101" t="s">
        <v>1201</v>
      </c>
      <c r="G424" s="278" t="s">
        <v>1356</v>
      </c>
    </row>
    <row r="425" spans="1:7" x14ac:dyDescent="0.2">
      <c r="A425" s="46" t="s">
        <v>1357</v>
      </c>
      <c r="B425" s="47" t="s">
        <v>1358</v>
      </c>
      <c r="C425" s="298">
        <v>2346</v>
      </c>
      <c r="D425" s="94" t="s">
        <v>1331</v>
      </c>
      <c r="E425" s="91">
        <v>0.3</v>
      </c>
      <c r="F425" s="101" t="s">
        <v>1201</v>
      </c>
      <c r="G425" s="278" t="s">
        <v>1359</v>
      </c>
    </row>
    <row r="426" spans="1:7" x14ac:dyDescent="0.2">
      <c r="A426" s="46" t="s">
        <v>1360</v>
      </c>
      <c r="B426" s="47" t="s">
        <v>1361</v>
      </c>
      <c r="C426" s="298">
        <v>2348</v>
      </c>
      <c r="D426" s="94" t="s">
        <v>1331</v>
      </c>
      <c r="E426" s="91">
        <v>0.3</v>
      </c>
      <c r="F426" s="101" t="s">
        <v>1201</v>
      </c>
      <c r="G426" s="278" t="s">
        <v>1362</v>
      </c>
    </row>
    <row r="427" spans="1:7" x14ac:dyDescent="0.2">
      <c r="A427" s="46" t="s">
        <v>1363</v>
      </c>
      <c r="B427" s="47" t="s">
        <v>1364</v>
      </c>
      <c r="C427" s="298">
        <v>2348</v>
      </c>
      <c r="D427" s="94" t="s">
        <v>1331</v>
      </c>
      <c r="E427" s="91">
        <v>0.3</v>
      </c>
      <c r="F427" s="101" t="s">
        <v>1201</v>
      </c>
      <c r="G427" s="278" t="s">
        <v>1365</v>
      </c>
    </row>
    <row r="428" spans="1:7" s="45" customFormat="1" ht="15" x14ac:dyDescent="0.25">
      <c r="A428" s="275"/>
      <c r="B428" s="275" t="s">
        <v>1366</v>
      </c>
      <c r="C428" s="283"/>
      <c r="D428" s="276"/>
      <c r="E428" s="275"/>
      <c r="F428" s="275"/>
      <c r="G428" s="275"/>
    </row>
    <row r="429" spans="1:7" x14ac:dyDescent="0.2">
      <c r="A429" s="46" t="s">
        <v>1367</v>
      </c>
      <c r="B429" s="47" t="s">
        <v>1368</v>
      </c>
      <c r="C429" s="298">
        <v>17987</v>
      </c>
      <c r="D429" s="94" t="s">
        <v>1369</v>
      </c>
      <c r="E429" s="91">
        <v>0.98</v>
      </c>
      <c r="F429" s="101" t="s">
        <v>1201</v>
      </c>
      <c r="G429" s="278" t="s">
        <v>1370</v>
      </c>
    </row>
    <row r="430" spans="1:7" x14ac:dyDescent="0.2">
      <c r="A430" s="46" t="s">
        <v>1371</v>
      </c>
      <c r="B430" s="47" t="s">
        <v>1372</v>
      </c>
      <c r="C430" s="298">
        <v>19799</v>
      </c>
      <c r="D430" s="94" t="s">
        <v>1369</v>
      </c>
      <c r="E430" s="91">
        <v>1.03</v>
      </c>
      <c r="F430" s="101" t="s">
        <v>1201</v>
      </c>
      <c r="G430" s="278" t="s">
        <v>1373</v>
      </c>
    </row>
    <row r="431" spans="1:7" x14ac:dyDescent="0.2">
      <c r="A431" s="46" t="s">
        <v>1374</v>
      </c>
      <c r="B431" s="47" t="s">
        <v>1375</v>
      </c>
      <c r="C431" s="298">
        <v>21138</v>
      </c>
      <c r="D431" s="94" t="s">
        <v>1369</v>
      </c>
      <c r="E431" s="91">
        <v>1.03</v>
      </c>
      <c r="F431" s="101" t="s">
        <v>1201</v>
      </c>
      <c r="G431" s="278" t="s">
        <v>1376</v>
      </c>
    </row>
    <row r="432" spans="1:7" s="45" customFormat="1" ht="15" x14ac:dyDescent="0.25">
      <c r="A432" s="275"/>
      <c r="B432" s="275" t="s">
        <v>1377</v>
      </c>
      <c r="C432" s="283"/>
      <c r="D432" s="276"/>
      <c r="E432" s="275"/>
      <c r="F432" s="275"/>
      <c r="G432" s="275"/>
    </row>
    <row r="433" spans="1:7" x14ac:dyDescent="0.2">
      <c r="A433" s="46" t="s">
        <v>1378</v>
      </c>
      <c r="B433" s="47" t="s">
        <v>1379</v>
      </c>
      <c r="C433" s="298">
        <v>11589</v>
      </c>
      <c r="D433" s="103" t="s">
        <v>1380</v>
      </c>
      <c r="E433" s="104">
        <v>0.53500000000000003</v>
      </c>
      <c r="F433" s="101" t="s">
        <v>1201</v>
      </c>
      <c r="G433" s="278" t="s">
        <v>1381</v>
      </c>
    </row>
    <row r="434" spans="1:7" x14ac:dyDescent="0.2">
      <c r="A434" s="46" t="s">
        <v>1382</v>
      </c>
      <c r="B434" s="47" t="s">
        <v>1383</v>
      </c>
      <c r="C434" s="298">
        <v>12390</v>
      </c>
      <c r="D434" s="103" t="s">
        <v>1380</v>
      </c>
      <c r="E434" s="104">
        <v>0.53500000000000003</v>
      </c>
      <c r="F434" s="101" t="s">
        <v>1201</v>
      </c>
      <c r="G434" s="278" t="s">
        <v>1384</v>
      </c>
    </row>
    <row r="435" spans="1:7" x14ac:dyDescent="0.2">
      <c r="A435" s="46" t="s">
        <v>1385</v>
      </c>
      <c r="B435" s="47" t="s">
        <v>1386</v>
      </c>
      <c r="C435" s="298">
        <v>15883</v>
      </c>
      <c r="D435" s="103" t="s">
        <v>1387</v>
      </c>
      <c r="E435" s="104">
        <v>0.68200000000000005</v>
      </c>
      <c r="F435" s="101" t="s">
        <v>1201</v>
      </c>
      <c r="G435" s="278" t="s">
        <v>1388</v>
      </c>
    </row>
    <row r="436" spans="1:7" x14ac:dyDescent="0.2">
      <c r="A436" s="46" t="s">
        <v>1389</v>
      </c>
      <c r="B436" s="47" t="s">
        <v>1390</v>
      </c>
      <c r="C436" s="298">
        <v>20043</v>
      </c>
      <c r="D436" s="103" t="s">
        <v>1387</v>
      </c>
      <c r="E436" s="104">
        <v>0.69299999999999995</v>
      </c>
      <c r="F436" s="101" t="s">
        <v>1201</v>
      </c>
      <c r="G436" s="278" t="s">
        <v>1391</v>
      </c>
    </row>
    <row r="437" spans="1:7" x14ac:dyDescent="0.2">
      <c r="A437" s="46" t="s">
        <v>1392</v>
      </c>
      <c r="B437" s="47" t="s">
        <v>1393</v>
      </c>
      <c r="C437" s="298">
        <v>49412</v>
      </c>
      <c r="D437" s="103" t="s">
        <v>1394</v>
      </c>
      <c r="E437" s="104">
        <v>5.5</v>
      </c>
      <c r="F437" s="101" t="s">
        <v>1201</v>
      </c>
      <c r="G437" s="278" t="s">
        <v>1395</v>
      </c>
    </row>
    <row r="438" spans="1:7" x14ac:dyDescent="0.2">
      <c r="A438" s="46" t="s">
        <v>1396</v>
      </c>
      <c r="B438" s="47" t="s">
        <v>1397</v>
      </c>
      <c r="C438" s="298">
        <v>57039</v>
      </c>
      <c r="D438" s="103" t="s">
        <v>1398</v>
      </c>
      <c r="E438" s="104">
        <v>8.1859999999999999</v>
      </c>
      <c r="F438" s="101" t="s">
        <v>1201</v>
      </c>
      <c r="G438" s="278" t="s">
        <v>1399</v>
      </c>
    </row>
    <row r="439" spans="1:7" x14ac:dyDescent="0.2">
      <c r="A439" s="46" t="s">
        <v>1400</v>
      </c>
      <c r="B439" s="47" t="s">
        <v>1401</v>
      </c>
      <c r="C439" s="298">
        <v>71707</v>
      </c>
      <c r="D439" s="103" t="s">
        <v>1398</v>
      </c>
      <c r="E439" s="104">
        <v>8.1959999999999997</v>
      </c>
      <c r="F439" s="101" t="s">
        <v>1201</v>
      </c>
      <c r="G439" s="278" t="s">
        <v>1402</v>
      </c>
    </row>
    <row r="440" spans="1:7" x14ac:dyDescent="0.2">
      <c r="A440" s="46" t="s">
        <v>1403</v>
      </c>
      <c r="B440" s="47" t="s">
        <v>1404</v>
      </c>
      <c r="C440" s="298">
        <v>87193</v>
      </c>
      <c r="D440" s="103" t="s">
        <v>1398</v>
      </c>
      <c r="E440" s="104">
        <v>8.4</v>
      </c>
      <c r="F440" s="101" t="s">
        <v>1201</v>
      </c>
      <c r="G440" s="278" t="s">
        <v>1405</v>
      </c>
    </row>
    <row r="441" spans="1:7" s="45" customFormat="1" ht="15" x14ac:dyDescent="0.25">
      <c r="A441" s="275"/>
      <c r="B441" s="275" t="s">
        <v>1406</v>
      </c>
      <c r="C441" s="283"/>
      <c r="D441" s="276"/>
      <c r="E441" s="275"/>
      <c r="F441" s="275"/>
      <c r="G441" s="275"/>
    </row>
    <row r="442" spans="1:7" x14ac:dyDescent="0.2">
      <c r="A442" s="86" t="s">
        <v>1407</v>
      </c>
      <c r="B442" s="109" t="s">
        <v>1408</v>
      </c>
      <c r="C442" s="298">
        <v>3614</v>
      </c>
      <c r="D442" s="279" t="s">
        <v>1409</v>
      </c>
      <c r="E442" s="288">
        <v>0.53500000000000003</v>
      </c>
      <c r="F442" s="101" t="s">
        <v>1201</v>
      </c>
      <c r="G442" s="113" t="s">
        <v>1410</v>
      </c>
    </row>
    <row r="443" spans="1:7" x14ac:dyDescent="0.2">
      <c r="A443" s="86" t="s">
        <v>1411</v>
      </c>
      <c r="B443" s="109" t="s">
        <v>1412</v>
      </c>
      <c r="C443" s="298">
        <v>5475</v>
      </c>
      <c r="D443" s="279" t="s">
        <v>1380</v>
      </c>
      <c r="E443" s="288">
        <v>0.53500000000000003</v>
      </c>
      <c r="F443" s="101" t="s">
        <v>1201</v>
      </c>
      <c r="G443" s="93" t="s">
        <v>1413</v>
      </c>
    </row>
    <row r="444" spans="1:7" x14ac:dyDescent="0.2">
      <c r="A444" s="86" t="s">
        <v>1414</v>
      </c>
      <c r="B444" s="109" t="s">
        <v>1415</v>
      </c>
      <c r="C444" s="298">
        <v>5520</v>
      </c>
      <c r="D444" s="279" t="s">
        <v>1387</v>
      </c>
      <c r="E444" s="288">
        <v>0.68200000000000005</v>
      </c>
      <c r="F444" s="101" t="s">
        <v>1201</v>
      </c>
      <c r="G444" s="113" t="s">
        <v>1416</v>
      </c>
    </row>
    <row r="445" spans="1:7" x14ac:dyDescent="0.2">
      <c r="A445" s="86" t="s">
        <v>1417</v>
      </c>
      <c r="B445" s="109" t="s">
        <v>1418</v>
      </c>
      <c r="C445" s="298">
        <v>12552</v>
      </c>
      <c r="D445" s="279" t="s">
        <v>1419</v>
      </c>
      <c r="E445" s="288">
        <v>0.9</v>
      </c>
      <c r="F445" s="101" t="s">
        <v>1201</v>
      </c>
      <c r="G445" s="113" t="s">
        <v>1420</v>
      </c>
    </row>
    <row r="446" spans="1:7" x14ac:dyDescent="0.2">
      <c r="A446" s="86" t="s">
        <v>1421</v>
      </c>
      <c r="B446" s="109" t="s">
        <v>1422</v>
      </c>
      <c r="C446" s="298">
        <v>12666</v>
      </c>
      <c r="D446" s="279" t="s">
        <v>1419</v>
      </c>
      <c r="E446" s="288">
        <v>0.9</v>
      </c>
      <c r="F446" s="101" t="s">
        <v>1201</v>
      </c>
      <c r="G446" s="113" t="s">
        <v>1423</v>
      </c>
    </row>
    <row r="447" spans="1:7" s="45" customFormat="1" ht="15" x14ac:dyDescent="0.25">
      <c r="A447" s="275"/>
      <c r="B447" s="275" t="s">
        <v>1424</v>
      </c>
      <c r="C447" s="283"/>
      <c r="D447" s="276"/>
      <c r="E447" s="275"/>
      <c r="F447" s="275"/>
      <c r="G447" s="275"/>
    </row>
    <row r="448" spans="1:7" x14ac:dyDescent="0.2">
      <c r="A448" s="46" t="s">
        <v>1425</v>
      </c>
      <c r="B448" s="111" t="s">
        <v>1426</v>
      </c>
      <c r="C448" s="298">
        <v>672</v>
      </c>
      <c r="D448" s="103" t="s">
        <v>1427</v>
      </c>
      <c r="E448" s="104">
        <v>0.125</v>
      </c>
      <c r="F448" s="101" t="s">
        <v>1201</v>
      </c>
      <c r="G448" s="113" t="s">
        <v>1428</v>
      </c>
    </row>
    <row r="449" spans="1:7" x14ac:dyDescent="0.2">
      <c r="A449" s="46" t="s">
        <v>1429</v>
      </c>
      <c r="B449" s="111" t="s">
        <v>1430</v>
      </c>
      <c r="C449" s="298">
        <v>2963</v>
      </c>
      <c r="D449" s="103" t="s">
        <v>1431</v>
      </c>
      <c r="E449" s="104">
        <v>0.05</v>
      </c>
      <c r="F449" s="101" t="s">
        <v>1201</v>
      </c>
      <c r="G449" s="113" t="s">
        <v>1432</v>
      </c>
    </row>
    <row r="450" spans="1:7" x14ac:dyDescent="0.2">
      <c r="A450" s="46" t="s">
        <v>1433</v>
      </c>
      <c r="B450" s="111" t="s">
        <v>1434</v>
      </c>
      <c r="C450" s="298">
        <v>2172</v>
      </c>
      <c r="D450" s="103" t="s">
        <v>1431</v>
      </c>
      <c r="E450" s="104">
        <v>0.05</v>
      </c>
      <c r="F450" s="101" t="s">
        <v>1201</v>
      </c>
      <c r="G450" s="113" t="s">
        <v>1435</v>
      </c>
    </row>
    <row r="451" spans="1:7" x14ac:dyDescent="0.2">
      <c r="A451" s="46" t="s">
        <v>1436</v>
      </c>
      <c r="B451" s="111" t="s">
        <v>1437</v>
      </c>
      <c r="C451" s="298">
        <v>1056</v>
      </c>
      <c r="D451" s="103" t="s">
        <v>1438</v>
      </c>
      <c r="E451" s="104">
        <v>0.17499999999999999</v>
      </c>
      <c r="F451" s="101" t="s">
        <v>1201</v>
      </c>
      <c r="G451" s="113" t="s">
        <v>1439</v>
      </c>
    </row>
    <row r="452" spans="1:7" x14ac:dyDescent="0.2">
      <c r="A452" s="46" t="s">
        <v>1440</v>
      </c>
      <c r="B452" s="111" t="s">
        <v>1441</v>
      </c>
      <c r="C452" s="298">
        <v>1606</v>
      </c>
      <c r="D452" s="103" t="s">
        <v>1427</v>
      </c>
      <c r="E452" s="104">
        <v>0.17499999999999999</v>
      </c>
      <c r="F452" s="101" t="s">
        <v>1201</v>
      </c>
      <c r="G452" s="113" t="s">
        <v>1442</v>
      </c>
    </row>
    <row r="453" spans="1:7" x14ac:dyDescent="0.2">
      <c r="A453" s="46" t="s">
        <v>1440</v>
      </c>
      <c r="B453" s="111" t="s">
        <v>1443</v>
      </c>
      <c r="C453" s="298">
        <v>1691</v>
      </c>
      <c r="D453" s="103" t="s">
        <v>1438</v>
      </c>
      <c r="E453" s="104">
        <v>0.17499999999999999</v>
      </c>
      <c r="F453" s="101" t="s">
        <v>1201</v>
      </c>
      <c r="G453" s="113" t="s">
        <v>1444</v>
      </c>
    </row>
    <row r="454" spans="1:7" x14ac:dyDescent="0.2">
      <c r="A454" s="46" t="s">
        <v>1445</v>
      </c>
      <c r="B454" s="111" t="s">
        <v>1446</v>
      </c>
      <c r="C454" s="298">
        <v>1902</v>
      </c>
      <c r="D454" s="103" t="s">
        <v>1447</v>
      </c>
      <c r="E454" s="104">
        <v>0.3</v>
      </c>
      <c r="F454" s="101" t="s">
        <v>180</v>
      </c>
      <c r="G454" s="113" t="s">
        <v>1448</v>
      </c>
    </row>
    <row r="455" spans="1:7" x14ac:dyDescent="0.2">
      <c r="A455" s="46" t="s">
        <v>1449</v>
      </c>
      <c r="B455" s="111" t="s">
        <v>1450</v>
      </c>
      <c r="C455" s="298">
        <v>1902</v>
      </c>
      <c r="D455" s="103" t="s">
        <v>1447</v>
      </c>
      <c r="E455" s="104">
        <v>0.3</v>
      </c>
      <c r="F455" s="101" t="s">
        <v>180</v>
      </c>
      <c r="G455" s="113" t="s">
        <v>1451</v>
      </c>
    </row>
    <row r="456" spans="1:7" x14ac:dyDescent="0.2">
      <c r="A456" s="46" t="s">
        <v>1452</v>
      </c>
      <c r="B456" s="111" t="s">
        <v>1453</v>
      </c>
      <c r="C456" s="298">
        <v>7861</v>
      </c>
      <c r="D456" s="103" t="s">
        <v>1454</v>
      </c>
      <c r="E456" s="104">
        <v>0.13800000000000001</v>
      </c>
      <c r="F456" s="101" t="s">
        <v>1201</v>
      </c>
      <c r="G456" s="113" t="s">
        <v>1455</v>
      </c>
    </row>
    <row r="457" spans="1:7" x14ac:dyDescent="0.2">
      <c r="A457" s="46" t="s">
        <v>1456</v>
      </c>
      <c r="B457" s="111" t="s">
        <v>1457</v>
      </c>
      <c r="C457" s="298">
        <v>13984</v>
      </c>
      <c r="D457" s="103" t="s">
        <v>1458</v>
      </c>
      <c r="E457" s="104">
        <v>0.17</v>
      </c>
      <c r="F457" s="101" t="s">
        <v>1201</v>
      </c>
      <c r="G457" s="113" t="s">
        <v>1459</v>
      </c>
    </row>
    <row r="458" spans="1:7" x14ac:dyDescent="0.2">
      <c r="A458" s="46" t="s">
        <v>1460</v>
      </c>
      <c r="B458" s="111" t="s">
        <v>1461</v>
      </c>
      <c r="C458" s="298">
        <v>2216</v>
      </c>
      <c r="D458" s="103" t="s">
        <v>1462</v>
      </c>
      <c r="E458" s="104">
        <v>0.35</v>
      </c>
      <c r="F458" s="101" t="s">
        <v>1463</v>
      </c>
      <c r="G458" s="113" t="s">
        <v>1464</v>
      </c>
    </row>
    <row r="459" spans="1:7" x14ac:dyDescent="0.2">
      <c r="A459" s="46" t="s">
        <v>1465</v>
      </c>
      <c r="B459" s="111" t="s">
        <v>1466</v>
      </c>
      <c r="C459" s="298">
        <v>2216</v>
      </c>
      <c r="D459" s="103" t="s">
        <v>1462</v>
      </c>
      <c r="E459" s="104">
        <v>0.35</v>
      </c>
      <c r="F459" s="101" t="s">
        <v>1463</v>
      </c>
      <c r="G459" s="113" t="s">
        <v>1467</v>
      </c>
    </row>
    <row r="460" spans="1:7" x14ac:dyDescent="0.2">
      <c r="A460" s="46" t="s">
        <v>1468</v>
      </c>
      <c r="B460" s="111" t="s">
        <v>1469</v>
      </c>
      <c r="C460" s="298">
        <v>6696</v>
      </c>
      <c r="D460" s="103" t="s">
        <v>1470</v>
      </c>
      <c r="E460" s="104">
        <v>0.32</v>
      </c>
      <c r="F460" s="101" t="s">
        <v>1471</v>
      </c>
      <c r="G460" s="113" t="s">
        <v>1472</v>
      </c>
    </row>
    <row r="461" spans="1:7" x14ac:dyDescent="0.2">
      <c r="A461" s="46" t="s">
        <v>1473</v>
      </c>
      <c r="B461" s="111" t="s">
        <v>1474</v>
      </c>
      <c r="C461" s="298">
        <v>532</v>
      </c>
      <c r="D461" s="103" t="s">
        <v>1475</v>
      </c>
      <c r="E461" s="104">
        <v>7.0000000000000007E-2</v>
      </c>
      <c r="F461" s="101" t="s">
        <v>1471</v>
      </c>
      <c r="G461" s="113" t="s">
        <v>1476</v>
      </c>
    </row>
    <row r="462" spans="1:7" x14ac:dyDescent="0.2">
      <c r="A462" s="46" t="s">
        <v>1477</v>
      </c>
      <c r="B462" s="111" t="s">
        <v>1478</v>
      </c>
      <c r="C462" s="298">
        <v>7336</v>
      </c>
      <c r="D462" s="103" t="s">
        <v>1479</v>
      </c>
      <c r="E462" s="104">
        <v>0.3</v>
      </c>
      <c r="F462" s="101" t="s">
        <v>1262</v>
      </c>
      <c r="G462" s="113" t="s">
        <v>1480</v>
      </c>
    </row>
    <row r="463" spans="1:7" s="45" customFormat="1" ht="15" x14ac:dyDescent="0.25">
      <c r="A463" s="275"/>
      <c r="B463" s="275" t="s">
        <v>1481</v>
      </c>
      <c r="C463" s="283"/>
      <c r="D463" s="276"/>
      <c r="E463" s="275"/>
      <c r="F463" s="275"/>
      <c r="G463" s="275"/>
    </row>
    <row r="464" spans="1:7" x14ac:dyDescent="0.2">
      <c r="A464" s="46" t="s">
        <v>1482</v>
      </c>
      <c r="B464" s="114" t="s">
        <v>1483</v>
      </c>
      <c r="C464" s="298">
        <v>10536</v>
      </c>
      <c r="D464" s="103" t="s">
        <v>1484</v>
      </c>
      <c r="E464" s="104">
        <v>0.19</v>
      </c>
      <c r="F464" s="94" t="s">
        <v>1201</v>
      </c>
      <c r="G464" s="278" t="s">
        <v>1485</v>
      </c>
    </row>
    <row r="465" spans="1:7" x14ac:dyDescent="0.2">
      <c r="A465" s="46" t="s">
        <v>1486</v>
      </c>
      <c r="B465" s="114" t="s">
        <v>1487</v>
      </c>
      <c r="C465" s="298">
        <v>13009</v>
      </c>
      <c r="D465" s="103" t="s">
        <v>1484</v>
      </c>
      <c r="E465" s="104">
        <v>0.19</v>
      </c>
      <c r="F465" s="94" t="s">
        <v>1201</v>
      </c>
      <c r="G465" s="278" t="s">
        <v>1488</v>
      </c>
    </row>
    <row r="466" spans="1:7" x14ac:dyDescent="0.2">
      <c r="A466" s="46" t="s">
        <v>1489</v>
      </c>
      <c r="B466" s="114" t="s">
        <v>1490</v>
      </c>
      <c r="C466" s="298">
        <v>12420</v>
      </c>
      <c r="D466" s="103" t="s">
        <v>1484</v>
      </c>
      <c r="E466" s="104">
        <v>0.19</v>
      </c>
      <c r="F466" s="94" t="s">
        <v>1201</v>
      </c>
      <c r="G466" s="278" t="s">
        <v>1491</v>
      </c>
    </row>
    <row r="467" spans="1:7" x14ac:dyDescent="0.2">
      <c r="A467" s="46" t="s">
        <v>1492</v>
      </c>
      <c r="B467" s="114" t="s">
        <v>1493</v>
      </c>
      <c r="C467" s="298">
        <v>15378</v>
      </c>
      <c r="D467" s="103" t="s">
        <v>1484</v>
      </c>
      <c r="E467" s="104">
        <v>0.19</v>
      </c>
      <c r="F467" s="94" t="s">
        <v>1201</v>
      </c>
      <c r="G467" s="278" t="s">
        <v>1488</v>
      </c>
    </row>
    <row r="468" spans="1:7" x14ac:dyDescent="0.2">
      <c r="A468" s="46" t="s">
        <v>1494</v>
      </c>
      <c r="B468" s="114" t="s">
        <v>1495</v>
      </c>
      <c r="C468" s="298">
        <v>15211</v>
      </c>
      <c r="D468" s="103" t="s">
        <v>1484</v>
      </c>
      <c r="E468" s="104">
        <v>0.23499999999999999</v>
      </c>
      <c r="F468" s="94" t="s">
        <v>1201</v>
      </c>
      <c r="G468" s="278" t="s">
        <v>1496</v>
      </c>
    </row>
    <row r="469" spans="1:7" x14ac:dyDescent="0.2">
      <c r="A469" s="46" t="s">
        <v>1497</v>
      </c>
      <c r="B469" s="114" t="s">
        <v>1498</v>
      </c>
      <c r="C469" s="298">
        <v>8091</v>
      </c>
      <c r="D469" s="103" t="s">
        <v>1484</v>
      </c>
      <c r="E469" s="104">
        <v>0.19</v>
      </c>
      <c r="F469" s="94" t="s">
        <v>1201</v>
      </c>
      <c r="G469" s="278" t="s">
        <v>1499</v>
      </c>
    </row>
    <row r="470" spans="1:7" x14ac:dyDescent="0.2">
      <c r="A470" s="46" t="s">
        <v>1500</v>
      </c>
      <c r="B470" s="114" t="s">
        <v>1501</v>
      </c>
      <c r="C470" s="298">
        <v>5262</v>
      </c>
      <c r="D470" s="103" t="s">
        <v>1502</v>
      </c>
      <c r="E470" s="104">
        <v>0.15</v>
      </c>
      <c r="F470" s="94" t="s">
        <v>1201</v>
      </c>
      <c r="G470" s="278" t="s">
        <v>1503</v>
      </c>
    </row>
    <row r="471" spans="1:7" x14ac:dyDescent="0.2">
      <c r="A471" s="46" t="s">
        <v>1504</v>
      </c>
      <c r="B471" s="114" t="s">
        <v>1505</v>
      </c>
      <c r="C471" s="298">
        <v>1353</v>
      </c>
      <c r="D471" s="103" t="s">
        <v>1506</v>
      </c>
      <c r="E471" s="104">
        <v>0.05</v>
      </c>
      <c r="F471" s="94" t="s">
        <v>1201</v>
      </c>
      <c r="G471" s="278" t="s">
        <v>1507</v>
      </c>
    </row>
    <row r="472" spans="1:7" x14ac:dyDescent="0.2">
      <c r="A472" s="46" t="s">
        <v>1508</v>
      </c>
      <c r="B472" s="114" t="s">
        <v>1509</v>
      </c>
      <c r="C472" s="298">
        <v>1197</v>
      </c>
      <c r="D472" s="103" t="s">
        <v>1510</v>
      </c>
      <c r="E472" s="104">
        <v>0.5</v>
      </c>
      <c r="F472" s="94" t="s">
        <v>1201</v>
      </c>
      <c r="G472" s="278" t="s">
        <v>1511</v>
      </c>
    </row>
    <row r="473" spans="1:7" x14ac:dyDescent="0.2">
      <c r="A473" s="46" t="s">
        <v>1512</v>
      </c>
      <c r="B473" s="114" t="s">
        <v>1513</v>
      </c>
      <c r="C473" s="298">
        <v>764</v>
      </c>
      <c r="D473" s="103" t="s">
        <v>1514</v>
      </c>
      <c r="E473" s="104">
        <v>0.08</v>
      </c>
      <c r="F473" s="94" t="s">
        <v>1201</v>
      </c>
      <c r="G473" s="278" t="s">
        <v>1511</v>
      </c>
    </row>
    <row r="474" spans="1:7" x14ac:dyDescent="0.2">
      <c r="A474" s="46" t="s">
        <v>1515</v>
      </c>
      <c r="B474" s="114" t="s">
        <v>1516</v>
      </c>
      <c r="C474" s="298">
        <v>29270</v>
      </c>
      <c r="D474" s="103" t="s">
        <v>1517</v>
      </c>
      <c r="E474" s="104">
        <v>0.38</v>
      </c>
      <c r="F474" s="94" t="s">
        <v>1201</v>
      </c>
      <c r="G474" s="278" t="s">
        <v>1518</v>
      </c>
    </row>
    <row r="475" spans="1:7" x14ac:dyDescent="0.2">
      <c r="A475" s="46" t="s">
        <v>1519</v>
      </c>
      <c r="B475" s="114" t="s">
        <v>1520</v>
      </c>
      <c r="C475" s="298">
        <v>40969</v>
      </c>
      <c r="D475" s="103" t="s">
        <v>1517</v>
      </c>
      <c r="E475" s="104">
        <v>0.39</v>
      </c>
      <c r="F475" s="94" t="s">
        <v>1201</v>
      </c>
      <c r="G475" s="278" t="s">
        <v>1518</v>
      </c>
    </row>
    <row r="476" spans="1:7" x14ac:dyDescent="0.2">
      <c r="A476" s="46" t="s">
        <v>1521</v>
      </c>
      <c r="B476" s="114" t="s">
        <v>1522</v>
      </c>
      <c r="C476" s="298">
        <v>19545</v>
      </c>
      <c r="D476" s="103" t="s">
        <v>1523</v>
      </c>
      <c r="E476" s="104">
        <v>0.17</v>
      </c>
      <c r="F476" s="94" t="s">
        <v>1201</v>
      </c>
      <c r="G476" s="278" t="s">
        <v>1524</v>
      </c>
    </row>
    <row r="477" spans="1:7" x14ac:dyDescent="0.2">
      <c r="A477" s="46" t="s">
        <v>1525</v>
      </c>
      <c r="B477" s="114" t="s">
        <v>1526</v>
      </c>
      <c r="C477" s="298">
        <v>846</v>
      </c>
      <c r="D477" s="103" t="s">
        <v>1527</v>
      </c>
      <c r="E477" s="104">
        <v>6.8000000000000005E-2</v>
      </c>
      <c r="F477" s="94" t="s">
        <v>1201</v>
      </c>
      <c r="G477" s="278" t="s">
        <v>1528</v>
      </c>
    </row>
    <row r="478" spans="1:7" x14ac:dyDescent="0.2">
      <c r="A478" s="46" t="s">
        <v>1529</v>
      </c>
      <c r="B478" s="114" t="s">
        <v>1530</v>
      </c>
      <c r="C478" s="298">
        <v>1503</v>
      </c>
      <c r="D478" s="103" t="s">
        <v>1531</v>
      </c>
      <c r="E478" s="104">
        <v>0.1</v>
      </c>
      <c r="F478" s="94" t="s">
        <v>1201</v>
      </c>
      <c r="G478" s="278" t="s">
        <v>1532</v>
      </c>
    </row>
    <row r="479" spans="1:7" x14ac:dyDescent="0.2">
      <c r="A479" s="46" t="s">
        <v>1533</v>
      </c>
      <c r="B479" s="114" t="s">
        <v>1534</v>
      </c>
      <c r="C479" s="298">
        <v>1762</v>
      </c>
      <c r="D479" s="103" t="s">
        <v>1531</v>
      </c>
      <c r="E479" s="104">
        <v>0.15</v>
      </c>
      <c r="F479" s="94" t="s">
        <v>1201</v>
      </c>
      <c r="G479" s="278" t="s">
        <v>1535</v>
      </c>
    </row>
    <row r="480" spans="1:7" x14ac:dyDescent="0.2">
      <c r="A480" s="46" t="s">
        <v>1536</v>
      </c>
      <c r="B480" s="114" t="s">
        <v>1537</v>
      </c>
      <c r="C480" s="298">
        <v>10608</v>
      </c>
      <c r="D480" s="103" t="s">
        <v>1538</v>
      </c>
      <c r="E480" s="104">
        <v>0.24</v>
      </c>
      <c r="F480" s="94" t="s">
        <v>1201</v>
      </c>
      <c r="G480" s="278" t="s">
        <v>1539</v>
      </c>
    </row>
    <row r="481" spans="1:7" s="45" customFormat="1" ht="15" x14ac:dyDescent="0.25">
      <c r="A481" s="275"/>
      <c r="B481" s="275" t="s">
        <v>1540</v>
      </c>
      <c r="C481" s="283"/>
      <c r="D481" s="276"/>
      <c r="E481" s="275"/>
      <c r="F481" s="275"/>
      <c r="G481" s="275"/>
    </row>
    <row r="482" spans="1:7" x14ac:dyDescent="0.2">
      <c r="A482" s="46" t="s">
        <v>1541</v>
      </c>
      <c r="B482" s="114" t="s">
        <v>1542</v>
      </c>
      <c r="C482" s="298">
        <v>2307</v>
      </c>
      <c r="D482" s="103" t="s">
        <v>1543</v>
      </c>
      <c r="E482" s="104">
        <v>0.13</v>
      </c>
      <c r="F482" s="94" t="s">
        <v>1201</v>
      </c>
      <c r="G482" s="278" t="s">
        <v>1544</v>
      </c>
    </row>
    <row r="483" spans="1:7" x14ac:dyDescent="0.2">
      <c r="A483" s="46" t="s">
        <v>1545</v>
      </c>
      <c r="B483" s="114" t="s">
        <v>1546</v>
      </c>
      <c r="C483" s="298">
        <v>2816</v>
      </c>
      <c r="D483" s="103" t="s">
        <v>1543</v>
      </c>
      <c r="E483" s="104">
        <v>0.13</v>
      </c>
      <c r="F483" s="94" t="s">
        <v>1201</v>
      </c>
      <c r="G483" s="278" t="s">
        <v>1547</v>
      </c>
    </row>
    <row r="484" spans="1:7" x14ac:dyDescent="0.2">
      <c r="A484" s="46" t="s">
        <v>1548</v>
      </c>
      <c r="B484" s="114" t="s">
        <v>1549</v>
      </c>
      <c r="C484" s="298">
        <v>3420</v>
      </c>
      <c r="D484" s="103" t="s">
        <v>1550</v>
      </c>
      <c r="E484" s="104">
        <v>0.23</v>
      </c>
      <c r="F484" s="94" t="s">
        <v>1201</v>
      </c>
      <c r="G484" s="278" t="s">
        <v>1551</v>
      </c>
    </row>
    <row r="485" spans="1:7" x14ac:dyDescent="0.2">
      <c r="A485" s="46" t="s">
        <v>1552</v>
      </c>
      <c r="B485" s="114" t="s">
        <v>1553</v>
      </c>
      <c r="C485" s="298">
        <v>9114</v>
      </c>
      <c r="D485" s="103" t="s">
        <v>1554</v>
      </c>
      <c r="E485" s="104">
        <v>1.18</v>
      </c>
      <c r="F485" s="94" t="s">
        <v>1201</v>
      </c>
      <c r="G485" s="278" t="s">
        <v>1555</v>
      </c>
    </row>
    <row r="486" spans="1:7" x14ac:dyDescent="0.2">
      <c r="A486" s="46" t="s">
        <v>1556</v>
      </c>
      <c r="B486" s="114" t="s">
        <v>1557</v>
      </c>
      <c r="C486" s="298">
        <v>10575</v>
      </c>
      <c r="D486" s="103" t="s">
        <v>1554</v>
      </c>
      <c r="E486" s="104">
        <v>1.3</v>
      </c>
      <c r="F486" s="94" t="s">
        <v>1201</v>
      </c>
      <c r="G486" s="278" t="s">
        <v>1555</v>
      </c>
    </row>
    <row r="487" spans="1:7" s="45" customFormat="1" ht="15" x14ac:dyDescent="0.25">
      <c r="A487" s="275"/>
      <c r="B487" s="275" t="s">
        <v>1558</v>
      </c>
      <c r="C487" s="283"/>
      <c r="D487" s="276"/>
      <c r="E487" s="275"/>
      <c r="F487" s="275"/>
      <c r="G487" s="275"/>
    </row>
    <row r="488" spans="1:7" x14ac:dyDescent="0.25">
      <c r="A488" s="46" t="s">
        <v>1559</v>
      </c>
      <c r="B488" s="114" t="s">
        <v>1560</v>
      </c>
      <c r="C488" s="79">
        <v>29007</v>
      </c>
      <c r="D488" s="103" t="s">
        <v>1561</v>
      </c>
      <c r="E488" s="104">
        <v>0.54</v>
      </c>
      <c r="F488" s="94" t="s">
        <v>1201</v>
      </c>
      <c r="G488" s="278" t="s">
        <v>1562</v>
      </c>
    </row>
    <row r="489" spans="1:7" x14ac:dyDescent="0.25">
      <c r="A489" s="46" t="s">
        <v>1563</v>
      </c>
      <c r="B489" s="114" t="s">
        <v>1564</v>
      </c>
      <c r="C489" s="79">
        <v>35103</v>
      </c>
      <c r="D489" s="103" t="s">
        <v>1565</v>
      </c>
      <c r="E489" s="104">
        <v>0.89</v>
      </c>
      <c r="F489" s="94" t="s">
        <v>1201</v>
      </c>
      <c r="G489" s="278" t="s">
        <v>1562</v>
      </c>
    </row>
    <row r="490" spans="1:7" x14ac:dyDescent="0.25">
      <c r="A490" s="46" t="s">
        <v>1566</v>
      </c>
      <c r="B490" s="114" t="s">
        <v>1567</v>
      </c>
      <c r="C490" s="79">
        <v>32471</v>
      </c>
      <c r="D490" s="103" t="s">
        <v>1568</v>
      </c>
      <c r="E490" s="104">
        <v>0.56000000000000005</v>
      </c>
      <c r="F490" s="94" t="s">
        <v>1201</v>
      </c>
      <c r="G490" s="278" t="s">
        <v>1569</v>
      </c>
    </row>
    <row r="491" spans="1:7" x14ac:dyDescent="0.25">
      <c r="A491" s="46" t="s">
        <v>1570</v>
      </c>
      <c r="B491" s="114" t="s">
        <v>1571</v>
      </c>
      <c r="C491" s="79">
        <v>54235</v>
      </c>
      <c r="D491" s="103" t="s">
        <v>1572</v>
      </c>
      <c r="E491" s="104">
        <v>1.06</v>
      </c>
      <c r="F491" s="94" t="s">
        <v>1201</v>
      </c>
      <c r="G491" s="278" t="s">
        <v>1569</v>
      </c>
    </row>
    <row r="492" spans="1:7" s="45" customFormat="1" ht="15" x14ac:dyDescent="0.25">
      <c r="A492" s="275"/>
      <c r="B492" s="275" t="s">
        <v>1573</v>
      </c>
      <c r="C492" s="275"/>
      <c r="D492" s="276"/>
      <c r="E492" s="275"/>
      <c r="F492" s="275"/>
      <c r="G492" s="275"/>
    </row>
    <row r="493" spans="1:7" x14ac:dyDescent="0.2">
      <c r="A493" s="46" t="s">
        <v>1574</v>
      </c>
      <c r="B493" s="47" t="s">
        <v>1575</v>
      </c>
      <c r="C493" s="79">
        <v>3441</v>
      </c>
      <c r="D493" s="293" t="s">
        <v>1576</v>
      </c>
      <c r="E493" s="294">
        <v>0.2</v>
      </c>
      <c r="F493" s="293" t="s">
        <v>1577</v>
      </c>
      <c r="G493" s="113" t="s">
        <v>1578</v>
      </c>
    </row>
    <row r="494" spans="1:7" x14ac:dyDescent="0.2">
      <c r="A494" s="46" t="s">
        <v>1579</v>
      </c>
      <c r="B494" s="47" t="s">
        <v>1580</v>
      </c>
      <c r="C494" s="79">
        <v>3614</v>
      </c>
      <c r="D494" s="293" t="s">
        <v>1576</v>
      </c>
      <c r="E494" s="294">
        <v>0.2</v>
      </c>
      <c r="F494" s="293" t="s">
        <v>1577</v>
      </c>
      <c r="G494" s="113" t="s">
        <v>1581</v>
      </c>
    </row>
    <row r="495" spans="1:7" x14ac:dyDescent="0.2">
      <c r="A495" s="46" t="s">
        <v>1582</v>
      </c>
      <c r="B495" s="47" t="s">
        <v>1583</v>
      </c>
      <c r="C495" s="79">
        <v>3308</v>
      </c>
      <c r="D495" s="293" t="s">
        <v>1584</v>
      </c>
      <c r="E495" s="294">
        <v>0.15</v>
      </c>
      <c r="F495" s="293" t="s">
        <v>1577</v>
      </c>
      <c r="G495" s="113" t="s">
        <v>1585</v>
      </c>
    </row>
    <row r="496" spans="1:7" x14ac:dyDescent="0.2">
      <c r="A496" s="46" t="s">
        <v>1586</v>
      </c>
      <c r="B496" s="47" t="s">
        <v>1587</v>
      </c>
      <c r="C496" s="79">
        <v>3474</v>
      </c>
      <c r="D496" s="293" t="s">
        <v>1584</v>
      </c>
      <c r="E496" s="294">
        <v>0.15</v>
      </c>
      <c r="F496" s="293" t="s">
        <v>1577</v>
      </c>
      <c r="G496" s="113" t="s">
        <v>1588</v>
      </c>
    </row>
    <row r="497" spans="1:7" x14ac:dyDescent="0.2">
      <c r="A497" s="46" t="s">
        <v>1589</v>
      </c>
      <c r="B497" s="47" t="s">
        <v>1590</v>
      </c>
      <c r="C497" s="79">
        <v>3867</v>
      </c>
      <c r="D497" s="293" t="s">
        <v>1591</v>
      </c>
      <c r="E497" s="294">
        <v>0.2</v>
      </c>
      <c r="F497" s="293" t="s">
        <v>1577</v>
      </c>
      <c r="G497" s="113" t="s">
        <v>1592</v>
      </c>
    </row>
    <row r="498" spans="1:7" x14ac:dyDescent="0.2">
      <c r="A498" s="46" t="s">
        <v>1593</v>
      </c>
      <c r="B498" s="47" t="s">
        <v>1594</v>
      </c>
      <c r="C498" s="79">
        <v>4062</v>
      </c>
      <c r="D498" s="293" t="s">
        <v>1591</v>
      </c>
      <c r="E498" s="294">
        <v>0.2</v>
      </c>
      <c r="F498" s="293" t="s">
        <v>1577</v>
      </c>
      <c r="G498" s="113" t="s">
        <v>1595</v>
      </c>
    </row>
    <row r="499" spans="1:7" x14ac:dyDescent="0.2">
      <c r="A499" s="46" t="s">
        <v>1596</v>
      </c>
      <c r="B499" s="47" t="s">
        <v>1597</v>
      </c>
      <c r="C499" s="79">
        <v>8351</v>
      </c>
      <c r="D499" s="293" t="s">
        <v>1598</v>
      </c>
      <c r="E499" s="294">
        <v>0.4</v>
      </c>
      <c r="F499" s="293" t="s">
        <v>1577</v>
      </c>
      <c r="G499" s="113" t="s">
        <v>1599</v>
      </c>
    </row>
    <row r="500" spans="1:7" x14ac:dyDescent="0.2">
      <c r="A500" s="46" t="s">
        <v>1600</v>
      </c>
      <c r="B500" s="47" t="s">
        <v>1601</v>
      </c>
      <c r="C500" s="79">
        <v>8892</v>
      </c>
      <c r="D500" s="293" t="s">
        <v>1598</v>
      </c>
      <c r="E500" s="294">
        <v>0.4</v>
      </c>
      <c r="F500" s="293" t="s">
        <v>1577</v>
      </c>
      <c r="G500" s="113" t="s">
        <v>1602</v>
      </c>
    </row>
    <row r="501" spans="1:7" x14ac:dyDescent="0.2">
      <c r="A501" s="46" t="s">
        <v>1603</v>
      </c>
      <c r="B501" s="47" t="s">
        <v>1604</v>
      </c>
      <c r="C501" s="79">
        <v>5309</v>
      </c>
      <c r="D501" s="293" t="s">
        <v>1605</v>
      </c>
      <c r="E501" s="294">
        <v>0.16</v>
      </c>
      <c r="F501" s="293" t="s">
        <v>1577</v>
      </c>
      <c r="G501" s="113" t="s">
        <v>1606</v>
      </c>
    </row>
    <row r="502" spans="1:7" x14ac:dyDescent="0.2">
      <c r="A502" s="46" t="s">
        <v>1607</v>
      </c>
      <c r="B502" s="47" t="s">
        <v>1608</v>
      </c>
      <c r="C502" s="79">
        <v>4722</v>
      </c>
      <c r="D502" s="293" t="s">
        <v>1605</v>
      </c>
      <c r="E502" s="294">
        <v>0.2</v>
      </c>
      <c r="F502" s="293" t="s">
        <v>1577</v>
      </c>
      <c r="G502" s="113" t="s">
        <v>1609</v>
      </c>
    </row>
    <row r="503" spans="1:7" x14ac:dyDescent="0.2">
      <c r="A503" s="46" t="s">
        <v>1610</v>
      </c>
      <c r="B503" s="47" t="s">
        <v>1611</v>
      </c>
      <c r="C503" s="79">
        <v>10077</v>
      </c>
      <c r="D503" s="293" t="s">
        <v>1612</v>
      </c>
      <c r="E503" s="294">
        <v>0.6</v>
      </c>
      <c r="F503" s="293" t="s">
        <v>1577</v>
      </c>
      <c r="G503" s="113" t="s">
        <v>1613</v>
      </c>
    </row>
    <row r="504" spans="1:7" x14ac:dyDescent="0.2">
      <c r="A504" s="46" t="s">
        <v>1614</v>
      </c>
      <c r="B504" s="116" t="s">
        <v>1615</v>
      </c>
      <c r="C504" s="79">
        <v>8797</v>
      </c>
      <c r="D504" s="293" t="s">
        <v>1612</v>
      </c>
      <c r="E504" s="294">
        <v>0.6</v>
      </c>
      <c r="F504" s="293" t="s">
        <v>1577</v>
      </c>
      <c r="G504" s="113" t="s">
        <v>1616</v>
      </c>
    </row>
    <row r="505" spans="1:7" x14ac:dyDescent="0.2">
      <c r="A505" s="46" t="s">
        <v>1617</v>
      </c>
      <c r="B505" s="47" t="s">
        <v>1618</v>
      </c>
      <c r="C505" s="79">
        <v>12980</v>
      </c>
      <c r="D505" s="293" t="s">
        <v>1612</v>
      </c>
      <c r="E505" s="294">
        <v>0.6</v>
      </c>
      <c r="F505" s="293" t="s">
        <v>1577</v>
      </c>
      <c r="G505" s="113" t="s">
        <v>1619</v>
      </c>
    </row>
    <row r="506" spans="1:7" x14ac:dyDescent="0.2">
      <c r="A506" s="46" t="s">
        <v>1620</v>
      </c>
      <c r="B506" s="47" t="s">
        <v>1621</v>
      </c>
      <c r="C506" s="79">
        <v>16040</v>
      </c>
      <c r="D506" s="293" t="s">
        <v>1622</v>
      </c>
      <c r="E506" s="294">
        <v>1.4</v>
      </c>
      <c r="F506" s="293" t="s">
        <v>1577</v>
      </c>
      <c r="G506" s="113" t="s">
        <v>1623</v>
      </c>
    </row>
    <row r="507" spans="1:7" x14ac:dyDescent="0.2">
      <c r="A507" s="46" t="s">
        <v>1624</v>
      </c>
      <c r="B507" s="47" t="s">
        <v>1625</v>
      </c>
      <c r="C507" s="79">
        <v>17314</v>
      </c>
      <c r="D507" s="293" t="s">
        <v>1626</v>
      </c>
      <c r="E507" s="294">
        <v>1.8</v>
      </c>
      <c r="F507" s="293" t="s">
        <v>1577</v>
      </c>
      <c r="G507" s="113" t="s">
        <v>1627</v>
      </c>
    </row>
    <row r="508" spans="1:7" x14ac:dyDescent="0.2">
      <c r="A508" s="46" t="s">
        <v>1628</v>
      </c>
      <c r="B508" s="47" t="s">
        <v>1629</v>
      </c>
      <c r="C508" s="79">
        <v>9158</v>
      </c>
      <c r="D508" s="293" t="s">
        <v>1622</v>
      </c>
      <c r="E508" s="294">
        <v>1.1000000000000001</v>
      </c>
      <c r="F508" s="293" t="s">
        <v>1577</v>
      </c>
      <c r="G508" s="113" t="s">
        <v>1630</v>
      </c>
    </row>
    <row r="509" spans="1:7" x14ac:dyDescent="0.2">
      <c r="A509" s="46" t="s">
        <v>1631</v>
      </c>
      <c r="B509" s="47" t="s">
        <v>1632</v>
      </c>
      <c r="C509" s="79">
        <v>10176</v>
      </c>
      <c r="D509" s="293" t="s">
        <v>1626</v>
      </c>
      <c r="E509" s="294">
        <v>1.4</v>
      </c>
      <c r="F509" s="293" t="s">
        <v>1577</v>
      </c>
      <c r="G509" s="113" t="s">
        <v>1633</v>
      </c>
    </row>
    <row r="510" spans="1:7" x14ac:dyDescent="0.2">
      <c r="A510" s="46" t="s">
        <v>1634</v>
      </c>
      <c r="B510" s="47" t="s">
        <v>1635</v>
      </c>
      <c r="C510" s="79">
        <v>1382</v>
      </c>
      <c r="D510" s="293" t="s">
        <v>1636</v>
      </c>
      <c r="E510" s="294">
        <v>0.2</v>
      </c>
      <c r="F510" s="293" t="s">
        <v>1577</v>
      </c>
      <c r="G510" s="113" t="s">
        <v>1637</v>
      </c>
    </row>
    <row r="511" spans="1:7" x14ac:dyDescent="0.2">
      <c r="A511" s="117" t="s">
        <v>1638</v>
      </c>
      <c r="B511" s="47" t="s">
        <v>1639</v>
      </c>
      <c r="C511" s="79">
        <v>1765</v>
      </c>
      <c r="D511" s="293" t="s">
        <v>1636</v>
      </c>
      <c r="E511" s="294">
        <v>0.3</v>
      </c>
      <c r="F511" s="293" t="s">
        <v>1577</v>
      </c>
      <c r="G511" s="113" t="s">
        <v>1640</v>
      </c>
    </row>
    <row r="512" spans="1:7" x14ac:dyDescent="0.2">
      <c r="A512" s="46" t="s">
        <v>1641</v>
      </c>
      <c r="B512" s="47" t="s">
        <v>1642</v>
      </c>
      <c r="C512" s="79">
        <v>4567</v>
      </c>
      <c r="D512" s="293" t="s">
        <v>1576</v>
      </c>
      <c r="E512" s="294">
        <v>0.2</v>
      </c>
      <c r="F512" s="293" t="s">
        <v>1577</v>
      </c>
      <c r="G512" s="113" t="s">
        <v>1643</v>
      </c>
    </row>
    <row r="513" spans="1:7" x14ac:dyDescent="0.2">
      <c r="A513" s="46" t="s">
        <v>1644</v>
      </c>
      <c r="B513" s="47" t="s">
        <v>1645</v>
      </c>
      <c r="C513" s="79">
        <v>4567</v>
      </c>
      <c r="D513" s="293" t="s">
        <v>1584</v>
      </c>
      <c r="E513" s="294">
        <v>0.15</v>
      </c>
      <c r="F513" s="293" t="s">
        <v>1577</v>
      </c>
      <c r="G513" s="113" t="s">
        <v>1646</v>
      </c>
    </row>
    <row r="514" spans="1:7" s="45" customFormat="1" ht="15" x14ac:dyDescent="0.25">
      <c r="A514" s="275"/>
      <c r="B514" s="275" t="s">
        <v>1647</v>
      </c>
      <c r="C514" s="275"/>
      <c r="D514" s="276"/>
      <c r="E514" s="275"/>
      <c r="F514" s="275"/>
      <c r="G514" s="275"/>
    </row>
    <row r="515" spans="1:7" x14ac:dyDescent="0.2">
      <c r="A515" s="46" t="s">
        <v>2538</v>
      </c>
      <c r="B515" s="47" t="s">
        <v>2539</v>
      </c>
      <c r="C515" s="48">
        <v>5459</v>
      </c>
      <c r="D515" s="94" t="s">
        <v>1648</v>
      </c>
      <c r="E515" s="91">
        <v>0.33</v>
      </c>
      <c r="F515" s="94" t="s">
        <v>1649</v>
      </c>
      <c r="G515" s="278" t="s">
        <v>1650</v>
      </c>
    </row>
    <row r="516" spans="1:7" x14ac:dyDescent="0.2">
      <c r="A516" s="46" t="s">
        <v>2540</v>
      </c>
      <c r="B516" s="47" t="s">
        <v>2541</v>
      </c>
      <c r="C516" s="48">
        <v>5459</v>
      </c>
      <c r="D516" s="94" t="s">
        <v>1648</v>
      </c>
      <c r="E516" s="91">
        <v>0.33</v>
      </c>
      <c r="F516" s="94" t="s">
        <v>1649</v>
      </c>
      <c r="G516" s="278" t="s">
        <v>1651</v>
      </c>
    </row>
    <row r="517" spans="1:7" x14ac:dyDescent="0.2">
      <c r="A517" s="46" t="s">
        <v>2542</v>
      </c>
      <c r="B517" s="47" t="s">
        <v>2543</v>
      </c>
      <c r="C517" s="48">
        <v>6064</v>
      </c>
      <c r="D517" s="94" t="s">
        <v>1652</v>
      </c>
      <c r="E517" s="91">
        <v>0.4</v>
      </c>
      <c r="F517" s="94" t="s">
        <v>1649</v>
      </c>
      <c r="G517" s="278" t="s">
        <v>1653</v>
      </c>
    </row>
    <row r="518" spans="1:7" x14ac:dyDescent="0.2">
      <c r="A518" s="46" t="s">
        <v>2544</v>
      </c>
      <c r="B518" s="47" t="s">
        <v>2545</v>
      </c>
      <c r="C518" s="48">
        <v>6962</v>
      </c>
      <c r="D518" s="94" t="s">
        <v>1654</v>
      </c>
      <c r="E518" s="91">
        <v>0.6</v>
      </c>
      <c r="F518" s="94" t="s">
        <v>1649</v>
      </c>
      <c r="G518" s="278" t="s">
        <v>1655</v>
      </c>
    </row>
    <row r="519" spans="1:7" x14ac:dyDescent="0.2">
      <c r="A519" s="46" t="s">
        <v>2546</v>
      </c>
      <c r="B519" s="47" t="s">
        <v>2547</v>
      </c>
      <c r="C519" s="48">
        <v>9323</v>
      </c>
      <c r="D519" s="94" t="s">
        <v>1656</v>
      </c>
      <c r="E519" s="91">
        <v>1.04</v>
      </c>
      <c r="F519" s="94" t="s">
        <v>1649</v>
      </c>
      <c r="G519" s="278" t="s">
        <v>1657</v>
      </c>
    </row>
    <row r="520" spans="1:7" x14ac:dyDescent="0.2">
      <c r="A520" s="46" t="s">
        <v>2548</v>
      </c>
      <c r="B520" s="47" t="s">
        <v>2549</v>
      </c>
      <c r="C520" s="48">
        <v>14549</v>
      </c>
      <c r="D520" s="94" t="s">
        <v>1658</v>
      </c>
      <c r="E520" s="91">
        <v>1.3</v>
      </c>
      <c r="F520" s="94" t="s">
        <v>1649</v>
      </c>
      <c r="G520" s="278" t="s">
        <v>1659</v>
      </c>
    </row>
    <row r="521" spans="1:7" x14ac:dyDescent="0.2">
      <c r="A521" s="46" t="s">
        <v>2550</v>
      </c>
      <c r="B521" s="47" t="s">
        <v>2551</v>
      </c>
      <c r="C521" s="48">
        <v>23498</v>
      </c>
      <c r="D521" s="94" t="s">
        <v>1660</v>
      </c>
      <c r="E521" s="91">
        <v>2.35</v>
      </c>
      <c r="F521" s="94" t="s">
        <v>1649</v>
      </c>
      <c r="G521" s="278" t="s">
        <v>1661</v>
      </c>
    </row>
    <row r="522" spans="1:7" x14ac:dyDescent="0.2">
      <c r="A522" s="46" t="s">
        <v>1662</v>
      </c>
      <c r="B522" s="47" t="s">
        <v>1663</v>
      </c>
      <c r="C522" s="48">
        <v>11522</v>
      </c>
      <c r="D522" s="94" t="s">
        <v>1664</v>
      </c>
      <c r="E522" s="91">
        <v>0.71</v>
      </c>
      <c r="F522" s="94" t="s">
        <v>1649</v>
      </c>
      <c r="G522" s="278" t="s">
        <v>1665</v>
      </c>
    </row>
    <row r="523" spans="1:7" x14ac:dyDescent="0.2">
      <c r="A523" s="46" t="s">
        <v>1666</v>
      </c>
      <c r="B523" s="47" t="s">
        <v>1667</v>
      </c>
      <c r="C523" s="48">
        <v>13883</v>
      </c>
      <c r="D523" s="94" t="s">
        <v>1664</v>
      </c>
      <c r="E523" s="91">
        <v>0.72</v>
      </c>
      <c r="F523" s="94" t="s">
        <v>1649</v>
      </c>
      <c r="G523" s="278" t="s">
        <v>1668</v>
      </c>
    </row>
    <row r="524" spans="1:7" s="45" customFormat="1" ht="15" x14ac:dyDescent="0.25">
      <c r="A524" s="275"/>
      <c r="B524" s="275" t="s">
        <v>2748</v>
      </c>
      <c r="C524" s="275"/>
      <c r="D524" s="276"/>
      <c r="E524" s="275"/>
      <c r="F524" s="275"/>
      <c r="G524" s="275"/>
    </row>
    <row r="525" spans="1:7" s="356" customFormat="1" ht="15" x14ac:dyDescent="0.2">
      <c r="A525" s="46" t="s">
        <v>2760</v>
      </c>
      <c r="B525" s="47" t="s">
        <v>2754</v>
      </c>
      <c r="C525" s="313">
        <v>36156</v>
      </c>
      <c r="D525" s="94"/>
      <c r="E525" s="355"/>
      <c r="F525" s="94" t="s">
        <v>2749</v>
      </c>
      <c r="G525" s="278" t="s">
        <v>2752</v>
      </c>
    </row>
    <row r="526" spans="1:7" s="356" customFormat="1" ht="15" x14ac:dyDescent="0.2">
      <c r="A526" s="46" t="s">
        <v>2761</v>
      </c>
      <c r="B526" s="47" t="s">
        <v>2755</v>
      </c>
      <c r="C526" s="313">
        <v>41961</v>
      </c>
      <c r="D526" s="94"/>
      <c r="E526" s="355"/>
      <c r="F526" s="94" t="s">
        <v>2749</v>
      </c>
      <c r="G526" s="278" t="s">
        <v>2753</v>
      </c>
    </row>
    <row r="527" spans="1:7" s="356" customFormat="1" ht="15" x14ac:dyDescent="0.2">
      <c r="A527" s="46" t="s">
        <v>2762</v>
      </c>
      <c r="B527" s="47" t="s">
        <v>2756</v>
      </c>
      <c r="C527" s="313">
        <v>58374</v>
      </c>
      <c r="D527" s="94"/>
      <c r="E527" s="355"/>
      <c r="F527" s="94" t="s">
        <v>2749</v>
      </c>
      <c r="G527" s="278" t="s">
        <v>2767</v>
      </c>
    </row>
    <row r="528" spans="1:7" s="356" customFormat="1" ht="15" x14ac:dyDescent="0.2">
      <c r="A528" s="46" t="s">
        <v>2763</v>
      </c>
      <c r="B528" s="47" t="s">
        <v>2757</v>
      </c>
      <c r="C528" s="313">
        <v>73911</v>
      </c>
      <c r="D528" s="94"/>
      <c r="E528" s="355"/>
      <c r="F528" s="94" t="s">
        <v>2749</v>
      </c>
      <c r="G528" s="278" t="s">
        <v>2768</v>
      </c>
    </row>
    <row r="529" spans="1:7" s="356" customFormat="1" ht="15" x14ac:dyDescent="0.2">
      <c r="A529" s="46" t="s">
        <v>2764</v>
      </c>
      <c r="B529" s="47" t="s">
        <v>2758</v>
      </c>
      <c r="C529" s="313">
        <v>98592</v>
      </c>
      <c r="D529" s="94"/>
      <c r="E529" s="355"/>
      <c r="F529" s="94" t="s">
        <v>2749</v>
      </c>
      <c r="G529" s="278" t="s">
        <v>2769</v>
      </c>
    </row>
    <row r="530" spans="1:7" s="356" customFormat="1" ht="15" x14ac:dyDescent="0.2">
      <c r="A530" s="46" t="s">
        <v>2765</v>
      </c>
      <c r="B530" s="47" t="s">
        <v>2759</v>
      </c>
      <c r="C530" s="313">
        <v>133299</v>
      </c>
      <c r="D530" s="94"/>
      <c r="E530" s="355"/>
      <c r="F530" s="94" t="s">
        <v>2749</v>
      </c>
      <c r="G530" s="278" t="s">
        <v>2770</v>
      </c>
    </row>
    <row r="531" spans="1:7" s="310" customFormat="1" x14ac:dyDescent="0.2">
      <c r="A531" s="46" t="s">
        <v>2766</v>
      </c>
      <c r="B531" s="47" t="s">
        <v>2750</v>
      </c>
      <c r="C531" s="313">
        <v>49500</v>
      </c>
      <c r="D531" s="94"/>
      <c r="E531" s="91"/>
      <c r="F531" s="94" t="s">
        <v>2749</v>
      </c>
      <c r="G531" s="278" t="s">
        <v>2751</v>
      </c>
    </row>
    <row r="532" spans="1:7" s="45" customFormat="1" ht="15" x14ac:dyDescent="0.25">
      <c r="A532" s="275"/>
      <c r="B532" s="275" t="s">
        <v>1669</v>
      </c>
      <c r="C532" s="275"/>
      <c r="D532" s="276"/>
      <c r="E532" s="275"/>
      <c r="F532" s="275"/>
      <c r="G532" s="275"/>
    </row>
    <row r="533" spans="1:7" x14ac:dyDescent="0.2">
      <c r="A533" s="46" t="s">
        <v>71</v>
      </c>
      <c r="B533" s="47" t="s">
        <v>1670</v>
      </c>
      <c r="C533" s="48">
        <v>8026</v>
      </c>
      <c r="D533" s="94" t="s">
        <v>1671</v>
      </c>
      <c r="E533" s="91">
        <v>2.2000000000000002</v>
      </c>
      <c r="F533" s="92" t="s">
        <v>1672</v>
      </c>
      <c r="G533" s="113" t="s">
        <v>1673</v>
      </c>
    </row>
    <row r="534" spans="1:7" x14ac:dyDescent="0.2">
      <c r="A534" s="46" t="s">
        <v>65</v>
      </c>
      <c r="B534" s="47" t="s">
        <v>1674</v>
      </c>
      <c r="C534" s="48">
        <v>8180</v>
      </c>
      <c r="D534" s="94" t="s">
        <v>1671</v>
      </c>
      <c r="E534" s="91">
        <v>2.4</v>
      </c>
      <c r="F534" s="92" t="s">
        <v>1672</v>
      </c>
      <c r="G534" s="113" t="s">
        <v>1675</v>
      </c>
    </row>
    <row r="535" spans="1:7" x14ac:dyDescent="0.2">
      <c r="A535" s="46" t="s">
        <v>1676</v>
      </c>
      <c r="B535" s="47" t="s">
        <v>1677</v>
      </c>
      <c r="C535" s="48">
        <v>8180</v>
      </c>
      <c r="D535" s="94" t="s">
        <v>1671</v>
      </c>
      <c r="E535" s="91">
        <v>2.4</v>
      </c>
      <c r="F535" s="92" t="s">
        <v>1672</v>
      </c>
      <c r="G535" s="113" t="s">
        <v>1678</v>
      </c>
    </row>
    <row r="536" spans="1:7" x14ac:dyDescent="0.2">
      <c r="A536" s="46" t="s">
        <v>58</v>
      </c>
      <c r="B536" s="47" t="s">
        <v>1679</v>
      </c>
      <c r="C536" s="48">
        <v>11112</v>
      </c>
      <c r="D536" s="94" t="s">
        <v>1680</v>
      </c>
      <c r="E536" s="91">
        <v>3.2</v>
      </c>
      <c r="F536" s="92" t="s">
        <v>1672</v>
      </c>
      <c r="G536" s="113" t="s">
        <v>1681</v>
      </c>
    </row>
    <row r="537" spans="1:7" x14ac:dyDescent="0.2">
      <c r="A537" s="46" t="s">
        <v>53</v>
      </c>
      <c r="B537" s="47" t="s">
        <v>1682</v>
      </c>
      <c r="C537" s="48">
        <v>22335</v>
      </c>
      <c r="D537" s="94" t="s">
        <v>1683</v>
      </c>
      <c r="E537" s="91">
        <v>4.7</v>
      </c>
      <c r="F537" s="92" t="s">
        <v>1672</v>
      </c>
      <c r="G537" s="113" t="s">
        <v>1684</v>
      </c>
    </row>
    <row r="538" spans="1:7" x14ac:dyDescent="0.2">
      <c r="A538" s="46" t="s">
        <v>1685</v>
      </c>
      <c r="B538" s="47" t="s">
        <v>1686</v>
      </c>
      <c r="C538" s="48">
        <v>11112</v>
      </c>
      <c r="D538" s="94" t="s">
        <v>1680</v>
      </c>
      <c r="E538" s="91">
        <v>3.2</v>
      </c>
      <c r="F538" s="92" t="s">
        <v>1672</v>
      </c>
      <c r="G538" s="113" t="s">
        <v>1687</v>
      </c>
    </row>
    <row r="539" spans="1:7" x14ac:dyDescent="0.2">
      <c r="A539" s="46" t="s">
        <v>51</v>
      </c>
      <c r="B539" s="47" t="s">
        <v>1688</v>
      </c>
      <c r="C539" s="48">
        <v>22335</v>
      </c>
      <c r="D539" s="94" t="s">
        <v>1689</v>
      </c>
      <c r="E539" s="91">
        <v>4.8</v>
      </c>
      <c r="F539" s="92" t="s">
        <v>1672</v>
      </c>
      <c r="G539" s="113" t="s">
        <v>1690</v>
      </c>
    </row>
    <row r="540" spans="1:7" x14ac:dyDescent="0.2">
      <c r="A540" s="46" t="s">
        <v>44</v>
      </c>
      <c r="B540" s="47" t="s">
        <v>1691</v>
      </c>
      <c r="C540" s="48">
        <v>22183</v>
      </c>
      <c r="D540" s="94" t="s">
        <v>1692</v>
      </c>
      <c r="E540" s="91">
        <v>5.5</v>
      </c>
      <c r="F540" s="92" t="s">
        <v>1672</v>
      </c>
      <c r="G540" s="113" t="s">
        <v>1693</v>
      </c>
    </row>
    <row r="541" spans="1:7" x14ac:dyDescent="0.2">
      <c r="A541" s="46" t="s">
        <v>38</v>
      </c>
      <c r="B541" s="47" t="s">
        <v>1694</v>
      </c>
      <c r="C541" s="48">
        <v>44365</v>
      </c>
      <c r="D541" s="94" t="s">
        <v>1695</v>
      </c>
      <c r="E541" s="91">
        <v>9.1999999999999993</v>
      </c>
      <c r="F541" s="92" t="s">
        <v>1672</v>
      </c>
      <c r="G541" s="113" t="s">
        <v>1696</v>
      </c>
    </row>
    <row r="542" spans="1:7" x14ac:dyDescent="0.2">
      <c r="A542" s="46" t="s">
        <v>1697</v>
      </c>
      <c r="B542" s="47" t="s">
        <v>1698</v>
      </c>
      <c r="C542" s="48">
        <v>60427</v>
      </c>
      <c r="D542" s="94" t="s">
        <v>1699</v>
      </c>
      <c r="E542" s="91">
        <v>10</v>
      </c>
      <c r="F542" s="92" t="s">
        <v>1672</v>
      </c>
      <c r="G542" s="113" t="s">
        <v>1700</v>
      </c>
    </row>
    <row r="543" spans="1:7" x14ac:dyDescent="0.2">
      <c r="A543" s="46" t="s">
        <v>32</v>
      </c>
      <c r="B543" s="47" t="s">
        <v>1701</v>
      </c>
      <c r="C543" s="48">
        <v>48495</v>
      </c>
      <c r="D543" s="94" t="s">
        <v>1702</v>
      </c>
      <c r="E543" s="91">
        <v>20</v>
      </c>
      <c r="F543" s="92" t="s">
        <v>1672</v>
      </c>
      <c r="G543" s="113" t="s">
        <v>1703</v>
      </c>
    </row>
    <row r="544" spans="1:7" x14ac:dyDescent="0.2">
      <c r="A544" s="46" t="s">
        <v>20</v>
      </c>
      <c r="B544" s="47" t="s">
        <v>1704</v>
      </c>
      <c r="C544" s="48">
        <v>68076</v>
      </c>
      <c r="D544" s="94" t="s">
        <v>1705</v>
      </c>
      <c r="E544" s="91">
        <v>22.5</v>
      </c>
      <c r="F544" s="92" t="s">
        <v>1672</v>
      </c>
      <c r="G544" s="113" t="s">
        <v>1706</v>
      </c>
    </row>
    <row r="545" spans="1:7" x14ac:dyDescent="0.2">
      <c r="A545" s="46" t="s">
        <v>27</v>
      </c>
      <c r="B545" s="47" t="s">
        <v>1707</v>
      </c>
      <c r="C545" s="48">
        <v>52778</v>
      </c>
      <c r="D545" s="94" t="s">
        <v>1708</v>
      </c>
      <c r="E545" s="91">
        <v>23</v>
      </c>
      <c r="F545" s="92" t="s">
        <v>1672</v>
      </c>
      <c r="G545" s="113" t="s">
        <v>1709</v>
      </c>
    </row>
    <row r="546" spans="1:7" x14ac:dyDescent="0.2">
      <c r="A546" s="46" t="s">
        <v>1710</v>
      </c>
      <c r="B546" s="47" t="s">
        <v>1711</v>
      </c>
      <c r="C546" s="48">
        <v>58592</v>
      </c>
      <c r="D546" s="94" t="s">
        <v>1708</v>
      </c>
      <c r="E546" s="91">
        <v>19</v>
      </c>
      <c r="F546" s="92" t="s">
        <v>1672</v>
      </c>
      <c r="G546" s="113" t="s">
        <v>1712</v>
      </c>
    </row>
    <row r="547" spans="1:7" x14ac:dyDescent="0.2">
      <c r="A547" s="46" t="s">
        <v>16</v>
      </c>
      <c r="B547" s="47" t="s">
        <v>1713</v>
      </c>
      <c r="C547" s="48">
        <v>61192</v>
      </c>
      <c r="D547" s="94" t="s">
        <v>1708</v>
      </c>
      <c r="E547" s="91">
        <v>25</v>
      </c>
      <c r="F547" s="92" t="s">
        <v>1672</v>
      </c>
      <c r="G547" s="113" t="s">
        <v>1714</v>
      </c>
    </row>
    <row r="548" spans="1:7" x14ac:dyDescent="0.2">
      <c r="A548" s="46" t="s">
        <v>11</v>
      </c>
      <c r="B548" s="47" t="s">
        <v>1715</v>
      </c>
      <c r="C548" s="48">
        <v>77255</v>
      </c>
      <c r="D548" s="94" t="s">
        <v>1708</v>
      </c>
      <c r="E548" s="91">
        <v>26</v>
      </c>
      <c r="F548" s="92" t="s">
        <v>1672</v>
      </c>
      <c r="G548" s="113" t="s">
        <v>1716</v>
      </c>
    </row>
    <row r="549" spans="1:7" s="310" customFormat="1" x14ac:dyDescent="0.2">
      <c r="A549" s="46" t="s">
        <v>2734</v>
      </c>
      <c r="B549" s="357" t="str">
        <f>"Насос "  &amp; A549</f>
        <v>Насос GHN Basic  65-190 F</v>
      </c>
      <c r="C549" s="313">
        <v>106335</v>
      </c>
      <c r="D549" s="94"/>
      <c r="E549" s="91"/>
      <c r="F549" s="92"/>
      <c r="G549" s="113"/>
    </row>
    <row r="550" spans="1:7" s="310" customFormat="1" x14ac:dyDescent="0.2">
      <c r="A550" s="46" t="s">
        <v>2746</v>
      </c>
      <c r="B550" s="357" t="str">
        <f>"Насос "  &amp; A550</f>
        <v>Насос GHN Basic  80-190 F</v>
      </c>
      <c r="C550" s="313">
        <v>123687</v>
      </c>
      <c r="D550" s="94"/>
      <c r="E550" s="91"/>
      <c r="F550" s="92"/>
      <c r="G550" s="113"/>
    </row>
    <row r="551" spans="1:7" s="310" customFormat="1" x14ac:dyDescent="0.2">
      <c r="A551" s="46" t="s">
        <v>2745</v>
      </c>
      <c r="B551" s="357" t="str">
        <f>"Насос "  &amp; A551</f>
        <v xml:space="preserve">Насос GHN Basic  100-190  F </v>
      </c>
      <c r="C551" s="313">
        <v>125466</v>
      </c>
      <c r="D551" s="94"/>
      <c r="E551" s="91"/>
      <c r="F551" s="92"/>
      <c r="G551" s="113"/>
    </row>
    <row r="552" spans="1:7" x14ac:dyDescent="0.2">
      <c r="A552" s="46" t="s">
        <v>1717</v>
      </c>
      <c r="B552" s="47" t="s">
        <v>1718</v>
      </c>
      <c r="C552" s="48">
        <v>649</v>
      </c>
      <c r="D552" s="94" t="s">
        <v>1719</v>
      </c>
      <c r="E552" s="91">
        <v>0.18</v>
      </c>
      <c r="F552" s="92" t="s">
        <v>1672</v>
      </c>
      <c r="G552" s="113" t="s">
        <v>1720</v>
      </c>
    </row>
    <row r="553" spans="1:7" x14ac:dyDescent="0.2">
      <c r="A553" s="46" t="s">
        <v>1721</v>
      </c>
      <c r="B553" s="47" t="s">
        <v>1722</v>
      </c>
      <c r="C553" s="48">
        <v>726</v>
      </c>
      <c r="D553" s="94" t="s">
        <v>1723</v>
      </c>
      <c r="E553" s="91">
        <v>0.26</v>
      </c>
      <c r="F553" s="92" t="s">
        <v>1672</v>
      </c>
      <c r="G553" s="113" t="s">
        <v>1720</v>
      </c>
    </row>
    <row r="554" spans="1:7" x14ac:dyDescent="0.2">
      <c r="A554" s="46" t="s">
        <v>1724</v>
      </c>
      <c r="B554" s="47" t="s">
        <v>1725</v>
      </c>
      <c r="C554" s="48">
        <v>803</v>
      </c>
      <c r="D554" s="94" t="s">
        <v>1723</v>
      </c>
      <c r="E554" s="91">
        <v>0.26</v>
      </c>
      <c r="F554" s="92" t="s">
        <v>1672</v>
      </c>
      <c r="G554" s="113" t="s">
        <v>1720</v>
      </c>
    </row>
    <row r="555" spans="1:7" s="45" customFormat="1" ht="15" x14ac:dyDescent="0.25">
      <c r="A555" s="275"/>
      <c r="B555" s="275" t="s">
        <v>1726</v>
      </c>
      <c r="C555" s="275"/>
      <c r="D555" s="276"/>
      <c r="E555" s="275"/>
      <c r="F555" s="275"/>
      <c r="G555" s="275"/>
    </row>
    <row r="556" spans="1:7" x14ac:dyDescent="0.2">
      <c r="A556" s="46" t="s">
        <v>1727</v>
      </c>
      <c r="B556" s="47" t="s">
        <v>1728</v>
      </c>
      <c r="C556" s="48">
        <v>30640</v>
      </c>
      <c r="D556" s="94"/>
      <c r="E556" s="91">
        <v>4.8</v>
      </c>
      <c r="F556" s="92" t="s">
        <v>180</v>
      </c>
      <c r="G556" s="113" t="s">
        <v>1729</v>
      </c>
    </row>
    <row r="557" spans="1:7" x14ac:dyDescent="0.2">
      <c r="A557" s="46" t="s">
        <v>1730</v>
      </c>
      <c r="B557" s="47" t="s">
        <v>1731</v>
      </c>
      <c r="C557" s="48">
        <v>30640</v>
      </c>
      <c r="D557" s="94"/>
      <c r="E557" s="91">
        <v>4.8</v>
      </c>
      <c r="F557" s="92" t="s">
        <v>180</v>
      </c>
      <c r="G557" s="113" t="s">
        <v>1732</v>
      </c>
    </row>
    <row r="558" spans="1:7" x14ac:dyDescent="0.2">
      <c r="A558" s="46" t="s">
        <v>1733</v>
      </c>
      <c r="B558" s="47" t="s">
        <v>1734</v>
      </c>
      <c r="C558" s="48">
        <v>33307</v>
      </c>
      <c r="D558" s="94"/>
      <c r="E558" s="91">
        <v>4.8</v>
      </c>
      <c r="F558" s="92" t="s">
        <v>180</v>
      </c>
      <c r="G558" s="113" t="s">
        <v>1735</v>
      </c>
    </row>
    <row r="559" spans="1:7" x14ac:dyDescent="0.2">
      <c r="A559" s="46" t="s">
        <v>1736</v>
      </c>
      <c r="B559" s="47" t="s">
        <v>1737</v>
      </c>
      <c r="C559" s="48">
        <v>34228</v>
      </c>
      <c r="D559" s="94"/>
      <c r="E559" s="91">
        <v>5.6</v>
      </c>
      <c r="F559" s="92" t="s">
        <v>180</v>
      </c>
      <c r="G559" s="113" t="s">
        <v>1738</v>
      </c>
    </row>
    <row r="560" spans="1:7" x14ac:dyDescent="0.2">
      <c r="A560" s="46" t="s">
        <v>1739</v>
      </c>
      <c r="B560" s="47" t="s">
        <v>1740</v>
      </c>
      <c r="C560" s="48">
        <v>37311</v>
      </c>
      <c r="D560" s="94"/>
      <c r="E560" s="91">
        <v>6.1</v>
      </c>
      <c r="F560" s="92" t="s">
        <v>180</v>
      </c>
      <c r="G560" s="113" t="s">
        <v>1741</v>
      </c>
    </row>
    <row r="561" spans="1:7" x14ac:dyDescent="0.2">
      <c r="A561" s="46" t="s">
        <v>1742</v>
      </c>
      <c r="B561" s="47" t="s">
        <v>1743</v>
      </c>
      <c r="C561" s="48">
        <v>41379</v>
      </c>
      <c r="D561" s="94"/>
      <c r="E561" s="91">
        <v>6.4</v>
      </c>
      <c r="F561" s="92" t="s">
        <v>180</v>
      </c>
      <c r="G561" s="113" t="s">
        <v>1744</v>
      </c>
    </row>
    <row r="562" spans="1:7" x14ac:dyDescent="0.2">
      <c r="A562" s="46" t="s">
        <v>1745</v>
      </c>
      <c r="B562" s="47" t="s">
        <v>1746</v>
      </c>
      <c r="C562" s="48">
        <v>52713</v>
      </c>
      <c r="D562" s="94"/>
      <c r="E562" s="91">
        <v>8.3000000000000007</v>
      </c>
      <c r="F562" s="92" t="s">
        <v>180</v>
      </c>
      <c r="G562" s="113" t="s">
        <v>1747</v>
      </c>
    </row>
    <row r="563" spans="1:7" x14ac:dyDescent="0.2">
      <c r="A563" s="46" t="s">
        <v>1748</v>
      </c>
      <c r="B563" s="47" t="s">
        <v>1749</v>
      </c>
      <c r="C563" s="48">
        <v>60806</v>
      </c>
      <c r="D563" s="94"/>
      <c r="E563" s="91">
        <v>10.6</v>
      </c>
      <c r="F563" s="92" t="s">
        <v>180</v>
      </c>
      <c r="G563" s="113" t="s">
        <v>1750</v>
      </c>
    </row>
    <row r="564" spans="1:7" x14ac:dyDescent="0.2">
      <c r="A564" s="46"/>
      <c r="B564" s="47"/>
      <c r="C564" s="48"/>
      <c r="D564" s="94"/>
      <c r="E564" s="91"/>
      <c r="F564" s="92"/>
      <c r="G564" s="113"/>
    </row>
    <row r="565" spans="1:7" x14ac:dyDescent="0.2">
      <c r="A565" s="46" t="s">
        <v>1751</v>
      </c>
      <c r="B565" s="47" t="s">
        <v>1752</v>
      </c>
      <c r="C565" s="48">
        <v>22661</v>
      </c>
      <c r="D565" s="94"/>
      <c r="E565" s="91"/>
      <c r="F565" s="92" t="s">
        <v>180</v>
      </c>
      <c r="G565" s="113" t="s">
        <v>2578</v>
      </c>
    </row>
    <row r="566" spans="1:7" x14ac:dyDescent="0.2">
      <c r="A566" s="46" t="s">
        <v>1753</v>
      </c>
      <c r="B566" s="47" t="s">
        <v>1754</v>
      </c>
      <c r="C566" s="48">
        <v>22661</v>
      </c>
      <c r="D566" s="94"/>
      <c r="E566" s="91"/>
      <c r="F566" s="92" t="s">
        <v>180</v>
      </c>
      <c r="G566" s="113" t="s">
        <v>2579</v>
      </c>
    </row>
    <row r="567" spans="1:7" x14ac:dyDescent="0.2">
      <c r="A567" s="46" t="s">
        <v>1755</v>
      </c>
      <c r="B567" s="47" t="s">
        <v>1756</v>
      </c>
      <c r="C567" s="48">
        <v>24848</v>
      </c>
      <c r="D567" s="94"/>
      <c r="E567" s="91"/>
      <c r="F567" s="92" t="s">
        <v>180</v>
      </c>
      <c r="G567" s="113" t="s">
        <v>2580</v>
      </c>
    </row>
    <row r="568" spans="1:7" x14ac:dyDescent="0.2">
      <c r="A568" s="46" t="s">
        <v>1757</v>
      </c>
      <c r="B568" s="47" t="s">
        <v>1758</v>
      </c>
      <c r="C568" s="48">
        <v>30932</v>
      </c>
      <c r="D568" s="94"/>
      <c r="E568" s="91"/>
      <c r="F568" s="92" t="s">
        <v>180</v>
      </c>
      <c r="G568" s="113" t="s">
        <v>2581</v>
      </c>
    </row>
    <row r="569" spans="1:7" x14ac:dyDescent="0.2">
      <c r="A569" s="46" t="s">
        <v>1759</v>
      </c>
      <c r="B569" s="47" t="s">
        <v>1760</v>
      </c>
      <c r="C569" s="48">
        <v>38092</v>
      </c>
      <c r="D569" s="94"/>
      <c r="E569" s="91"/>
      <c r="F569" s="92" t="s">
        <v>180</v>
      </c>
      <c r="G569" s="113" t="s">
        <v>2582</v>
      </c>
    </row>
    <row r="570" spans="1:7" x14ac:dyDescent="0.2">
      <c r="A570" s="46" t="s">
        <v>1761</v>
      </c>
      <c r="B570" s="47" t="s">
        <v>1762</v>
      </c>
      <c r="C570" s="48">
        <v>48007</v>
      </c>
      <c r="D570" s="94"/>
      <c r="E570" s="91"/>
      <c r="F570" s="92" t="s">
        <v>180</v>
      </c>
      <c r="G570" s="113" t="s">
        <v>2583</v>
      </c>
    </row>
    <row r="571" spans="1:7" x14ac:dyDescent="0.2">
      <c r="A571" s="46" t="s">
        <v>1763</v>
      </c>
      <c r="B571" s="47" t="s">
        <v>1764</v>
      </c>
      <c r="C571" s="48">
        <v>67815</v>
      </c>
      <c r="D571" s="94"/>
      <c r="E571" s="91"/>
      <c r="F571" s="92" t="s">
        <v>180</v>
      </c>
      <c r="G571" s="113" t="s">
        <v>2584</v>
      </c>
    </row>
    <row r="572" spans="1:7" x14ac:dyDescent="0.2">
      <c r="A572" s="46" t="s">
        <v>1765</v>
      </c>
      <c r="B572" s="47" t="s">
        <v>1766</v>
      </c>
      <c r="C572" s="48">
        <v>60198</v>
      </c>
      <c r="D572" s="94"/>
      <c r="E572" s="91"/>
      <c r="F572" s="92" t="s">
        <v>180</v>
      </c>
      <c r="G572" s="113" t="s">
        <v>1767</v>
      </c>
    </row>
    <row r="573" spans="1:7" x14ac:dyDescent="0.2">
      <c r="A573" s="46"/>
      <c r="B573" s="47"/>
      <c r="C573" s="48"/>
      <c r="D573" s="94"/>
      <c r="E573" s="91"/>
      <c r="F573" s="92"/>
      <c r="G573" s="113"/>
    </row>
    <row r="574" spans="1:7" x14ac:dyDescent="0.2">
      <c r="A574" s="46" t="s">
        <v>128</v>
      </c>
      <c r="B574" s="47" t="s">
        <v>1768</v>
      </c>
      <c r="C574" s="48">
        <v>38263</v>
      </c>
      <c r="D574" s="94"/>
      <c r="E574" s="91"/>
      <c r="F574" s="92" t="s">
        <v>180</v>
      </c>
      <c r="G574" s="113" t="s">
        <v>2585</v>
      </c>
    </row>
    <row r="575" spans="1:7" x14ac:dyDescent="0.2">
      <c r="A575" s="46" t="s">
        <v>126</v>
      </c>
      <c r="B575" s="47" t="s">
        <v>1769</v>
      </c>
      <c r="C575" s="48">
        <v>38263</v>
      </c>
      <c r="D575" s="94"/>
      <c r="E575" s="91"/>
      <c r="F575" s="92" t="s">
        <v>180</v>
      </c>
      <c r="G575" s="113" t="s">
        <v>2586</v>
      </c>
    </row>
    <row r="576" spans="1:7" x14ac:dyDescent="0.2">
      <c r="A576" s="46" t="s">
        <v>124</v>
      </c>
      <c r="B576" s="47" t="s">
        <v>1770</v>
      </c>
      <c r="C576" s="48">
        <v>38472</v>
      </c>
      <c r="D576" s="94"/>
      <c r="E576" s="91"/>
      <c r="F576" s="92" t="s">
        <v>180</v>
      </c>
      <c r="G576" s="113" t="s">
        <v>2587</v>
      </c>
    </row>
    <row r="577" spans="1:7" x14ac:dyDescent="0.2">
      <c r="A577" s="46" t="s">
        <v>122</v>
      </c>
      <c r="B577" s="47" t="s">
        <v>1771</v>
      </c>
      <c r="C577" s="48">
        <v>38455</v>
      </c>
      <c r="D577" s="94"/>
      <c r="E577" s="91"/>
      <c r="F577" s="92" t="s">
        <v>180</v>
      </c>
      <c r="G577" s="113" t="s">
        <v>2588</v>
      </c>
    </row>
    <row r="578" spans="1:7" x14ac:dyDescent="0.2">
      <c r="A578" s="46" t="s">
        <v>120</v>
      </c>
      <c r="B578" s="47" t="s">
        <v>1772</v>
      </c>
      <c r="C578" s="48">
        <v>38455</v>
      </c>
      <c r="D578" s="94"/>
      <c r="E578" s="91"/>
      <c r="F578" s="92" t="s">
        <v>180</v>
      </c>
      <c r="G578" s="113" t="s">
        <v>2589</v>
      </c>
    </row>
    <row r="579" spans="1:7" x14ac:dyDescent="0.2">
      <c r="A579" s="46" t="s">
        <v>118</v>
      </c>
      <c r="B579" s="47" t="s">
        <v>1773</v>
      </c>
      <c r="C579" s="48">
        <v>38655</v>
      </c>
      <c r="D579" s="94"/>
      <c r="E579" s="91"/>
      <c r="F579" s="92" t="s">
        <v>180</v>
      </c>
      <c r="G579" s="113" t="s">
        <v>2590</v>
      </c>
    </row>
    <row r="580" spans="1:7" x14ac:dyDescent="0.2">
      <c r="A580" s="46" t="s">
        <v>116</v>
      </c>
      <c r="B580" s="47" t="s">
        <v>1774</v>
      </c>
      <c r="C580" s="48">
        <v>47895</v>
      </c>
      <c r="D580" s="94"/>
      <c r="E580" s="91"/>
      <c r="F580" s="92" t="s">
        <v>180</v>
      </c>
      <c r="G580" s="113" t="s">
        <v>2591</v>
      </c>
    </row>
    <row r="581" spans="1:7" x14ac:dyDescent="0.2">
      <c r="A581" s="46" t="s">
        <v>114</v>
      </c>
      <c r="B581" s="47" t="s">
        <v>1775</v>
      </c>
      <c r="C581" s="48">
        <v>50927</v>
      </c>
      <c r="D581" s="94"/>
      <c r="E581" s="91"/>
      <c r="F581" s="92" t="s">
        <v>180</v>
      </c>
      <c r="G581" s="113" t="s">
        <v>2592</v>
      </c>
    </row>
    <row r="582" spans="1:7" x14ac:dyDescent="0.2">
      <c r="A582" s="46" t="s">
        <v>112</v>
      </c>
      <c r="B582" s="47" t="s">
        <v>1776</v>
      </c>
      <c r="C582" s="48">
        <v>54842</v>
      </c>
      <c r="D582" s="94"/>
      <c r="E582" s="91"/>
      <c r="F582" s="92" t="s">
        <v>180</v>
      </c>
      <c r="G582" s="113" t="s">
        <v>2593</v>
      </c>
    </row>
    <row r="583" spans="1:7" x14ac:dyDescent="0.2">
      <c r="A583" s="46" t="s">
        <v>110</v>
      </c>
      <c r="B583" s="47" t="s">
        <v>1777</v>
      </c>
      <c r="C583" s="48">
        <v>61391</v>
      </c>
      <c r="D583" s="94"/>
      <c r="E583" s="91"/>
      <c r="F583" s="92" t="s">
        <v>180</v>
      </c>
      <c r="G583" s="113" t="s">
        <v>2594</v>
      </c>
    </row>
    <row r="584" spans="1:7" x14ac:dyDescent="0.2">
      <c r="A584" s="46" t="s">
        <v>108</v>
      </c>
      <c r="B584" s="47" t="s">
        <v>1778</v>
      </c>
      <c r="C584" s="48">
        <v>64422</v>
      </c>
      <c r="D584" s="94"/>
      <c r="E584" s="91"/>
      <c r="F584" s="92" t="s">
        <v>180</v>
      </c>
      <c r="G584" s="113" t="s">
        <v>2595</v>
      </c>
    </row>
    <row r="585" spans="1:7" x14ac:dyDescent="0.2">
      <c r="A585" s="46" t="s">
        <v>106</v>
      </c>
      <c r="B585" s="47" t="s">
        <v>1779</v>
      </c>
      <c r="C585" s="48">
        <v>77266</v>
      </c>
      <c r="D585" s="94"/>
      <c r="E585" s="91"/>
      <c r="F585" s="92" t="s">
        <v>180</v>
      </c>
      <c r="G585" s="113" t="s">
        <v>2596</v>
      </c>
    </row>
    <row r="586" spans="1:7" x14ac:dyDescent="0.2">
      <c r="A586" s="46" t="s">
        <v>104</v>
      </c>
      <c r="B586" s="47" t="s">
        <v>1780</v>
      </c>
      <c r="C586" s="48">
        <v>74902</v>
      </c>
      <c r="D586" s="94"/>
      <c r="E586" s="91"/>
      <c r="F586" s="92" t="s">
        <v>180</v>
      </c>
      <c r="G586" s="113" t="s">
        <v>2597</v>
      </c>
    </row>
    <row r="587" spans="1:7" x14ac:dyDescent="0.2">
      <c r="A587" s="46" t="s">
        <v>102</v>
      </c>
      <c r="B587" s="47" t="s">
        <v>1781</v>
      </c>
      <c r="C587" s="48">
        <v>77073</v>
      </c>
      <c r="D587" s="94"/>
      <c r="E587" s="91"/>
      <c r="F587" s="92" t="s">
        <v>180</v>
      </c>
      <c r="G587" s="113" t="s">
        <v>2598</v>
      </c>
    </row>
    <row r="588" spans="1:7" x14ac:dyDescent="0.2">
      <c r="A588" s="46" t="s">
        <v>100</v>
      </c>
      <c r="B588" s="47" t="s">
        <v>1782</v>
      </c>
      <c r="C588" s="48">
        <v>86049</v>
      </c>
      <c r="D588" s="94"/>
      <c r="E588" s="91"/>
      <c r="F588" s="92" t="s">
        <v>180</v>
      </c>
      <c r="G588" s="113" t="s">
        <v>2599</v>
      </c>
    </row>
    <row r="589" spans="1:7" x14ac:dyDescent="0.2">
      <c r="A589" s="46" t="s">
        <v>98</v>
      </c>
      <c r="B589" s="47" t="s">
        <v>1783</v>
      </c>
      <c r="C589" s="48">
        <v>105028</v>
      </c>
      <c r="D589" s="94"/>
      <c r="E589" s="91"/>
      <c r="F589" s="92" t="s">
        <v>180</v>
      </c>
      <c r="G589" s="113" t="s">
        <v>2600</v>
      </c>
    </row>
    <row r="590" spans="1:7" x14ac:dyDescent="0.2">
      <c r="A590" s="46" t="s">
        <v>96</v>
      </c>
      <c r="B590" s="47" t="s">
        <v>1784</v>
      </c>
      <c r="C590" s="48">
        <v>114005</v>
      </c>
      <c r="D590" s="94"/>
      <c r="E590" s="91"/>
      <c r="F590" s="92" t="s">
        <v>180</v>
      </c>
      <c r="G590" s="113" t="s">
        <v>2601</v>
      </c>
    </row>
    <row r="591" spans="1:7" x14ac:dyDescent="0.2">
      <c r="A591" s="46" t="s">
        <v>94</v>
      </c>
      <c r="B591" s="47" t="s">
        <v>1785</v>
      </c>
      <c r="C591" s="48">
        <v>135731</v>
      </c>
      <c r="D591" s="94"/>
      <c r="E591" s="91"/>
      <c r="F591" s="92" t="s">
        <v>180</v>
      </c>
      <c r="G591" s="113" t="s">
        <v>2602</v>
      </c>
    </row>
    <row r="592" spans="1:7" x14ac:dyDescent="0.2">
      <c r="A592" s="46" t="s">
        <v>92</v>
      </c>
      <c r="B592" s="47" t="s">
        <v>1786</v>
      </c>
      <c r="C592" s="48">
        <v>135602</v>
      </c>
      <c r="D592" s="94"/>
      <c r="E592" s="91"/>
      <c r="F592" s="92" t="s">
        <v>180</v>
      </c>
      <c r="G592" s="113" t="s">
        <v>2603</v>
      </c>
    </row>
    <row r="593" spans="1:7" x14ac:dyDescent="0.2">
      <c r="A593" s="46" t="s">
        <v>90</v>
      </c>
      <c r="B593" s="47" t="s">
        <v>1787</v>
      </c>
      <c r="C593" s="48">
        <v>167849</v>
      </c>
      <c r="D593" s="94"/>
      <c r="E593" s="91"/>
      <c r="F593" s="92" t="s">
        <v>180</v>
      </c>
      <c r="G593" s="113" t="s">
        <v>2604</v>
      </c>
    </row>
    <row r="594" spans="1:7" x14ac:dyDescent="0.2">
      <c r="A594" s="46" t="s">
        <v>88</v>
      </c>
      <c r="B594" s="47" t="s">
        <v>1788</v>
      </c>
      <c r="C594" s="48">
        <v>157903</v>
      </c>
      <c r="D594" s="94"/>
      <c r="E594" s="91"/>
      <c r="F594" s="92" t="s">
        <v>180</v>
      </c>
      <c r="G594" s="113" t="s">
        <v>2605</v>
      </c>
    </row>
    <row r="595" spans="1:7" x14ac:dyDescent="0.2">
      <c r="A595" s="46" t="s">
        <v>86</v>
      </c>
      <c r="B595" s="47" t="s">
        <v>1789</v>
      </c>
      <c r="C595" s="48">
        <v>157775</v>
      </c>
      <c r="D595" s="94"/>
      <c r="E595" s="91"/>
      <c r="F595" s="92" t="s">
        <v>180</v>
      </c>
      <c r="G595" s="113" t="s">
        <v>2606</v>
      </c>
    </row>
    <row r="596" spans="1:7" x14ac:dyDescent="0.2">
      <c r="A596" s="46" t="s">
        <v>84</v>
      </c>
      <c r="B596" s="47" t="s">
        <v>1790</v>
      </c>
      <c r="C596" s="48">
        <v>171025</v>
      </c>
      <c r="D596" s="94"/>
      <c r="E596" s="91"/>
      <c r="F596" s="92" t="s">
        <v>180</v>
      </c>
      <c r="G596" s="113" t="s">
        <v>2607</v>
      </c>
    </row>
    <row r="597" spans="1:7" x14ac:dyDescent="0.2">
      <c r="A597" s="46" t="s">
        <v>82</v>
      </c>
      <c r="B597" s="47" t="s">
        <v>1791</v>
      </c>
      <c r="C597" s="48">
        <v>182308</v>
      </c>
      <c r="D597" s="94"/>
      <c r="E597" s="91"/>
      <c r="F597" s="92" t="s">
        <v>180</v>
      </c>
      <c r="G597" s="113" t="s">
        <v>2608</v>
      </c>
    </row>
    <row r="598" spans="1:7" x14ac:dyDescent="0.2">
      <c r="A598" s="46" t="s">
        <v>2552</v>
      </c>
      <c r="B598" s="47" t="s">
        <v>2553</v>
      </c>
      <c r="C598" s="48">
        <v>177335</v>
      </c>
      <c r="D598" s="94"/>
      <c r="E598" s="91"/>
      <c r="F598" s="92" t="s">
        <v>180</v>
      </c>
      <c r="G598" s="113" t="s">
        <v>1792</v>
      </c>
    </row>
    <row r="599" spans="1:7" x14ac:dyDescent="0.2">
      <c r="A599" s="46" t="s">
        <v>79</v>
      </c>
      <c r="B599" s="47" t="s">
        <v>1793</v>
      </c>
      <c r="C599" s="48">
        <v>199660</v>
      </c>
      <c r="D599" s="94"/>
      <c r="E599" s="91"/>
      <c r="F599" s="92" t="s">
        <v>180</v>
      </c>
      <c r="G599" s="113" t="s">
        <v>2609</v>
      </c>
    </row>
    <row r="600" spans="1:7" x14ac:dyDescent="0.2">
      <c r="A600" s="46"/>
      <c r="B600" s="47"/>
      <c r="C600" s="48"/>
      <c r="D600" s="94"/>
      <c r="E600" s="91"/>
      <c r="F600" s="92"/>
      <c r="G600" s="113"/>
    </row>
    <row r="601" spans="1:7" x14ac:dyDescent="0.2">
      <c r="A601" s="46" t="s">
        <v>77</v>
      </c>
      <c r="B601" s="47" t="s">
        <v>1794</v>
      </c>
      <c r="C601" s="48">
        <v>59705</v>
      </c>
      <c r="D601" s="94"/>
      <c r="E601" s="91"/>
      <c r="F601" s="92" t="s">
        <v>180</v>
      </c>
      <c r="G601" s="113" t="s">
        <v>2610</v>
      </c>
    </row>
    <row r="602" spans="1:7" x14ac:dyDescent="0.2">
      <c r="A602" s="46" t="s">
        <v>73</v>
      </c>
      <c r="B602" s="47" t="s">
        <v>1795</v>
      </c>
      <c r="C602" s="48">
        <v>59705</v>
      </c>
      <c r="D602" s="94"/>
      <c r="E602" s="91"/>
      <c r="F602" s="92" t="s">
        <v>180</v>
      </c>
      <c r="G602" s="113" t="s">
        <v>2611</v>
      </c>
    </row>
    <row r="603" spans="1:7" x14ac:dyDescent="0.2">
      <c r="A603" s="46" t="s">
        <v>72</v>
      </c>
      <c r="B603" s="47" t="s">
        <v>1796</v>
      </c>
      <c r="C603" s="48">
        <v>59914</v>
      </c>
      <c r="D603" s="94"/>
      <c r="E603" s="91"/>
      <c r="F603" s="92" t="s">
        <v>180</v>
      </c>
      <c r="G603" s="113" t="s">
        <v>2612</v>
      </c>
    </row>
    <row r="604" spans="1:7" x14ac:dyDescent="0.2">
      <c r="A604" s="46" t="s">
        <v>70</v>
      </c>
      <c r="B604" s="47" t="s">
        <v>1797</v>
      </c>
      <c r="C604" s="48">
        <v>60090</v>
      </c>
      <c r="D604" s="94"/>
      <c r="E604" s="91"/>
      <c r="F604" s="92" t="s">
        <v>180</v>
      </c>
      <c r="G604" s="113" t="s">
        <v>2613</v>
      </c>
    </row>
    <row r="605" spans="1:7" x14ac:dyDescent="0.2">
      <c r="A605" s="46" t="s">
        <v>67</v>
      </c>
      <c r="B605" s="47" t="s">
        <v>1798</v>
      </c>
      <c r="C605" s="48">
        <v>60090</v>
      </c>
      <c r="D605" s="94"/>
      <c r="E605" s="91"/>
      <c r="F605" s="92" t="s">
        <v>180</v>
      </c>
      <c r="G605" s="113" t="s">
        <v>2614</v>
      </c>
    </row>
    <row r="606" spans="1:7" x14ac:dyDescent="0.2">
      <c r="A606" s="46" t="s">
        <v>66</v>
      </c>
      <c r="B606" s="47" t="s">
        <v>1799</v>
      </c>
      <c r="C606" s="48">
        <v>60300</v>
      </c>
      <c r="D606" s="94"/>
      <c r="E606" s="91"/>
      <c r="F606" s="92" t="s">
        <v>180</v>
      </c>
      <c r="G606" s="113" t="s">
        <v>2615</v>
      </c>
    </row>
    <row r="607" spans="1:7" x14ac:dyDescent="0.2">
      <c r="A607" s="46" t="s">
        <v>64</v>
      </c>
      <c r="B607" s="47" t="s">
        <v>1800</v>
      </c>
      <c r="C607" s="48">
        <v>78703</v>
      </c>
      <c r="D607" s="94"/>
      <c r="E607" s="91"/>
      <c r="F607" s="92" t="s">
        <v>180</v>
      </c>
      <c r="G607" s="113" t="s">
        <v>2616</v>
      </c>
    </row>
    <row r="608" spans="1:7" x14ac:dyDescent="0.2">
      <c r="A608" s="46" t="s">
        <v>60</v>
      </c>
      <c r="B608" s="47" t="s">
        <v>1801</v>
      </c>
      <c r="C608" s="48">
        <v>85760</v>
      </c>
      <c r="D608" s="94"/>
      <c r="E608" s="91"/>
      <c r="F608" s="92" t="s">
        <v>180</v>
      </c>
      <c r="G608" s="113" t="s">
        <v>2617</v>
      </c>
    </row>
    <row r="609" spans="1:7" x14ac:dyDescent="0.2">
      <c r="A609" s="46" t="s">
        <v>59</v>
      </c>
      <c r="B609" s="47" t="s">
        <v>1802</v>
      </c>
      <c r="C609" s="48">
        <v>85500</v>
      </c>
      <c r="D609" s="94"/>
      <c r="E609" s="91"/>
      <c r="F609" s="92" t="s">
        <v>180</v>
      </c>
      <c r="G609" s="113" t="s">
        <v>2618</v>
      </c>
    </row>
    <row r="610" spans="1:7" x14ac:dyDescent="0.2">
      <c r="A610" s="46" t="s">
        <v>2554</v>
      </c>
      <c r="B610" s="47" t="s">
        <v>2555</v>
      </c>
      <c r="C610" s="48">
        <v>133221</v>
      </c>
      <c r="D610" s="94"/>
      <c r="E610" s="91"/>
      <c r="F610" s="92" t="s">
        <v>180</v>
      </c>
      <c r="G610" s="113" t="s">
        <v>2619</v>
      </c>
    </row>
    <row r="611" spans="1:7" x14ac:dyDescent="0.2">
      <c r="A611" s="46" t="s">
        <v>2556</v>
      </c>
      <c r="B611" s="47" t="s">
        <v>2557</v>
      </c>
      <c r="C611" s="48">
        <v>135392</v>
      </c>
      <c r="D611" s="94"/>
      <c r="E611" s="91"/>
      <c r="F611" s="92" t="s">
        <v>180</v>
      </c>
      <c r="G611" s="113" t="s">
        <v>2620</v>
      </c>
    </row>
    <row r="612" spans="1:7" x14ac:dyDescent="0.2">
      <c r="A612" s="46" t="s">
        <v>2558</v>
      </c>
      <c r="B612" s="47" t="s">
        <v>2559</v>
      </c>
      <c r="C612" s="48">
        <v>144369</v>
      </c>
      <c r="D612" s="94"/>
      <c r="E612" s="91"/>
      <c r="F612" s="92" t="s">
        <v>180</v>
      </c>
      <c r="G612" s="113" t="s">
        <v>2621</v>
      </c>
    </row>
    <row r="613" spans="1:7" x14ac:dyDescent="0.2">
      <c r="A613" s="46" t="s">
        <v>50</v>
      </c>
      <c r="B613" s="47" t="s">
        <v>1803</v>
      </c>
      <c r="C613" s="48">
        <v>131138</v>
      </c>
      <c r="D613" s="94"/>
      <c r="E613" s="91"/>
      <c r="F613" s="92" t="s">
        <v>180</v>
      </c>
      <c r="G613" s="113" t="s">
        <v>2622</v>
      </c>
    </row>
    <row r="614" spans="1:7" x14ac:dyDescent="0.2">
      <c r="A614" s="46" t="s">
        <v>46</v>
      </c>
      <c r="B614" s="47" t="s">
        <v>1804</v>
      </c>
      <c r="C614" s="48">
        <v>133607</v>
      </c>
      <c r="D614" s="94"/>
      <c r="E614" s="91"/>
      <c r="F614" s="92" t="s">
        <v>180</v>
      </c>
      <c r="G614" s="113" t="s">
        <v>2597</v>
      </c>
    </row>
    <row r="615" spans="1:7" x14ac:dyDescent="0.2">
      <c r="A615" s="46" t="s">
        <v>45</v>
      </c>
      <c r="B615" s="47" t="s">
        <v>1805</v>
      </c>
      <c r="C615" s="48">
        <v>135778</v>
      </c>
      <c r="D615" s="94"/>
      <c r="E615" s="91"/>
      <c r="F615" s="92" t="s">
        <v>180</v>
      </c>
      <c r="G615" s="113" t="s">
        <v>2598</v>
      </c>
    </row>
    <row r="616" spans="1:7" x14ac:dyDescent="0.2">
      <c r="A616" s="46" t="s">
        <v>2560</v>
      </c>
      <c r="B616" s="47" t="s">
        <v>2561</v>
      </c>
      <c r="C616" s="48">
        <v>191303</v>
      </c>
      <c r="D616" s="94"/>
      <c r="E616" s="91"/>
      <c r="F616" s="92" t="s">
        <v>180</v>
      </c>
      <c r="G616" s="113" t="s">
        <v>2623</v>
      </c>
    </row>
    <row r="617" spans="1:7" x14ac:dyDescent="0.2">
      <c r="A617" s="46" t="s">
        <v>2562</v>
      </c>
      <c r="B617" s="47" t="s">
        <v>2563</v>
      </c>
      <c r="C617" s="48">
        <v>200280</v>
      </c>
      <c r="D617" s="94"/>
      <c r="E617" s="91"/>
      <c r="F617" s="92" t="s">
        <v>180</v>
      </c>
      <c r="G617" s="113" t="s">
        <v>2624</v>
      </c>
    </row>
    <row r="618" spans="1:7" x14ac:dyDescent="0.2">
      <c r="A618" s="46" t="s">
        <v>2564</v>
      </c>
      <c r="B618" s="47" t="s">
        <v>2565</v>
      </c>
      <c r="C618" s="48">
        <v>247306</v>
      </c>
      <c r="D618" s="94"/>
      <c r="E618" s="91"/>
      <c r="F618" s="92" t="s">
        <v>180</v>
      </c>
      <c r="G618" s="113" t="s">
        <v>2625</v>
      </c>
    </row>
    <row r="619" spans="1:7" x14ac:dyDescent="0.2">
      <c r="A619" s="46" t="s">
        <v>2566</v>
      </c>
      <c r="B619" s="47" t="s">
        <v>2567</v>
      </c>
      <c r="C619" s="48">
        <v>248343</v>
      </c>
      <c r="D619" s="94"/>
      <c r="E619" s="91"/>
      <c r="F619" s="92" t="s">
        <v>180</v>
      </c>
      <c r="G619" s="113" t="s">
        <v>2626</v>
      </c>
    </row>
    <row r="620" spans="1:7" x14ac:dyDescent="0.2">
      <c r="A620" s="46" t="s">
        <v>28</v>
      </c>
      <c r="B620" s="47" t="s">
        <v>1806</v>
      </c>
      <c r="C620" s="48">
        <v>312155</v>
      </c>
      <c r="D620" s="94"/>
      <c r="E620" s="91"/>
      <c r="F620" s="92" t="s">
        <v>180</v>
      </c>
      <c r="G620" s="113" t="s">
        <v>2627</v>
      </c>
    </row>
    <row r="621" spans="1:7" x14ac:dyDescent="0.2">
      <c r="A621" s="46" t="s">
        <v>1807</v>
      </c>
      <c r="B621" s="47" t="s">
        <v>1808</v>
      </c>
      <c r="C621" s="48">
        <v>339046</v>
      </c>
      <c r="D621" s="94"/>
      <c r="E621" s="91"/>
      <c r="F621" s="92" t="s">
        <v>180</v>
      </c>
      <c r="G621" s="113" t="s">
        <v>2628</v>
      </c>
    </row>
    <row r="622" spans="1:7" x14ac:dyDescent="0.2">
      <c r="A622" s="46" t="s">
        <v>2568</v>
      </c>
      <c r="B622" s="47" t="s">
        <v>2569</v>
      </c>
      <c r="C622" s="48">
        <v>290710</v>
      </c>
      <c r="D622" s="94"/>
      <c r="E622" s="91"/>
      <c r="F622" s="92" t="s">
        <v>180</v>
      </c>
      <c r="G622" s="113" t="s">
        <v>2629</v>
      </c>
    </row>
    <row r="623" spans="1:7" x14ac:dyDescent="0.2">
      <c r="A623" s="46" t="s">
        <v>2570</v>
      </c>
      <c r="B623" s="47" t="s">
        <v>2571</v>
      </c>
      <c r="C623" s="48">
        <v>292720</v>
      </c>
      <c r="D623" s="94"/>
      <c r="E623" s="91"/>
      <c r="F623" s="92" t="s">
        <v>180</v>
      </c>
      <c r="G623" s="113" t="s">
        <v>2630</v>
      </c>
    </row>
    <row r="624" spans="1:7" x14ac:dyDescent="0.2">
      <c r="A624" s="46" t="s">
        <v>2572</v>
      </c>
      <c r="B624" s="47" t="s">
        <v>2573</v>
      </c>
      <c r="C624" s="48">
        <v>305767</v>
      </c>
      <c r="D624" s="94"/>
      <c r="E624" s="91"/>
      <c r="F624" s="92" t="s">
        <v>180</v>
      </c>
      <c r="G624" s="113" t="s">
        <v>2631</v>
      </c>
    </row>
    <row r="625" spans="1:7" x14ac:dyDescent="0.2">
      <c r="A625" s="46" t="s">
        <v>17</v>
      </c>
      <c r="B625" s="47" t="s">
        <v>1809</v>
      </c>
      <c r="C625" s="48">
        <v>341734</v>
      </c>
      <c r="D625" s="94"/>
      <c r="E625" s="91"/>
      <c r="F625" s="92" t="s">
        <v>180</v>
      </c>
      <c r="G625" s="113" t="s">
        <v>1810</v>
      </c>
    </row>
    <row r="626" spans="1:7" x14ac:dyDescent="0.2">
      <c r="A626" s="46" t="s">
        <v>2574</v>
      </c>
      <c r="B626" s="47" t="s">
        <v>2575</v>
      </c>
      <c r="C626" s="48">
        <v>336101</v>
      </c>
      <c r="D626" s="94"/>
      <c r="E626" s="91"/>
      <c r="F626" s="92" t="s">
        <v>180</v>
      </c>
      <c r="G626" s="113" t="s">
        <v>2632</v>
      </c>
    </row>
    <row r="627" spans="1:7" x14ac:dyDescent="0.2">
      <c r="A627" s="46" t="s">
        <v>1811</v>
      </c>
      <c r="B627" s="47" t="s">
        <v>1812</v>
      </c>
      <c r="C627" s="48">
        <v>365192</v>
      </c>
      <c r="D627" s="94"/>
      <c r="E627" s="91"/>
      <c r="F627" s="92" t="s">
        <v>180</v>
      </c>
      <c r="G627" s="113" t="s">
        <v>2633</v>
      </c>
    </row>
    <row r="628" spans="1:7" x14ac:dyDescent="0.2">
      <c r="A628" s="46" t="s">
        <v>12</v>
      </c>
      <c r="B628" s="47" t="s">
        <v>1813</v>
      </c>
      <c r="C628" s="48">
        <v>375778</v>
      </c>
      <c r="D628" s="94"/>
      <c r="E628" s="91"/>
      <c r="F628" s="92" t="s">
        <v>180</v>
      </c>
      <c r="G628" s="113" t="s">
        <v>2634</v>
      </c>
    </row>
    <row r="629" spans="1:7" x14ac:dyDescent="0.2">
      <c r="A629" s="46"/>
      <c r="B629" s="47"/>
      <c r="C629" s="48"/>
      <c r="D629" s="94"/>
      <c r="E629" s="91"/>
      <c r="F629" s="92"/>
      <c r="G629" s="113"/>
    </row>
    <row r="630" spans="1:7" x14ac:dyDescent="0.2">
      <c r="A630" s="46"/>
      <c r="B630" s="47" t="s">
        <v>1814</v>
      </c>
      <c r="C630" s="48"/>
      <c r="D630" s="94"/>
      <c r="E630" s="91"/>
      <c r="F630" s="92"/>
      <c r="G630" s="113"/>
    </row>
    <row r="631" spans="1:7" x14ac:dyDescent="0.2">
      <c r="A631" s="46" t="s">
        <v>1815</v>
      </c>
      <c r="B631" s="47" t="s">
        <v>1816</v>
      </c>
      <c r="C631" s="48">
        <v>32261</v>
      </c>
      <c r="D631" s="94"/>
      <c r="E631" s="91"/>
      <c r="F631" s="92" t="s">
        <v>180</v>
      </c>
      <c r="G631" s="113" t="s">
        <v>2585</v>
      </c>
    </row>
    <row r="632" spans="1:7" x14ac:dyDescent="0.2">
      <c r="A632" s="46" t="s">
        <v>1817</v>
      </c>
      <c r="B632" s="47" t="s">
        <v>1818</v>
      </c>
      <c r="C632" s="48">
        <v>32261</v>
      </c>
      <c r="D632" s="94"/>
      <c r="E632" s="91"/>
      <c r="F632" s="92" t="s">
        <v>180</v>
      </c>
      <c r="G632" s="113" t="s">
        <v>2586</v>
      </c>
    </row>
    <row r="633" spans="1:7" x14ac:dyDescent="0.2">
      <c r="A633" s="46" t="s">
        <v>1819</v>
      </c>
      <c r="B633" s="47" t="s">
        <v>1820</v>
      </c>
      <c r="C633" s="48">
        <v>32454</v>
      </c>
      <c r="D633" s="94"/>
      <c r="E633" s="91"/>
      <c r="F633" s="92" t="s">
        <v>180</v>
      </c>
      <c r="G633" s="113" t="s">
        <v>2587</v>
      </c>
    </row>
    <row r="634" spans="1:7" x14ac:dyDescent="0.2">
      <c r="A634" s="46" t="s">
        <v>1821</v>
      </c>
      <c r="B634" s="47" t="s">
        <v>1822</v>
      </c>
      <c r="C634" s="48">
        <v>32439</v>
      </c>
      <c r="D634" s="94"/>
      <c r="E634" s="91"/>
      <c r="F634" s="92" t="s">
        <v>180</v>
      </c>
      <c r="G634" s="113" t="s">
        <v>2588</v>
      </c>
    </row>
    <row r="635" spans="1:7" x14ac:dyDescent="0.2">
      <c r="A635" s="46" t="s">
        <v>1823</v>
      </c>
      <c r="B635" s="47" t="s">
        <v>1824</v>
      </c>
      <c r="C635" s="48">
        <v>32439</v>
      </c>
      <c r="D635" s="94"/>
      <c r="E635" s="91"/>
      <c r="F635" s="92" t="s">
        <v>180</v>
      </c>
      <c r="G635" s="113" t="s">
        <v>2589</v>
      </c>
    </row>
    <row r="636" spans="1:7" x14ac:dyDescent="0.2">
      <c r="A636" s="46" t="s">
        <v>1825</v>
      </c>
      <c r="B636" s="47" t="s">
        <v>1826</v>
      </c>
      <c r="C636" s="48">
        <v>32632</v>
      </c>
      <c r="D636" s="94"/>
      <c r="E636" s="91"/>
      <c r="F636" s="92" t="s">
        <v>180</v>
      </c>
      <c r="G636" s="113" t="s">
        <v>2590</v>
      </c>
    </row>
    <row r="637" spans="1:7" x14ac:dyDescent="0.2">
      <c r="A637" s="46" t="s">
        <v>1827</v>
      </c>
      <c r="B637" s="47" t="s">
        <v>1828</v>
      </c>
      <c r="C637" s="48">
        <v>39060</v>
      </c>
      <c r="D637" s="94"/>
      <c r="E637" s="91"/>
      <c r="F637" s="92" t="s">
        <v>180</v>
      </c>
      <c r="G637" s="113" t="s">
        <v>2591</v>
      </c>
    </row>
    <row r="638" spans="1:7" x14ac:dyDescent="0.2">
      <c r="A638" s="46" t="s">
        <v>1829</v>
      </c>
      <c r="B638" s="47" t="s">
        <v>1830</v>
      </c>
      <c r="C638" s="48">
        <v>41858</v>
      </c>
      <c r="D638" s="94"/>
      <c r="E638" s="91"/>
      <c r="F638" s="92" t="s">
        <v>180</v>
      </c>
      <c r="G638" s="113" t="s">
        <v>2592</v>
      </c>
    </row>
    <row r="639" spans="1:7" x14ac:dyDescent="0.2">
      <c r="A639" s="46" t="s">
        <v>1831</v>
      </c>
      <c r="B639" s="47" t="s">
        <v>1832</v>
      </c>
      <c r="C639" s="48">
        <v>45471</v>
      </c>
      <c r="D639" s="94"/>
      <c r="E639" s="91"/>
      <c r="F639" s="92" t="s">
        <v>180</v>
      </c>
      <c r="G639" s="113" t="s">
        <v>2593</v>
      </c>
    </row>
    <row r="640" spans="1:7" x14ac:dyDescent="0.2">
      <c r="A640" s="46" t="s">
        <v>1833</v>
      </c>
      <c r="B640" s="47" t="s">
        <v>1834</v>
      </c>
      <c r="C640" s="48">
        <v>59712</v>
      </c>
      <c r="D640" s="94"/>
      <c r="E640" s="91"/>
      <c r="F640" s="92" t="s">
        <v>180</v>
      </c>
      <c r="G640" s="113" t="s">
        <v>2598</v>
      </c>
    </row>
    <row r="641" spans="1:7" x14ac:dyDescent="0.2">
      <c r="A641" s="46" t="s">
        <v>1835</v>
      </c>
      <c r="B641" s="47" t="s">
        <v>1836</v>
      </c>
      <c r="C641" s="48">
        <v>51515</v>
      </c>
      <c r="D641" s="94"/>
      <c r="E641" s="91"/>
      <c r="F641" s="92" t="s">
        <v>180</v>
      </c>
      <c r="G641" s="113" t="s">
        <v>2594</v>
      </c>
    </row>
    <row r="642" spans="1:7" x14ac:dyDescent="0.2">
      <c r="A642" s="46" t="s">
        <v>1837</v>
      </c>
      <c r="B642" s="47" t="s">
        <v>1838</v>
      </c>
      <c r="C642" s="48">
        <v>54312</v>
      </c>
      <c r="D642" s="94"/>
      <c r="E642" s="91"/>
      <c r="F642" s="92" t="s">
        <v>180</v>
      </c>
      <c r="G642" s="113" t="s">
        <v>2595</v>
      </c>
    </row>
    <row r="643" spans="1:7" x14ac:dyDescent="0.2">
      <c r="A643" s="46" t="s">
        <v>1839</v>
      </c>
      <c r="B643" s="47" t="s">
        <v>1840</v>
      </c>
      <c r="C643" s="48">
        <v>61893</v>
      </c>
      <c r="D643" s="94"/>
      <c r="E643" s="91"/>
      <c r="F643" s="92" t="s">
        <v>180</v>
      </c>
      <c r="G643" s="113" t="s">
        <v>2596</v>
      </c>
    </row>
    <row r="644" spans="1:7" x14ac:dyDescent="0.2">
      <c r="A644" s="46"/>
      <c r="B644" s="47"/>
      <c r="C644" s="48"/>
      <c r="D644" s="94"/>
      <c r="E644" s="91"/>
      <c r="F644" s="92"/>
      <c r="G644" s="113"/>
    </row>
    <row r="645" spans="1:7" x14ac:dyDescent="0.2">
      <c r="A645" s="289"/>
      <c r="B645" s="289" t="s">
        <v>1841</v>
      </c>
      <c r="C645" s="303"/>
      <c r="D645" s="92"/>
      <c r="E645" s="304"/>
      <c r="F645" s="75"/>
      <c r="G645" s="75"/>
    </row>
    <row r="646" spans="1:7" x14ac:dyDescent="0.2">
      <c r="A646" s="46" t="s">
        <v>1842</v>
      </c>
      <c r="B646" s="47" t="s">
        <v>1843</v>
      </c>
      <c r="C646" s="48">
        <v>33486</v>
      </c>
      <c r="D646" s="94"/>
      <c r="E646" s="91"/>
      <c r="F646" s="92" t="s">
        <v>180</v>
      </c>
      <c r="G646" s="113" t="s">
        <v>2585</v>
      </c>
    </row>
    <row r="647" spans="1:7" x14ac:dyDescent="0.2">
      <c r="A647" s="46" t="s">
        <v>1844</v>
      </c>
      <c r="B647" s="47" t="s">
        <v>1845</v>
      </c>
      <c r="C647" s="48">
        <v>33486</v>
      </c>
      <c r="D647" s="94"/>
      <c r="E647" s="91"/>
      <c r="F647" s="92" t="s">
        <v>180</v>
      </c>
      <c r="G647" s="113" t="s">
        <v>2586</v>
      </c>
    </row>
    <row r="648" spans="1:7" x14ac:dyDescent="0.2">
      <c r="A648" s="46" t="s">
        <v>1846</v>
      </c>
      <c r="B648" s="47" t="s">
        <v>1847</v>
      </c>
      <c r="C648" s="48">
        <v>33679</v>
      </c>
      <c r="D648" s="94"/>
      <c r="E648" s="91"/>
      <c r="F648" s="92" t="s">
        <v>180</v>
      </c>
      <c r="G648" s="113" t="s">
        <v>2587</v>
      </c>
    </row>
    <row r="649" spans="1:7" x14ac:dyDescent="0.2">
      <c r="A649" s="46" t="s">
        <v>1848</v>
      </c>
      <c r="B649" s="47" t="s">
        <v>1849</v>
      </c>
      <c r="C649" s="48">
        <v>33664</v>
      </c>
      <c r="D649" s="94"/>
      <c r="E649" s="91"/>
      <c r="F649" s="92" t="s">
        <v>180</v>
      </c>
      <c r="G649" s="113" t="s">
        <v>2588</v>
      </c>
    </row>
    <row r="650" spans="1:7" x14ac:dyDescent="0.2">
      <c r="A650" s="46" t="s">
        <v>1850</v>
      </c>
      <c r="B650" s="47" t="s">
        <v>1851</v>
      </c>
      <c r="C650" s="48">
        <v>33664</v>
      </c>
      <c r="D650" s="94"/>
      <c r="E650" s="91"/>
      <c r="F650" s="92" t="s">
        <v>180</v>
      </c>
      <c r="G650" s="113" t="s">
        <v>2589</v>
      </c>
    </row>
    <row r="651" spans="1:7" x14ac:dyDescent="0.2">
      <c r="A651" s="46" t="s">
        <v>1852</v>
      </c>
      <c r="B651" s="47" t="s">
        <v>1853</v>
      </c>
      <c r="C651" s="48">
        <v>33857</v>
      </c>
      <c r="D651" s="94"/>
      <c r="E651" s="91"/>
      <c r="F651" s="92" t="s">
        <v>180</v>
      </c>
      <c r="G651" s="113" t="s">
        <v>2590</v>
      </c>
    </row>
    <row r="652" spans="1:7" x14ac:dyDescent="0.2">
      <c r="A652" s="46" t="s">
        <v>1854</v>
      </c>
      <c r="B652" s="47" t="s">
        <v>1855</v>
      </c>
      <c r="C652" s="48">
        <v>40774</v>
      </c>
      <c r="D652" s="94"/>
      <c r="E652" s="91"/>
      <c r="F652" s="92" t="s">
        <v>180</v>
      </c>
      <c r="G652" s="113" t="s">
        <v>2591</v>
      </c>
    </row>
    <row r="653" spans="1:7" x14ac:dyDescent="0.2">
      <c r="A653" s="46" t="s">
        <v>1856</v>
      </c>
      <c r="B653" s="47" t="s">
        <v>1857</v>
      </c>
      <c r="C653" s="48">
        <v>43571</v>
      </c>
      <c r="D653" s="94"/>
      <c r="E653" s="91"/>
      <c r="F653" s="92" t="s">
        <v>180</v>
      </c>
      <c r="G653" s="113" t="s">
        <v>2592</v>
      </c>
    </row>
    <row r="654" spans="1:7" x14ac:dyDescent="0.2">
      <c r="A654" s="46" t="s">
        <v>1858</v>
      </c>
      <c r="B654" s="47" t="s">
        <v>1859</v>
      </c>
      <c r="C654" s="48">
        <v>47185</v>
      </c>
      <c r="D654" s="94"/>
      <c r="E654" s="91"/>
      <c r="F654" s="92" t="s">
        <v>180</v>
      </c>
      <c r="G654" s="113" t="s">
        <v>2593</v>
      </c>
    </row>
    <row r="655" spans="1:7" x14ac:dyDescent="0.2">
      <c r="A655" s="46" t="s">
        <v>1860</v>
      </c>
      <c r="B655" s="47" t="s">
        <v>1861</v>
      </c>
      <c r="C655" s="48">
        <v>53132</v>
      </c>
      <c r="D655" s="94"/>
      <c r="E655" s="91"/>
      <c r="F655" s="92" t="s">
        <v>180</v>
      </c>
      <c r="G655" s="113" t="s">
        <v>2594</v>
      </c>
    </row>
    <row r="656" spans="1:7" x14ac:dyDescent="0.2">
      <c r="A656" s="46" t="s">
        <v>1862</v>
      </c>
      <c r="B656" s="47" t="s">
        <v>1863</v>
      </c>
      <c r="C656" s="48">
        <v>55930</v>
      </c>
      <c r="D656" s="94"/>
      <c r="E656" s="91"/>
      <c r="F656" s="92" t="s">
        <v>180</v>
      </c>
      <c r="G656" s="113" t="s">
        <v>2595</v>
      </c>
    </row>
    <row r="657" spans="1:7" x14ac:dyDescent="0.2">
      <c r="A657" s="46" t="s">
        <v>1864</v>
      </c>
      <c r="B657" s="47" t="s">
        <v>1865</v>
      </c>
      <c r="C657" s="48">
        <v>65052</v>
      </c>
      <c r="D657" s="94"/>
      <c r="E657" s="91"/>
      <c r="F657" s="92" t="s">
        <v>180</v>
      </c>
      <c r="G657" s="113" t="s">
        <v>2596</v>
      </c>
    </row>
    <row r="658" spans="1:7" x14ac:dyDescent="0.2">
      <c r="A658" s="46" t="s">
        <v>1866</v>
      </c>
      <c r="B658" s="47" t="s">
        <v>1867</v>
      </c>
      <c r="C658" s="48">
        <v>62871</v>
      </c>
      <c r="D658" s="94"/>
      <c r="E658" s="91"/>
      <c r="F658" s="92" t="s">
        <v>180</v>
      </c>
      <c r="G658" s="113" t="s">
        <v>2597</v>
      </c>
    </row>
    <row r="659" spans="1:7" x14ac:dyDescent="0.2">
      <c r="A659" s="46" t="s">
        <v>1868</v>
      </c>
      <c r="B659" s="47" t="s">
        <v>1869</v>
      </c>
      <c r="C659" s="48">
        <v>64874</v>
      </c>
      <c r="D659" s="94"/>
      <c r="E659" s="91"/>
      <c r="F659" s="92" t="s">
        <v>180</v>
      </c>
      <c r="G659" s="113" t="s">
        <v>2598</v>
      </c>
    </row>
    <row r="660" spans="1:7" x14ac:dyDescent="0.2">
      <c r="A660" s="46" t="s">
        <v>1870</v>
      </c>
      <c r="B660" s="47" t="s">
        <v>1871</v>
      </c>
      <c r="C660" s="48">
        <v>73158</v>
      </c>
      <c r="D660" s="94"/>
      <c r="E660" s="91"/>
      <c r="F660" s="92" t="s">
        <v>180</v>
      </c>
      <c r="G660" s="113" t="s">
        <v>2599</v>
      </c>
    </row>
    <row r="661" spans="1:7" x14ac:dyDescent="0.2">
      <c r="A661" s="46" t="s">
        <v>1872</v>
      </c>
      <c r="B661" s="47" t="s">
        <v>1873</v>
      </c>
      <c r="C661" s="48">
        <v>90673</v>
      </c>
      <c r="D661" s="94"/>
      <c r="E661" s="91"/>
      <c r="F661" s="92" t="s">
        <v>180</v>
      </c>
      <c r="G661" s="113" t="s">
        <v>2600</v>
      </c>
    </row>
    <row r="662" spans="1:7" x14ac:dyDescent="0.2">
      <c r="A662" s="46" t="s">
        <v>1874</v>
      </c>
      <c r="B662" s="47" t="s">
        <v>1875</v>
      </c>
      <c r="C662" s="48">
        <v>98957</v>
      </c>
      <c r="D662" s="94"/>
      <c r="E662" s="91"/>
      <c r="F662" s="92" t="s">
        <v>180</v>
      </c>
      <c r="G662" s="113" t="s">
        <v>2601</v>
      </c>
    </row>
    <row r="663" spans="1:7" x14ac:dyDescent="0.2">
      <c r="A663" s="46" t="s">
        <v>1876</v>
      </c>
      <c r="B663" s="47" t="s">
        <v>1877</v>
      </c>
      <c r="C663" s="48">
        <v>121512</v>
      </c>
      <c r="D663" s="94"/>
      <c r="E663" s="91"/>
      <c r="F663" s="92" t="s">
        <v>180</v>
      </c>
      <c r="G663" s="113" t="s">
        <v>2602</v>
      </c>
    </row>
    <row r="664" spans="1:7" x14ac:dyDescent="0.2">
      <c r="A664" s="46" t="s">
        <v>1878</v>
      </c>
      <c r="B664" s="47" t="s">
        <v>1879</v>
      </c>
      <c r="C664" s="48">
        <v>121394</v>
      </c>
      <c r="D664" s="94"/>
      <c r="E664" s="91"/>
      <c r="F664" s="92" t="s">
        <v>180</v>
      </c>
      <c r="G664" s="113" t="s">
        <v>2603</v>
      </c>
    </row>
    <row r="665" spans="1:7" x14ac:dyDescent="0.2">
      <c r="A665" s="46" t="s">
        <v>1880</v>
      </c>
      <c r="B665" s="47" t="s">
        <v>1881</v>
      </c>
      <c r="C665" s="48">
        <v>140137</v>
      </c>
      <c r="D665" s="94"/>
      <c r="E665" s="91"/>
      <c r="F665" s="92" t="s">
        <v>180</v>
      </c>
      <c r="G665" s="113" t="s">
        <v>2604</v>
      </c>
    </row>
    <row r="666" spans="1:7" x14ac:dyDescent="0.2">
      <c r="A666" s="46" t="s">
        <v>1882</v>
      </c>
      <c r="B666" s="47" t="s">
        <v>1883</v>
      </c>
      <c r="C666" s="48">
        <v>141973</v>
      </c>
      <c r="D666" s="94"/>
      <c r="E666" s="91"/>
      <c r="F666" s="92" t="s">
        <v>180</v>
      </c>
      <c r="G666" s="113" t="s">
        <v>2605</v>
      </c>
    </row>
    <row r="667" spans="1:7" x14ac:dyDescent="0.2">
      <c r="A667" s="46" t="s">
        <v>1884</v>
      </c>
      <c r="B667" s="47" t="s">
        <v>1885</v>
      </c>
      <c r="C667" s="48">
        <v>146571</v>
      </c>
      <c r="D667" s="94"/>
      <c r="E667" s="91"/>
      <c r="F667" s="92" t="s">
        <v>180</v>
      </c>
      <c r="G667" s="113" t="s">
        <v>2606</v>
      </c>
    </row>
    <row r="668" spans="1:7" x14ac:dyDescent="0.2">
      <c r="A668" s="46" t="s">
        <v>1886</v>
      </c>
      <c r="B668" s="47" t="s">
        <v>1887</v>
      </c>
      <c r="C668" s="48">
        <v>154083</v>
      </c>
      <c r="D668" s="94"/>
      <c r="E668" s="91"/>
      <c r="F668" s="92" t="s">
        <v>180</v>
      </c>
      <c r="G668" s="113" t="s">
        <v>2607</v>
      </c>
    </row>
    <row r="669" spans="1:7" x14ac:dyDescent="0.2">
      <c r="A669" s="46" t="s">
        <v>1888</v>
      </c>
      <c r="B669" s="47" t="s">
        <v>1889</v>
      </c>
      <c r="C669" s="48">
        <v>152545</v>
      </c>
      <c r="D669" s="94"/>
      <c r="E669" s="91"/>
      <c r="F669" s="92" t="s">
        <v>180</v>
      </c>
      <c r="G669" s="113" t="s">
        <v>2608</v>
      </c>
    </row>
    <row r="670" spans="1:7" x14ac:dyDescent="0.2">
      <c r="A670" s="46" t="s">
        <v>1890</v>
      </c>
      <c r="B670" s="47" t="s">
        <v>1891</v>
      </c>
      <c r="C670" s="48">
        <v>153481</v>
      </c>
      <c r="D670" s="94"/>
      <c r="E670" s="91"/>
      <c r="F670" s="92" t="s">
        <v>180</v>
      </c>
      <c r="G670" s="113" t="s">
        <v>2608</v>
      </c>
    </row>
    <row r="671" spans="1:7" x14ac:dyDescent="0.2">
      <c r="A671" s="46" t="s">
        <v>2576</v>
      </c>
      <c r="B671" s="47" t="s">
        <v>2577</v>
      </c>
      <c r="C671" s="48">
        <v>148890</v>
      </c>
      <c r="D671" s="94"/>
      <c r="E671" s="91"/>
      <c r="F671" s="92" t="s">
        <v>180</v>
      </c>
      <c r="G671" s="113" t="s">
        <v>1792</v>
      </c>
    </row>
    <row r="672" spans="1:7" x14ac:dyDescent="0.2">
      <c r="A672" s="46" t="s">
        <v>1892</v>
      </c>
      <c r="B672" s="47" t="s">
        <v>1893</v>
      </c>
      <c r="C672" s="48">
        <v>169494</v>
      </c>
      <c r="D672" s="94"/>
      <c r="E672" s="91"/>
      <c r="F672" s="92" t="s">
        <v>180</v>
      </c>
      <c r="G672" s="113" t="s">
        <v>2609</v>
      </c>
    </row>
    <row r="673" spans="1:7" x14ac:dyDescent="0.2">
      <c r="A673" s="46" t="s">
        <v>1894</v>
      </c>
      <c r="B673" s="47" t="s">
        <v>1895</v>
      </c>
      <c r="C673" s="48">
        <v>159817</v>
      </c>
      <c r="D673" s="94"/>
      <c r="E673" s="91"/>
      <c r="F673" s="92" t="s">
        <v>180</v>
      </c>
      <c r="G673" s="113" t="s">
        <v>2609</v>
      </c>
    </row>
    <row r="674" spans="1:7" x14ac:dyDescent="0.2">
      <c r="A674" s="46"/>
      <c r="B674" s="47"/>
      <c r="C674" s="48"/>
      <c r="D674" s="94"/>
      <c r="E674" s="91"/>
      <c r="F674" s="92"/>
      <c r="G674" s="113"/>
    </row>
    <row r="675" spans="1:7" x14ac:dyDescent="0.2">
      <c r="A675" s="47" t="s">
        <v>1896</v>
      </c>
      <c r="B675" s="47" t="s">
        <v>1897</v>
      </c>
      <c r="C675" s="48">
        <v>844</v>
      </c>
      <c r="D675" s="94"/>
      <c r="E675" s="91"/>
      <c r="F675" s="92" t="s">
        <v>180</v>
      </c>
      <c r="G675" s="113" t="s">
        <v>1898</v>
      </c>
    </row>
    <row r="676" spans="1:7" x14ac:dyDescent="0.2">
      <c r="A676" s="47" t="s">
        <v>1899</v>
      </c>
      <c r="B676" s="47" t="s">
        <v>1900</v>
      </c>
      <c r="C676" s="48">
        <v>1371</v>
      </c>
      <c r="D676" s="94"/>
      <c r="E676" s="91"/>
      <c r="F676" s="92" t="s">
        <v>180</v>
      </c>
      <c r="G676" s="113" t="s">
        <v>1901</v>
      </c>
    </row>
    <row r="677" spans="1:7" x14ac:dyDescent="0.2">
      <c r="A677" s="47" t="s">
        <v>1902</v>
      </c>
      <c r="B677" s="47" t="s">
        <v>1903</v>
      </c>
      <c r="C677" s="48">
        <v>1833</v>
      </c>
      <c r="D677" s="94"/>
      <c r="E677" s="91"/>
      <c r="F677" s="92" t="s">
        <v>180</v>
      </c>
      <c r="G677" s="113" t="s">
        <v>1904</v>
      </c>
    </row>
    <row r="678" spans="1:7" x14ac:dyDescent="0.2">
      <c r="A678" s="47" t="s">
        <v>1905</v>
      </c>
      <c r="B678" s="47" t="s">
        <v>1906</v>
      </c>
      <c r="C678" s="48">
        <v>3398</v>
      </c>
      <c r="D678" s="94"/>
      <c r="E678" s="91"/>
      <c r="F678" s="92" t="s">
        <v>180</v>
      </c>
      <c r="G678" s="113" t="s">
        <v>1907</v>
      </c>
    </row>
    <row r="679" spans="1:7" x14ac:dyDescent="0.2">
      <c r="A679" s="47" t="s">
        <v>1908</v>
      </c>
      <c r="B679" s="47" t="s">
        <v>1909</v>
      </c>
      <c r="C679" s="48">
        <v>15673</v>
      </c>
      <c r="D679" s="94"/>
      <c r="E679" s="91"/>
      <c r="F679" s="92" t="s">
        <v>180</v>
      </c>
      <c r="G679" s="113" t="s">
        <v>1910</v>
      </c>
    </row>
    <row r="680" spans="1:7" x14ac:dyDescent="0.2">
      <c r="A680" s="46"/>
      <c r="B680" s="47"/>
      <c r="C680" s="48"/>
      <c r="D680" s="94"/>
      <c r="E680" s="91"/>
      <c r="F680" s="92"/>
      <c r="G680" s="113"/>
    </row>
    <row r="681" spans="1:7" x14ac:dyDescent="0.2">
      <c r="A681" s="47" t="s">
        <v>1911</v>
      </c>
      <c r="B681" s="47" t="s">
        <v>1912</v>
      </c>
      <c r="C681" s="48">
        <v>4182</v>
      </c>
      <c r="D681" s="94"/>
      <c r="E681" s="91"/>
      <c r="F681" s="92" t="s">
        <v>180</v>
      </c>
      <c r="G681" s="113" t="s">
        <v>1913</v>
      </c>
    </row>
    <row r="682" spans="1:7" x14ac:dyDescent="0.2">
      <c r="A682" s="47" t="s">
        <v>1914</v>
      </c>
      <c r="B682" s="47" t="s">
        <v>1915</v>
      </c>
      <c r="C682" s="48">
        <v>10206</v>
      </c>
      <c r="D682" s="94"/>
      <c r="E682" s="91"/>
      <c r="F682" s="92" t="s">
        <v>180</v>
      </c>
      <c r="G682" s="113" t="s">
        <v>1916</v>
      </c>
    </row>
    <row r="683" spans="1:7" x14ac:dyDescent="0.2">
      <c r="A683" s="47" t="s">
        <v>1917</v>
      </c>
      <c r="B683" s="47" t="s">
        <v>1918</v>
      </c>
      <c r="C683" s="48">
        <v>11506</v>
      </c>
      <c r="D683" s="94"/>
      <c r="E683" s="91"/>
      <c r="F683" s="92" t="s">
        <v>180</v>
      </c>
      <c r="G683" s="113" t="s">
        <v>1916</v>
      </c>
    </row>
    <row r="684" spans="1:7" x14ac:dyDescent="0.2">
      <c r="A684" s="47" t="s">
        <v>1919</v>
      </c>
      <c r="B684" s="47" t="s">
        <v>1920</v>
      </c>
      <c r="C684" s="48">
        <v>13530</v>
      </c>
      <c r="D684" s="94"/>
      <c r="E684" s="91"/>
      <c r="F684" s="92" t="s">
        <v>180</v>
      </c>
      <c r="G684" s="113" t="s">
        <v>1916</v>
      </c>
    </row>
    <row r="685" spans="1:7" x14ac:dyDescent="0.2">
      <c r="A685" s="47" t="s">
        <v>1921</v>
      </c>
      <c r="B685" s="47" t="s">
        <v>1922</v>
      </c>
      <c r="C685" s="48">
        <v>18902</v>
      </c>
      <c r="D685" s="94"/>
      <c r="E685" s="91"/>
      <c r="F685" s="92" t="s">
        <v>180</v>
      </c>
      <c r="G685" s="113" t="s">
        <v>1916</v>
      </c>
    </row>
    <row r="686" spans="1:7" x14ac:dyDescent="0.2">
      <c r="A686" s="47" t="s">
        <v>1923</v>
      </c>
      <c r="B686" s="47" t="s">
        <v>1924</v>
      </c>
      <c r="C686" s="48">
        <v>27549</v>
      </c>
      <c r="D686" s="94"/>
      <c r="E686" s="91"/>
      <c r="F686" s="92" t="s">
        <v>180</v>
      </c>
      <c r="G686" s="113" t="s">
        <v>1916</v>
      </c>
    </row>
    <row r="687" spans="1:7" x14ac:dyDescent="0.2">
      <c r="A687" s="47" t="s">
        <v>1925</v>
      </c>
      <c r="B687" s="47" t="s">
        <v>1926</v>
      </c>
      <c r="C687" s="48">
        <v>42215</v>
      </c>
      <c r="D687" s="94"/>
      <c r="E687" s="91"/>
      <c r="F687" s="92" t="s">
        <v>180</v>
      </c>
      <c r="G687" s="113" t="s">
        <v>1916</v>
      </c>
    </row>
    <row r="688" spans="1:7" x14ac:dyDescent="0.2">
      <c r="A688" s="46"/>
      <c r="B688" s="47"/>
      <c r="C688" s="48"/>
      <c r="D688" s="94"/>
      <c r="E688" s="91"/>
      <c r="F688" s="92"/>
      <c r="G688" s="113"/>
    </row>
    <row r="689" spans="1:7" x14ac:dyDescent="0.2">
      <c r="A689" s="47" t="s">
        <v>1927</v>
      </c>
      <c r="B689" s="47" t="s">
        <v>1928</v>
      </c>
      <c r="C689" s="48">
        <v>4182</v>
      </c>
      <c r="D689" s="94"/>
      <c r="E689" s="91"/>
      <c r="F689" s="92" t="s">
        <v>180</v>
      </c>
      <c r="G689" s="113" t="s">
        <v>1929</v>
      </c>
    </row>
    <row r="690" spans="1:7" x14ac:dyDescent="0.2">
      <c r="A690" s="47" t="s">
        <v>1930</v>
      </c>
      <c r="B690" s="47" t="s">
        <v>1931</v>
      </c>
      <c r="C690" s="48">
        <v>5419</v>
      </c>
      <c r="D690" s="94"/>
      <c r="E690" s="91"/>
      <c r="F690" s="92" t="s">
        <v>180</v>
      </c>
      <c r="G690" s="113" t="s">
        <v>1932</v>
      </c>
    </row>
    <row r="691" spans="1:7" x14ac:dyDescent="0.2">
      <c r="A691" s="47" t="s">
        <v>1933</v>
      </c>
      <c r="B691" s="47" t="s">
        <v>1934</v>
      </c>
      <c r="C691" s="48">
        <v>6373</v>
      </c>
      <c r="D691" s="94"/>
      <c r="E691" s="91"/>
      <c r="F691" s="92" t="s">
        <v>180</v>
      </c>
      <c r="G691" s="113" t="s">
        <v>1935</v>
      </c>
    </row>
    <row r="692" spans="1:7" x14ac:dyDescent="0.2">
      <c r="A692" s="47" t="s">
        <v>1936</v>
      </c>
      <c r="B692" s="47" t="s">
        <v>1937</v>
      </c>
      <c r="C692" s="48">
        <v>5283</v>
      </c>
      <c r="D692" s="94"/>
      <c r="E692" s="91"/>
      <c r="F692" s="92" t="s">
        <v>180</v>
      </c>
      <c r="G692" s="113" t="s">
        <v>1938</v>
      </c>
    </row>
    <row r="693" spans="1:7" x14ac:dyDescent="0.2">
      <c r="A693" s="47" t="s">
        <v>1939</v>
      </c>
      <c r="B693" s="47" t="s">
        <v>1940</v>
      </c>
      <c r="C693" s="48">
        <v>9663</v>
      </c>
      <c r="D693" s="94"/>
      <c r="E693" s="91"/>
      <c r="F693" s="92" t="s">
        <v>180</v>
      </c>
      <c r="G693" s="113" t="s">
        <v>1941</v>
      </c>
    </row>
    <row r="694" spans="1:7" x14ac:dyDescent="0.2">
      <c r="A694" s="47" t="s">
        <v>1942</v>
      </c>
      <c r="B694" s="47" t="s">
        <v>1943</v>
      </c>
      <c r="C694" s="48">
        <v>8910</v>
      </c>
      <c r="D694" s="94"/>
      <c r="E694" s="91"/>
      <c r="F694" s="92" t="s">
        <v>180</v>
      </c>
      <c r="G694" s="113" t="s">
        <v>1944</v>
      </c>
    </row>
    <row r="695" spans="1:7" x14ac:dyDescent="0.2">
      <c r="A695" s="47" t="s">
        <v>1945</v>
      </c>
      <c r="B695" s="47" t="s">
        <v>1946</v>
      </c>
      <c r="C695" s="48">
        <v>6113</v>
      </c>
      <c r="D695" s="94"/>
      <c r="E695" s="91"/>
      <c r="F695" s="92" t="s">
        <v>180</v>
      </c>
      <c r="G695" s="113" t="s">
        <v>1947</v>
      </c>
    </row>
    <row r="696" spans="1:7" x14ac:dyDescent="0.2">
      <c r="A696" s="47" t="s">
        <v>1948</v>
      </c>
      <c r="B696" s="47" t="s">
        <v>1949</v>
      </c>
      <c r="C696" s="48">
        <v>9571</v>
      </c>
      <c r="D696" s="94"/>
      <c r="E696" s="91"/>
      <c r="F696" s="92" t="s">
        <v>180</v>
      </c>
      <c r="G696" s="113" t="s">
        <v>1947</v>
      </c>
    </row>
    <row r="697" spans="1:7" x14ac:dyDescent="0.2">
      <c r="A697" s="47" t="s">
        <v>1950</v>
      </c>
      <c r="B697" s="47" t="s">
        <v>1951</v>
      </c>
      <c r="C697" s="48">
        <v>9573</v>
      </c>
      <c r="D697" s="94"/>
      <c r="E697" s="91"/>
      <c r="F697" s="92" t="s">
        <v>180</v>
      </c>
      <c r="G697" s="113" t="s">
        <v>1952</v>
      </c>
    </row>
    <row r="698" spans="1:7" x14ac:dyDescent="0.2">
      <c r="A698" s="47" t="s">
        <v>1953</v>
      </c>
      <c r="B698" s="47" t="s">
        <v>1954</v>
      </c>
      <c r="C698" s="48">
        <v>12083</v>
      </c>
      <c r="D698" s="94"/>
      <c r="E698" s="91"/>
      <c r="F698" s="92" t="s">
        <v>180</v>
      </c>
      <c r="G698" s="113" t="s">
        <v>1955</v>
      </c>
    </row>
    <row r="699" spans="1:7" x14ac:dyDescent="0.2">
      <c r="A699" s="47" t="s">
        <v>1956</v>
      </c>
      <c r="B699" s="47" t="s">
        <v>1957</v>
      </c>
      <c r="C699" s="48">
        <v>10969</v>
      </c>
      <c r="D699" s="94"/>
      <c r="E699" s="91"/>
      <c r="F699" s="92" t="s">
        <v>180</v>
      </c>
      <c r="G699" s="113" t="s">
        <v>1958</v>
      </c>
    </row>
    <row r="700" spans="1:7" x14ac:dyDescent="0.2">
      <c r="A700" s="47" t="s">
        <v>1959</v>
      </c>
      <c r="B700" s="47" t="s">
        <v>1960</v>
      </c>
      <c r="C700" s="48">
        <v>17615</v>
      </c>
      <c r="D700" s="94"/>
      <c r="E700" s="91"/>
      <c r="F700" s="92" t="s">
        <v>180</v>
      </c>
      <c r="G700" s="113" t="s">
        <v>1961</v>
      </c>
    </row>
    <row r="701" spans="1:7" x14ac:dyDescent="0.2">
      <c r="A701" s="47" t="s">
        <v>1962</v>
      </c>
      <c r="B701" s="47" t="s">
        <v>1963</v>
      </c>
      <c r="C701" s="48">
        <v>16413</v>
      </c>
      <c r="D701" s="94"/>
      <c r="E701" s="91"/>
      <c r="F701" s="92" t="s">
        <v>180</v>
      </c>
      <c r="G701" s="113" t="s">
        <v>1964</v>
      </c>
    </row>
    <row r="702" spans="1:7" x14ac:dyDescent="0.2">
      <c r="A702" s="47"/>
      <c r="B702" s="47"/>
      <c r="C702" s="48"/>
      <c r="D702" s="94"/>
      <c r="E702" s="91"/>
      <c r="F702" s="92"/>
      <c r="G702" s="113"/>
    </row>
    <row r="703" spans="1:7" x14ac:dyDescent="0.2">
      <c r="A703" s="47" t="s">
        <v>1965</v>
      </c>
      <c r="B703" s="47" t="s">
        <v>1966</v>
      </c>
      <c r="C703" s="48">
        <v>6807</v>
      </c>
      <c r="D703" s="94"/>
      <c r="E703" s="91"/>
      <c r="F703" s="92" t="s">
        <v>180</v>
      </c>
      <c r="G703" s="113" t="s">
        <v>1967</v>
      </c>
    </row>
    <row r="704" spans="1:7" x14ac:dyDescent="0.2">
      <c r="A704" s="47" t="s">
        <v>1968</v>
      </c>
      <c r="B704" s="47" t="s">
        <v>1969</v>
      </c>
      <c r="C704" s="48">
        <v>7743</v>
      </c>
      <c r="D704" s="94"/>
      <c r="E704" s="91"/>
      <c r="F704" s="92" t="s">
        <v>180</v>
      </c>
      <c r="G704" s="113" t="s">
        <v>1970</v>
      </c>
    </row>
    <row r="705" spans="1:7" x14ac:dyDescent="0.2">
      <c r="A705" s="47" t="s">
        <v>1971</v>
      </c>
      <c r="B705" s="47" t="s">
        <v>1972</v>
      </c>
      <c r="C705" s="48">
        <v>9767</v>
      </c>
      <c r="D705" s="94"/>
      <c r="E705" s="91"/>
      <c r="F705" s="92" t="s">
        <v>180</v>
      </c>
      <c r="G705" s="113" t="s">
        <v>1973</v>
      </c>
    </row>
    <row r="706" spans="1:7" x14ac:dyDescent="0.2">
      <c r="A706" s="47" t="s">
        <v>1974</v>
      </c>
      <c r="B706" s="47" t="s">
        <v>1975</v>
      </c>
      <c r="C706" s="48">
        <v>7607</v>
      </c>
      <c r="D706" s="94"/>
      <c r="E706" s="91"/>
      <c r="F706" s="92" t="s">
        <v>180</v>
      </c>
      <c r="G706" s="113" t="s">
        <v>1976</v>
      </c>
    </row>
    <row r="707" spans="1:7" x14ac:dyDescent="0.2">
      <c r="A707" s="47" t="s">
        <v>1977</v>
      </c>
      <c r="B707" s="47" t="s">
        <v>1978</v>
      </c>
      <c r="C707" s="48">
        <v>9685</v>
      </c>
      <c r="D707" s="94"/>
      <c r="E707" s="91"/>
      <c r="F707" s="92" t="s">
        <v>180</v>
      </c>
      <c r="G707" s="113" t="s">
        <v>1979</v>
      </c>
    </row>
    <row r="708" spans="1:7" x14ac:dyDescent="0.2">
      <c r="A708" s="47" t="s">
        <v>1980</v>
      </c>
      <c r="B708" s="47" t="s">
        <v>1981</v>
      </c>
      <c r="C708" s="48">
        <v>12936</v>
      </c>
      <c r="D708" s="94"/>
      <c r="E708" s="91"/>
      <c r="F708" s="92" t="s">
        <v>180</v>
      </c>
      <c r="G708" s="113" t="s">
        <v>1982</v>
      </c>
    </row>
    <row r="709" spans="1:7" x14ac:dyDescent="0.2">
      <c r="A709" s="47" t="s">
        <v>1983</v>
      </c>
      <c r="B709" s="47" t="s">
        <v>1984</v>
      </c>
      <c r="C709" s="48">
        <v>6113</v>
      </c>
      <c r="D709" s="94"/>
      <c r="E709" s="91"/>
      <c r="F709" s="92" t="s">
        <v>180</v>
      </c>
      <c r="G709" s="113" t="s">
        <v>1985</v>
      </c>
    </row>
    <row r="710" spans="1:7" x14ac:dyDescent="0.2">
      <c r="A710" s="47" t="s">
        <v>1986</v>
      </c>
      <c r="B710" s="47" t="s">
        <v>1987</v>
      </c>
      <c r="C710" s="48">
        <v>12977</v>
      </c>
      <c r="D710" s="94"/>
      <c r="E710" s="91"/>
      <c r="F710" s="92" t="s">
        <v>180</v>
      </c>
      <c r="G710" s="113" t="s">
        <v>1988</v>
      </c>
    </row>
    <row r="711" spans="1:7" x14ac:dyDescent="0.2">
      <c r="A711" s="47" t="s">
        <v>1989</v>
      </c>
      <c r="B711" s="47" t="s">
        <v>1990</v>
      </c>
      <c r="C711" s="48">
        <v>9572</v>
      </c>
      <c r="D711" s="94"/>
      <c r="E711" s="91"/>
      <c r="F711" s="92" t="s">
        <v>180</v>
      </c>
      <c r="G711" s="113" t="s">
        <v>1991</v>
      </c>
    </row>
    <row r="712" spans="1:7" x14ac:dyDescent="0.2">
      <c r="A712" s="47" t="s">
        <v>1992</v>
      </c>
      <c r="B712" s="47" t="s">
        <v>1993</v>
      </c>
      <c r="C712" s="48">
        <v>16401</v>
      </c>
      <c r="D712" s="94"/>
      <c r="E712" s="91"/>
      <c r="F712" s="92" t="s">
        <v>180</v>
      </c>
      <c r="G712" s="113" t="s">
        <v>1994</v>
      </c>
    </row>
    <row r="713" spans="1:7" x14ac:dyDescent="0.2">
      <c r="A713" s="47" t="s">
        <v>1995</v>
      </c>
      <c r="B713" s="47" t="s">
        <v>1996</v>
      </c>
      <c r="C713" s="48">
        <v>15286</v>
      </c>
      <c r="D713" s="94"/>
      <c r="E713" s="91"/>
      <c r="F713" s="92" t="s">
        <v>180</v>
      </c>
      <c r="G713" s="113" t="s">
        <v>1997</v>
      </c>
    </row>
    <row r="714" spans="1:7" x14ac:dyDescent="0.2">
      <c r="A714" s="47" t="s">
        <v>1998</v>
      </c>
      <c r="B714" s="47" t="s">
        <v>1999</v>
      </c>
      <c r="C714" s="48">
        <v>21745</v>
      </c>
      <c r="D714" s="94"/>
      <c r="E714" s="91"/>
      <c r="F714" s="92" t="s">
        <v>180</v>
      </c>
      <c r="G714" s="113" t="s">
        <v>2000</v>
      </c>
    </row>
    <row r="715" spans="1:7" x14ac:dyDescent="0.2">
      <c r="A715" s="47" t="s">
        <v>2001</v>
      </c>
      <c r="B715" s="47" t="s">
        <v>2002</v>
      </c>
      <c r="C715" s="48">
        <v>20543</v>
      </c>
      <c r="D715" s="94"/>
      <c r="E715" s="91"/>
      <c r="F715" s="92" t="s">
        <v>180</v>
      </c>
      <c r="G715" s="113" t="s">
        <v>2003</v>
      </c>
    </row>
    <row r="716" spans="1:7" x14ac:dyDescent="0.2">
      <c r="A716" s="47"/>
      <c r="B716" s="47"/>
      <c r="C716" s="48"/>
      <c r="D716" s="94"/>
      <c r="E716" s="91"/>
      <c r="F716" s="92"/>
      <c r="G716" s="113"/>
    </row>
    <row r="717" spans="1:7" x14ac:dyDescent="0.2">
      <c r="A717" s="47" t="s">
        <v>2004</v>
      </c>
      <c r="B717" s="47" t="s">
        <v>2005</v>
      </c>
      <c r="C717" s="48">
        <v>10457</v>
      </c>
      <c r="D717" s="94"/>
      <c r="E717" s="91"/>
      <c r="F717" s="92" t="s">
        <v>180</v>
      </c>
      <c r="G717" s="113" t="s">
        <v>2006</v>
      </c>
    </row>
    <row r="718" spans="1:7" x14ac:dyDescent="0.2">
      <c r="A718" s="47" t="s">
        <v>2007</v>
      </c>
      <c r="B718" s="47" t="s">
        <v>2008</v>
      </c>
      <c r="C718" s="48">
        <v>10963</v>
      </c>
      <c r="D718" s="94"/>
      <c r="E718" s="91"/>
      <c r="F718" s="92" t="s">
        <v>180</v>
      </c>
      <c r="G718" s="113" t="s">
        <v>2009</v>
      </c>
    </row>
    <row r="719" spans="1:7" x14ac:dyDescent="0.2">
      <c r="A719" s="47" t="s">
        <v>2010</v>
      </c>
      <c r="B719" s="47" t="s">
        <v>2011</v>
      </c>
      <c r="C719" s="48">
        <v>12306</v>
      </c>
      <c r="D719" s="94"/>
      <c r="E719" s="91"/>
      <c r="F719" s="92" t="s">
        <v>180</v>
      </c>
      <c r="G719" s="113" t="s">
        <v>2012</v>
      </c>
    </row>
    <row r="720" spans="1:7" x14ac:dyDescent="0.2">
      <c r="A720" s="47" t="s">
        <v>2013</v>
      </c>
      <c r="B720" s="47" t="s">
        <v>2014</v>
      </c>
      <c r="C720" s="48">
        <v>14467</v>
      </c>
      <c r="D720" s="94"/>
      <c r="E720" s="91"/>
      <c r="F720" s="92" t="s">
        <v>180</v>
      </c>
      <c r="G720" s="113" t="s">
        <v>2015</v>
      </c>
    </row>
    <row r="721" spans="1:7" x14ac:dyDescent="0.2">
      <c r="A721" s="47" t="s">
        <v>2016</v>
      </c>
      <c r="B721" s="47" t="s">
        <v>2017</v>
      </c>
      <c r="C721" s="48">
        <v>18135</v>
      </c>
      <c r="D721" s="94"/>
      <c r="E721" s="91"/>
      <c r="F721" s="92" t="s">
        <v>180</v>
      </c>
      <c r="G721" s="113" t="s">
        <v>2018</v>
      </c>
    </row>
    <row r="725" spans="1:7" x14ac:dyDescent="0.2">
      <c r="B725" s="305" t="s">
        <v>2637</v>
      </c>
      <c r="C725" s="306">
        <v>41300</v>
      </c>
    </row>
    <row r="726" spans="1:7" x14ac:dyDescent="0.2">
      <c r="B726" s="305" t="s">
        <v>2638</v>
      </c>
      <c r="C726" s="306">
        <v>41300</v>
      </c>
    </row>
    <row r="727" spans="1:7" x14ac:dyDescent="0.2">
      <c r="B727" s="305" t="s">
        <v>2640</v>
      </c>
      <c r="C727" s="306">
        <v>35800</v>
      </c>
      <c r="G727" s="102" t="s">
        <v>2639</v>
      </c>
    </row>
    <row r="729" spans="1:7" x14ac:dyDescent="0.25">
      <c r="B729" s="312" t="s">
        <v>2641</v>
      </c>
      <c r="C729" s="313">
        <v>9129</v>
      </c>
      <c r="D729" s="310" t="s">
        <v>2642</v>
      </c>
      <c r="E729" s="310">
        <v>2</v>
      </c>
      <c r="F729" s="311" t="s">
        <v>2643</v>
      </c>
      <c r="G729" s="312" t="s">
        <v>2644</v>
      </c>
    </row>
    <row r="730" spans="1:7" x14ac:dyDescent="0.25">
      <c r="B730" s="312" t="s">
        <v>2645</v>
      </c>
      <c r="C730" s="313">
        <v>11383</v>
      </c>
      <c r="D730" s="310" t="s">
        <v>2646</v>
      </c>
      <c r="E730" s="310">
        <v>2.2000000000000002</v>
      </c>
      <c r="F730" s="311" t="s">
        <v>2643</v>
      </c>
      <c r="G730" s="312" t="s">
        <v>2644</v>
      </c>
    </row>
    <row r="731" spans="1:7" x14ac:dyDescent="0.25">
      <c r="B731" s="312" t="s">
        <v>2647</v>
      </c>
      <c r="C731" s="313">
        <v>12510</v>
      </c>
      <c r="D731" s="310" t="s">
        <v>2646</v>
      </c>
      <c r="E731" s="310">
        <v>3.5</v>
      </c>
      <c r="F731" s="311" t="s">
        <v>2643</v>
      </c>
      <c r="G731" s="312" t="s">
        <v>2644</v>
      </c>
    </row>
    <row r="732" spans="1:7" x14ac:dyDescent="0.25">
      <c r="B732" s="312" t="s">
        <v>2648</v>
      </c>
      <c r="C732" s="313">
        <v>14539</v>
      </c>
      <c r="D732" s="310" t="s">
        <v>2646</v>
      </c>
      <c r="E732" s="310">
        <v>5</v>
      </c>
      <c r="F732" s="311" t="s">
        <v>2643</v>
      </c>
      <c r="G732" s="312" t="s">
        <v>2644</v>
      </c>
    </row>
    <row r="733" spans="1:7" x14ac:dyDescent="0.25">
      <c r="B733" s="312" t="s">
        <v>2649</v>
      </c>
      <c r="C733" s="313">
        <v>17244</v>
      </c>
      <c r="D733" s="310" t="s">
        <v>2650</v>
      </c>
      <c r="E733" s="310">
        <v>6</v>
      </c>
      <c r="F733" s="311" t="s">
        <v>2643</v>
      </c>
      <c r="G733" s="312" t="s">
        <v>2644</v>
      </c>
    </row>
    <row r="734" spans="1:7" x14ac:dyDescent="0.25">
      <c r="B734" s="312" t="s">
        <v>2651</v>
      </c>
      <c r="C734" s="313">
        <v>28401</v>
      </c>
      <c r="D734" s="310" t="s">
        <v>2652</v>
      </c>
      <c r="E734" s="310">
        <v>10.5</v>
      </c>
      <c r="F734" s="311" t="s">
        <v>2643</v>
      </c>
      <c r="G734" s="312" t="s">
        <v>2653</v>
      </c>
    </row>
    <row r="735" spans="1:7" x14ac:dyDescent="0.25">
      <c r="B735" s="312" t="s">
        <v>2654</v>
      </c>
      <c r="C735" s="313">
        <v>23893</v>
      </c>
      <c r="D735" s="310" t="s">
        <v>2650</v>
      </c>
      <c r="E735" s="310">
        <v>7.2</v>
      </c>
      <c r="F735" s="311" t="s">
        <v>2643</v>
      </c>
      <c r="G735" s="312" t="s">
        <v>2644</v>
      </c>
    </row>
    <row r="736" spans="1:7" x14ac:dyDescent="0.25">
      <c r="B736" s="312" t="s">
        <v>2655</v>
      </c>
      <c r="C736" s="313">
        <v>28739</v>
      </c>
      <c r="D736" s="310" t="s">
        <v>2652</v>
      </c>
      <c r="E736" s="310">
        <v>12.5</v>
      </c>
      <c r="F736" s="311" t="s">
        <v>2643</v>
      </c>
      <c r="G736" s="312" t="s">
        <v>2653</v>
      </c>
    </row>
    <row r="737" spans="2:7" x14ac:dyDescent="0.25">
      <c r="B737" s="312" t="s">
        <v>2656</v>
      </c>
      <c r="C737" s="313">
        <v>37417</v>
      </c>
      <c r="D737" s="310" t="s">
        <v>2652</v>
      </c>
      <c r="E737" s="310">
        <v>18.100000000000001</v>
      </c>
      <c r="F737" s="311" t="s">
        <v>2643</v>
      </c>
      <c r="G737" s="312" t="s">
        <v>2653</v>
      </c>
    </row>
    <row r="738" spans="2:7" x14ac:dyDescent="0.25">
      <c r="B738" s="312" t="s">
        <v>2657</v>
      </c>
      <c r="C738" s="313">
        <v>58943</v>
      </c>
      <c r="D738" s="310" t="s">
        <v>2658</v>
      </c>
      <c r="E738" s="310">
        <v>30.2</v>
      </c>
      <c r="F738" s="311" t="s">
        <v>2643</v>
      </c>
      <c r="G738" s="312" t="s">
        <v>2659</v>
      </c>
    </row>
    <row r="739" spans="2:7" ht="15" x14ac:dyDescent="0.25">
      <c r="B739" s="312"/>
      <c r="C739" s="313"/>
      <c r="D739" s="310"/>
      <c r="E739" s="309"/>
      <c r="F739" s="311"/>
      <c r="G739" s="312" t="s">
        <v>2046</v>
      </c>
    </row>
    <row r="740" spans="2:7" x14ac:dyDescent="0.25">
      <c r="B740" s="312" t="s">
        <v>2660</v>
      </c>
      <c r="C740" s="313">
        <v>19723</v>
      </c>
      <c r="D740" s="310" t="s">
        <v>2646</v>
      </c>
      <c r="E740" s="310">
        <v>2.2999999999999998</v>
      </c>
      <c r="F740" s="311" t="s">
        <v>2643</v>
      </c>
      <c r="G740" s="312" t="s">
        <v>2661</v>
      </c>
    </row>
    <row r="741" spans="2:7" x14ac:dyDescent="0.25">
      <c r="B741" s="312" t="s">
        <v>2662</v>
      </c>
      <c r="C741" s="313">
        <v>20625</v>
      </c>
      <c r="D741" s="310" t="s">
        <v>2646</v>
      </c>
      <c r="E741" s="310">
        <v>3.6</v>
      </c>
      <c r="F741" s="311" t="s">
        <v>2643</v>
      </c>
      <c r="G741" s="312" t="s">
        <v>2661</v>
      </c>
    </row>
    <row r="742" spans="2:7" x14ac:dyDescent="0.25">
      <c r="B742" s="312" t="s">
        <v>2663</v>
      </c>
      <c r="C742" s="313">
        <v>22202</v>
      </c>
      <c r="D742" s="310" t="s">
        <v>2646</v>
      </c>
      <c r="E742" s="310">
        <v>5.0999999999999996</v>
      </c>
      <c r="F742" s="311" t="s">
        <v>2643</v>
      </c>
      <c r="G742" s="312" t="s">
        <v>2661</v>
      </c>
    </row>
    <row r="743" spans="2:7" x14ac:dyDescent="0.25">
      <c r="B743" s="312" t="s">
        <v>2664</v>
      </c>
      <c r="C743" s="313">
        <v>24118</v>
      </c>
      <c r="D743" s="310" t="s">
        <v>2665</v>
      </c>
      <c r="E743" s="310">
        <v>6.1</v>
      </c>
      <c r="F743" s="311" t="s">
        <v>2643</v>
      </c>
      <c r="G743" s="312" t="s">
        <v>2661</v>
      </c>
    </row>
    <row r="744" spans="2:7" x14ac:dyDescent="0.25">
      <c r="B744" s="312" t="s">
        <v>2666</v>
      </c>
      <c r="C744" s="313">
        <v>37980</v>
      </c>
      <c r="D744" s="310" t="s">
        <v>2652</v>
      </c>
      <c r="E744" s="310">
        <v>11.2</v>
      </c>
      <c r="F744" s="311" t="s">
        <v>2643</v>
      </c>
      <c r="G744" s="312" t="s">
        <v>2667</v>
      </c>
    </row>
    <row r="745" spans="2:7" x14ac:dyDescent="0.25">
      <c r="B745" s="312" t="s">
        <v>2668</v>
      </c>
      <c r="C745" s="313">
        <v>26034</v>
      </c>
      <c r="D745" s="310" t="s">
        <v>2650</v>
      </c>
      <c r="E745" s="310">
        <v>7.4</v>
      </c>
      <c r="F745" s="311" t="s">
        <v>2643</v>
      </c>
      <c r="G745" s="312" t="s">
        <v>2669</v>
      </c>
    </row>
    <row r="746" spans="2:7" x14ac:dyDescent="0.25">
      <c r="B746" s="312" t="s">
        <v>2670</v>
      </c>
      <c r="C746" s="313">
        <v>36515</v>
      </c>
      <c r="D746" s="310" t="s">
        <v>2652</v>
      </c>
      <c r="E746" s="310">
        <v>11</v>
      </c>
      <c r="F746" s="311" t="s">
        <v>2643</v>
      </c>
      <c r="G746" s="312" t="s">
        <v>2671</v>
      </c>
    </row>
    <row r="747" spans="2:7" x14ac:dyDescent="0.25">
      <c r="B747" s="312" t="s">
        <v>2672</v>
      </c>
      <c r="C747" s="313">
        <v>44292</v>
      </c>
      <c r="D747" s="310" t="s">
        <v>2652</v>
      </c>
      <c r="E747" s="310">
        <v>15.6</v>
      </c>
      <c r="F747" s="311" t="s">
        <v>2643</v>
      </c>
      <c r="G747" s="312" t="s">
        <v>2671</v>
      </c>
    </row>
    <row r="748" spans="2:7" x14ac:dyDescent="0.25">
      <c r="B748" s="312" t="s">
        <v>2673</v>
      </c>
      <c r="C748" s="313">
        <v>70551</v>
      </c>
      <c r="D748" s="310" t="s">
        <v>2658</v>
      </c>
      <c r="E748" s="310">
        <v>30.5</v>
      </c>
      <c r="F748" s="311" t="s">
        <v>2643</v>
      </c>
      <c r="G748" s="312" t="s">
        <v>2671</v>
      </c>
    </row>
  </sheetData>
  <mergeCells count="5">
    <mergeCell ref="B1:F1"/>
    <mergeCell ref="A2:A3"/>
    <mergeCell ref="B2:B3"/>
    <mergeCell ref="F2:F3"/>
    <mergeCell ref="G2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O715"/>
  <sheetViews>
    <sheetView topLeftCell="A685" zoomScale="70" zoomScaleNormal="70" workbookViewId="0">
      <selection activeCell="B708" sqref="B708"/>
    </sheetView>
  </sheetViews>
  <sheetFormatPr defaultColWidth="9.140625" defaultRowHeight="14.25" x14ac:dyDescent="0.25"/>
  <cols>
    <col min="1" max="1" width="33.42578125" style="37" customWidth="1"/>
    <col min="2" max="2" width="77.5703125" style="37" customWidth="1"/>
    <col min="3" max="3" width="12.42578125" style="37" customWidth="1"/>
    <col min="4" max="4" width="15.42578125" style="122" customWidth="1"/>
    <col min="5" max="5" width="8.85546875" style="37" customWidth="1"/>
    <col min="6" max="6" width="23.42578125" style="37" customWidth="1"/>
    <col min="7" max="7" width="131.7109375" style="37" customWidth="1"/>
    <col min="8" max="16384" width="9.140625" style="37"/>
  </cols>
  <sheetData>
    <row r="1" spans="1:7" ht="50.1" customHeight="1" thickBot="1" x14ac:dyDescent="0.3">
      <c r="B1" s="260" t="s">
        <v>167</v>
      </c>
      <c r="C1" s="260"/>
      <c r="D1" s="260"/>
      <c r="E1" s="260"/>
      <c r="F1" s="260"/>
    </row>
    <row r="2" spans="1:7" ht="15" x14ac:dyDescent="0.25">
      <c r="A2" s="514" t="s">
        <v>153</v>
      </c>
      <c r="B2" s="261" t="s">
        <v>168</v>
      </c>
      <c r="C2" s="38" t="s">
        <v>169</v>
      </c>
      <c r="D2" s="39" t="s">
        <v>170</v>
      </c>
      <c r="E2" s="38" t="s">
        <v>171</v>
      </c>
      <c r="F2" s="261" t="s">
        <v>172</v>
      </c>
      <c r="G2" s="516" t="s">
        <v>154</v>
      </c>
    </row>
    <row r="3" spans="1:7" ht="15" thickBot="1" x14ac:dyDescent="0.3">
      <c r="A3" s="518"/>
      <c r="B3" s="262"/>
      <c r="C3" s="40" t="s">
        <v>173</v>
      </c>
      <c r="D3" s="41" t="s">
        <v>174</v>
      </c>
      <c r="E3" s="40" t="s">
        <v>175</v>
      </c>
      <c r="F3" s="262"/>
      <c r="G3" s="519"/>
    </row>
    <row r="4" spans="1:7" s="45" customFormat="1" ht="15" x14ac:dyDescent="0.25">
      <c r="A4" s="42"/>
      <c r="B4" s="42" t="s">
        <v>176</v>
      </c>
      <c r="C4" s="42"/>
      <c r="D4" s="43"/>
      <c r="E4" s="42"/>
      <c r="F4" s="42"/>
      <c r="G4" s="44"/>
    </row>
    <row r="5" spans="1:7" x14ac:dyDescent="0.2">
      <c r="A5" s="46" t="s">
        <v>177</v>
      </c>
      <c r="B5" s="47" t="s">
        <v>178</v>
      </c>
      <c r="C5" s="48">
        <v>10083</v>
      </c>
      <c r="D5" s="49" t="s">
        <v>179</v>
      </c>
      <c r="E5" s="50">
        <v>1.9</v>
      </c>
      <c r="F5" s="51" t="s">
        <v>180</v>
      </c>
      <c r="G5" s="52" t="s">
        <v>181</v>
      </c>
    </row>
    <row r="6" spans="1:7" x14ac:dyDescent="0.2">
      <c r="A6" s="46" t="s">
        <v>182</v>
      </c>
      <c r="B6" s="47" t="s">
        <v>183</v>
      </c>
      <c r="C6" s="48">
        <v>10083</v>
      </c>
      <c r="D6" s="49" t="s">
        <v>179</v>
      </c>
      <c r="E6" s="50">
        <v>1.9</v>
      </c>
      <c r="F6" s="51" t="s">
        <v>180</v>
      </c>
      <c r="G6" s="52" t="s">
        <v>184</v>
      </c>
    </row>
    <row r="7" spans="1:7" x14ac:dyDescent="0.2">
      <c r="A7" s="46" t="s">
        <v>185</v>
      </c>
      <c r="B7" s="47" t="s">
        <v>186</v>
      </c>
      <c r="C7" s="48">
        <v>10163</v>
      </c>
      <c r="D7" s="49" t="s">
        <v>179</v>
      </c>
      <c r="E7" s="50">
        <v>1.9</v>
      </c>
      <c r="F7" s="51" t="s">
        <v>180</v>
      </c>
      <c r="G7" s="52" t="s">
        <v>187</v>
      </c>
    </row>
    <row r="8" spans="1:7" x14ac:dyDescent="0.2">
      <c r="A8" s="46" t="s">
        <v>188</v>
      </c>
      <c r="B8" s="47" t="s">
        <v>189</v>
      </c>
      <c r="C8" s="48">
        <v>10163</v>
      </c>
      <c r="D8" s="49" t="s">
        <v>179</v>
      </c>
      <c r="E8" s="50">
        <v>1.9</v>
      </c>
      <c r="F8" s="51" t="s">
        <v>180</v>
      </c>
      <c r="G8" s="52" t="s">
        <v>190</v>
      </c>
    </row>
    <row r="9" spans="1:7" x14ac:dyDescent="0.2">
      <c r="A9" s="46" t="s">
        <v>191</v>
      </c>
      <c r="B9" s="47" t="s">
        <v>192</v>
      </c>
      <c r="C9" s="48">
        <v>10163</v>
      </c>
      <c r="D9" s="49" t="s">
        <v>179</v>
      </c>
      <c r="E9" s="50">
        <v>1.9</v>
      </c>
      <c r="F9" s="51" t="s">
        <v>180</v>
      </c>
      <c r="G9" s="52" t="s">
        <v>193</v>
      </c>
    </row>
    <row r="10" spans="1:7" x14ac:dyDescent="0.2">
      <c r="A10" s="46" t="s">
        <v>194</v>
      </c>
      <c r="B10" s="47" t="s">
        <v>195</v>
      </c>
      <c r="C10" s="48">
        <v>10163</v>
      </c>
      <c r="D10" s="49" t="s">
        <v>179</v>
      </c>
      <c r="E10" s="50">
        <v>1.9</v>
      </c>
      <c r="F10" s="51" t="s">
        <v>180</v>
      </c>
      <c r="G10" s="52" t="s">
        <v>196</v>
      </c>
    </row>
    <row r="11" spans="1:7" x14ac:dyDescent="0.2">
      <c r="A11" s="46" t="s">
        <v>197</v>
      </c>
      <c r="B11" s="47" t="s">
        <v>198</v>
      </c>
      <c r="C11" s="48">
        <v>10163</v>
      </c>
      <c r="D11" s="49" t="s">
        <v>179</v>
      </c>
      <c r="E11" s="50">
        <v>1.9</v>
      </c>
      <c r="F11" s="51" t="s">
        <v>180</v>
      </c>
      <c r="G11" s="52" t="s">
        <v>199</v>
      </c>
    </row>
    <row r="12" spans="1:7" x14ac:dyDescent="0.2">
      <c r="A12" s="46" t="s">
        <v>200</v>
      </c>
      <c r="B12" s="47" t="s">
        <v>201</v>
      </c>
      <c r="C12" s="48">
        <v>10163</v>
      </c>
      <c r="D12" s="49" t="s">
        <v>179</v>
      </c>
      <c r="E12" s="50">
        <v>1.9</v>
      </c>
      <c r="F12" s="51" t="s">
        <v>180</v>
      </c>
      <c r="G12" s="52" t="s">
        <v>202</v>
      </c>
    </row>
    <row r="13" spans="1:7" x14ac:dyDescent="0.2">
      <c r="A13" s="46" t="s">
        <v>203</v>
      </c>
      <c r="B13" s="47" t="s">
        <v>204</v>
      </c>
      <c r="C13" s="48">
        <v>10624</v>
      </c>
      <c r="D13" s="49" t="s">
        <v>179</v>
      </c>
      <c r="E13" s="50">
        <v>1.9</v>
      </c>
      <c r="F13" s="51" t="s">
        <v>180</v>
      </c>
      <c r="G13" s="52" t="s">
        <v>205</v>
      </c>
    </row>
    <row r="14" spans="1:7" x14ac:dyDescent="0.2">
      <c r="A14" s="46" t="s">
        <v>206</v>
      </c>
      <c r="B14" s="47" t="s">
        <v>207</v>
      </c>
      <c r="C14" s="48">
        <v>10624</v>
      </c>
      <c r="D14" s="49" t="s">
        <v>179</v>
      </c>
      <c r="E14" s="50">
        <v>1.9</v>
      </c>
      <c r="F14" s="51" t="s">
        <v>180</v>
      </c>
      <c r="G14" s="52" t="s">
        <v>208</v>
      </c>
    </row>
    <row r="15" spans="1:7" x14ac:dyDescent="0.25">
      <c r="A15" s="53"/>
      <c r="B15" s="54"/>
      <c r="C15" s="55"/>
      <c r="D15" s="54"/>
      <c r="E15" s="51"/>
      <c r="F15" s="51"/>
      <c r="G15" s="51"/>
    </row>
    <row r="16" spans="1:7" x14ac:dyDescent="0.2">
      <c r="A16" s="46" t="s">
        <v>209</v>
      </c>
      <c r="B16" s="47" t="s">
        <v>210</v>
      </c>
      <c r="C16" s="48">
        <v>15761</v>
      </c>
      <c r="D16" s="49" t="s">
        <v>211</v>
      </c>
      <c r="E16" s="50">
        <v>3.2</v>
      </c>
      <c r="F16" s="51" t="s">
        <v>180</v>
      </c>
      <c r="G16" s="52" t="s">
        <v>212</v>
      </c>
    </row>
    <row r="17" spans="1:7" x14ac:dyDescent="0.2">
      <c r="A17" s="46" t="s">
        <v>213</v>
      </c>
      <c r="B17" s="47" t="s">
        <v>214</v>
      </c>
      <c r="C17" s="48">
        <v>15776</v>
      </c>
      <c r="D17" s="49" t="s">
        <v>211</v>
      </c>
      <c r="E17" s="50">
        <v>3.2</v>
      </c>
      <c r="F17" s="51" t="s">
        <v>180</v>
      </c>
      <c r="G17" s="52" t="s">
        <v>215</v>
      </c>
    </row>
    <row r="18" spans="1:7" x14ac:dyDescent="0.2">
      <c r="A18" s="46" t="s">
        <v>216</v>
      </c>
      <c r="B18" s="47" t="s">
        <v>217</v>
      </c>
      <c r="C18" s="48">
        <v>15918</v>
      </c>
      <c r="D18" s="49" t="s">
        <v>211</v>
      </c>
      <c r="E18" s="50">
        <v>3.2</v>
      </c>
      <c r="F18" s="51" t="s">
        <v>180</v>
      </c>
      <c r="G18" s="52" t="s">
        <v>218</v>
      </c>
    </row>
    <row r="19" spans="1:7" x14ac:dyDescent="0.2">
      <c r="A19" s="46" t="s">
        <v>219</v>
      </c>
      <c r="B19" s="47" t="s">
        <v>220</v>
      </c>
      <c r="C19" s="48">
        <v>15918</v>
      </c>
      <c r="D19" s="49" t="s">
        <v>211</v>
      </c>
      <c r="E19" s="50">
        <v>3.2</v>
      </c>
      <c r="F19" s="51" t="s">
        <v>180</v>
      </c>
      <c r="G19" s="52" t="s">
        <v>221</v>
      </c>
    </row>
    <row r="20" spans="1:7" x14ac:dyDescent="0.2">
      <c r="A20" s="46" t="s">
        <v>222</v>
      </c>
      <c r="B20" s="47" t="s">
        <v>223</v>
      </c>
      <c r="C20" s="48">
        <v>15921</v>
      </c>
      <c r="D20" s="49" t="s">
        <v>211</v>
      </c>
      <c r="E20" s="50">
        <v>3.2</v>
      </c>
      <c r="F20" s="51" t="s">
        <v>180</v>
      </c>
      <c r="G20" s="52" t="s">
        <v>224</v>
      </c>
    </row>
    <row r="21" spans="1:7" x14ac:dyDescent="0.2">
      <c r="A21" s="46" t="s">
        <v>225</v>
      </c>
      <c r="B21" s="47" t="s">
        <v>226</v>
      </c>
      <c r="C21" s="48">
        <v>15932</v>
      </c>
      <c r="D21" s="49" t="s">
        <v>211</v>
      </c>
      <c r="E21" s="50">
        <v>3.2</v>
      </c>
      <c r="F21" s="51" t="s">
        <v>180</v>
      </c>
      <c r="G21" s="52" t="s">
        <v>227</v>
      </c>
    </row>
    <row r="22" spans="1:7" x14ac:dyDescent="0.2">
      <c r="A22" s="46" t="s">
        <v>228</v>
      </c>
      <c r="B22" s="47" t="s">
        <v>229</v>
      </c>
      <c r="C22" s="48">
        <v>15932</v>
      </c>
      <c r="D22" s="49" t="s">
        <v>211</v>
      </c>
      <c r="E22" s="50">
        <v>3.2</v>
      </c>
      <c r="F22" s="51" t="s">
        <v>180</v>
      </c>
      <c r="G22" s="52" t="s">
        <v>230</v>
      </c>
    </row>
    <row r="23" spans="1:7" x14ac:dyDescent="0.2">
      <c r="A23" s="46" t="s">
        <v>231</v>
      </c>
      <c r="B23" s="47" t="s">
        <v>232</v>
      </c>
      <c r="C23" s="48">
        <v>15947</v>
      </c>
      <c r="D23" s="49" t="s">
        <v>211</v>
      </c>
      <c r="E23" s="50">
        <v>3.2</v>
      </c>
      <c r="F23" s="51" t="s">
        <v>180</v>
      </c>
      <c r="G23" s="52" t="s">
        <v>233</v>
      </c>
    </row>
    <row r="24" spans="1:7" x14ac:dyDescent="0.2">
      <c r="A24" s="46" t="s">
        <v>234</v>
      </c>
      <c r="B24" s="47" t="s">
        <v>235</v>
      </c>
      <c r="C24" s="48">
        <v>15962</v>
      </c>
      <c r="D24" s="49" t="s">
        <v>211</v>
      </c>
      <c r="E24" s="50">
        <v>3.2</v>
      </c>
      <c r="F24" s="51" t="s">
        <v>180</v>
      </c>
      <c r="G24" s="52" t="s">
        <v>236</v>
      </c>
    </row>
    <row r="25" spans="1:7" x14ac:dyDescent="0.2">
      <c r="A25" s="46" t="s">
        <v>237</v>
      </c>
      <c r="B25" s="47" t="s">
        <v>238</v>
      </c>
      <c r="C25" s="48">
        <v>15962</v>
      </c>
      <c r="D25" s="49" t="s">
        <v>211</v>
      </c>
      <c r="E25" s="50">
        <v>3.2</v>
      </c>
      <c r="F25" s="51" t="s">
        <v>180</v>
      </c>
      <c r="G25" s="52" t="s">
        <v>239</v>
      </c>
    </row>
    <row r="26" spans="1:7" x14ac:dyDescent="0.2">
      <c r="A26" s="46" t="s">
        <v>240</v>
      </c>
      <c r="B26" s="47" t="s">
        <v>241</v>
      </c>
      <c r="C26" s="48">
        <v>16095</v>
      </c>
      <c r="D26" s="49" t="s">
        <v>211</v>
      </c>
      <c r="E26" s="50">
        <v>3.2</v>
      </c>
      <c r="F26" s="51" t="s">
        <v>180</v>
      </c>
      <c r="G26" s="52" t="s">
        <v>242</v>
      </c>
    </row>
    <row r="27" spans="1:7" x14ac:dyDescent="0.2">
      <c r="A27" s="46" t="s">
        <v>243</v>
      </c>
      <c r="B27" s="47" t="s">
        <v>244</v>
      </c>
      <c r="C27" s="48">
        <v>16208</v>
      </c>
      <c r="D27" s="49" t="s">
        <v>211</v>
      </c>
      <c r="E27" s="50">
        <v>3.2</v>
      </c>
      <c r="F27" s="51" t="s">
        <v>180</v>
      </c>
      <c r="G27" s="52" t="s">
        <v>245</v>
      </c>
    </row>
    <row r="28" spans="1:7" x14ac:dyDescent="0.2">
      <c r="A28" s="46" t="s">
        <v>246</v>
      </c>
      <c r="B28" s="47" t="s">
        <v>247</v>
      </c>
      <c r="C28" s="48">
        <v>16749</v>
      </c>
      <c r="D28" s="49" t="s">
        <v>248</v>
      </c>
      <c r="E28" s="50">
        <v>3.8</v>
      </c>
      <c r="F28" s="51" t="s">
        <v>180</v>
      </c>
      <c r="G28" s="52" t="s">
        <v>249</v>
      </c>
    </row>
    <row r="29" spans="1:7" x14ac:dyDescent="0.2">
      <c r="A29" s="46" t="s">
        <v>250</v>
      </c>
      <c r="B29" s="47" t="s">
        <v>251</v>
      </c>
      <c r="C29" s="48">
        <v>17273</v>
      </c>
      <c r="D29" s="49" t="s">
        <v>248</v>
      </c>
      <c r="E29" s="50">
        <v>3.9</v>
      </c>
      <c r="F29" s="51" t="s">
        <v>180</v>
      </c>
      <c r="G29" s="52" t="s">
        <v>252</v>
      </c>
    </row>
    <row r="30" spans="1:7" x14ac:dyDescent="0.2">
      <c r="A30" s="46"/>
      <c r="B30" s="47"/>
      <c r="C30" s="48"/>
      <c r="D30" s="49"/>
      <c r="E30" s="50"/>
      <c r="F30" s="51"/>
      <c r="G30" s="52"/>
    </row>
    <row r="31" spans="1:7" x14ac:dyDescent="0.2">
      <c r="A31" s="46" t="s">
        <v>253</v>
      </c>
      <c r="B31" s="47" t="s">
        <v>254</v>
      </c>
      <c r="C31" s="48">
        <v>20550</v>
      </c>
      <c r="D31" s="56" t="s">
        <v>255</v>
      </c>
      <c r="E31" s="57">
        <v>7</v>
      </c>
      <c r="F31" s="58" t="s">
        <v>180</v>
      </c>
      <c r="G31" s="59" t="s">
        <v>256</v>
      </c>
    </row>
    <row r="32" spans="1:7" x14ac:dyDescent="0.2">
      <c r="A32" s="46" t="s">
        <v>257</v>
      </c>
      <c r="B32" s="47" t="s">
        <v>258</v>
      </c>
      <c r="C32" s="48">
        <v>20550</v>
      </c>
      <c r="D32" s="56" t="s">
        <v>255</v>
      </c>
      <c r="E32" s="57">
        <v>7</v>
      </c>
      <c r="F32" s="58" t="s">
        <v>180</v>
      </c>
      <c r="G32" s="59" t="s">
        <v>259</v>
      </c>
    </row>
    <row r="33" spans="1:7" x14ac:dyDescent="0.2">
      <c r="A33" s="46" t="s">
        <v>260</v>
      </c>
      <c r="B33" s="47" t="s">
        <v>261</v>
      </c>
      <c r="C33" s="48">
        <v>20773</v>
      </c>
      <c r="D33" s="56" t="s">
        <v>255</v>
      </c>
      <c r="E33" s="57">
        <v>7</v>
      </c>
      <c r="F33" s="58" t="s">
        <v>180</v>
      </c>
      <c r="G33" s="59" t="s">
        <v>262</v>
      </c>
    </row>
    <row r="34" spans="1:7" x14ac:dyDescent="0.2">
      <c r="A34" s="46" t="s">
        <v>263</v>
      </c>
      <c r="B34" s="47" t="s">
        <v>264</v>
      </c>
      <c r="C34" s="48">
        <v>20773</v>
      </c>
      <c r="D34" s="56" t="s">
        <v>255</v>
      </c>
      <c r="E34" s="57">
        <v>7</v>
      </c>
      <c r="F34" s="58" t="s">
        <v>180</v>
      </c>
      <c r="G34" s="59" t="s">
        <v>265</v>
      </c>
    </row>
    <row r="35" spans="1:7" x14ac:dyDescent="0.2">
      <c r="A35" s="46" t="s">
        <v>266</v>
      </c>
      <c r="B35" s="47" t="s">
        <v>267</v>
      </c>
      <c r="C35" s="48">
        <v>20792</v>
      </c>
      <c r="D35" s="56" t="s">
        <v>255</v>
      </c>
      <c r="E35" s="57">
        <v>7</v>
      </c>
      <c r="F35" s="58" t="s">
        <v>180</v>
      </c>
      <c r="G35" s="59" t="s">
        <v>268</v>
      </c>
    </row>
    <row r="36" spans="1:7" x14ac:dyDescent="0.2">
      <c r="A36" s="46" t="s">
        <v>269</v>
      </c>
      <c r="B36" s="47" t="s">
        <v>270</v>
      </c>
      <c r="C36" s="48">
        <v>20913</v>
      </c>
      <c r="D36" s="56" t="s">
        <v>255</v>
      </c>
      <c r="E36" s="57">
        <v>7</v>
      </c>
      <c r="F36" s="58" t="s">
        <v>180</v>
      </c>
      <c r="G36" s="59" t="s">
        <v>271</v>
      </c>
    </row>
    <row r="37" spans="1:7" x14ac:dyDescent="0.2">
      <c r="A37" s="46" t="s">
        <v>272</v>
      </c>
      <c r="B37" s="47" t="s">
        <v>273</v>
      </c>
      <c r="C37" s="48">
        <v>20913</v>
      </c>
      <c r="D37" s="56" t="s">
        <v>255</v>
      </c>
      <c r="E37" s="57">
        <v>7</v>
      </c>
      <c r="F37" s="58" t="s">
        <v>180</v>
      </c>
      <c r="G37" s="59" t="s">
        <v>274</v>
      </c>
    </row>
    <row r="38" spans="1:7" x14ac:dyDescent="0.2">
      <c r="A38" s="46" t="s">
        <v>275</v>
      </c>
      <c r="B38" s="47" t="s">
        <v>276</v>
      </c>
      <c r="C38" s="48">
        <v>20987</v>
      </c>
      <c r="D38" s="56" t="s">
        <v>255</v>
      </c>
      <c r="E38" s="57">
        <v>7</v>
      </c>
      <c r="F38" s="58" t="s">
        <v>180</v>
      </c>
      <c r="G38" s="59" t="s">
        <v>277</v>
      </c>
    </row>
    <row r="39" spans="1:7" x14ac:dyDescent="0.2">
      <c r="A39" s="46" t="s">
        <v>278</v>
      </c>
      <c r="B39" s="47" t="s">
        <v>279</v>
      </c>
      <c r="C39" s="48">
        <v>21226</v>
      </c>
      <c r="D39" s="56" t="s">
        <v>255</v>
      </c>
      <c r="E39" s="57">
        <v>7</v>
      </c>
      <c r="F39" s="58" t="s">
        <v>180</v>
      </c>
      <c r="G39" s="59" t="s">
        <v>280</v>
      </c>
    </row>
    <row r="40" spans="1:7" x14ac:dyDescent="0.2">
      <c r="A40" s="46" t="s">
        <v>281</v>
      </c>
      <c r="B40" s="47" t="s">
        <v>282</v>
      </c>
      <c r="C40" s="48">
        <v>21226</v>
      </c>
      <c r="D40" s="56" t="s">
        <v>255</v>
      </c>
      <c r="E40" s="57">
        <v>7</v>
      </c>
      <c r="F40" s="58" t="s">
        <v>180</v>
      </c>
      <c r="G40" s="59" t="s">
        <v>283</v>
      </c>
    </row>
    <row r="41" spans="1:7" x14ac:dyDescent="0.2">
      <c r="A41" s="46" t="s">
        <v>284</v>
      </c>
      <c r="B41" s="47" t="s">
        <v>285</v>
      </c>
      <c r="C41" s="48">
        <v>22972</v>
      </c>
      <c r="D41" s="56" t="s">
        <v>255</v>
      </c>
      <c r="E41" s="57">
        <v>7</v>
      </c>
      <c r="F41" s="58" t="s">
        <v>180</v>
      </c>
      <c r="G41" s="59" t="s">
        <v>286</v>
      </c>
    </row>
    <row r="42" spans="1:7" x14ac:dyDescent="0.2">
      <c r="A42" s="46" t="s">
        <v>287</v>
      </c>
      <c r="B42" s="47" t="s">
        <v>288</v>
      </c>
      <c r="C42" s="48">
        <v>23566</v>
      </c>
      <c r="D42" s="56" t="s">
        <v>255</v>
      </c>
      <c r="E42" s="57">
        <v>7</v>
      </c>
      <c r="F42" s="58" t="s">
        <v>180</v>
      </c>
      <c r="G42" s="59" t="s">
        <v>289</v>
      </c>
    </row>
    <row r="43" spans="1:7" x14ac:dyDescent="0.2">
      <c r="A43" s="46" t="s">
        <v>290</v>
      </c>
      <c r="B43" s="47" t="s">
        <v>291</v>
      </c>
      <c r="C43" s="48">
        <v>24659</v>
      </c>
      <c r="D43" s="56" t="s">
        <v>255</v>
      </c>
      <c r="E43" s="57">
        <v>7</v>
      </c>
      <c r="F43" s="58" t="s">
        <v>180</v>
      </c>
      <c r="G43" s="59" t="s">
        <v>292</v>
      </c>
    </row>
    <row r="44" spans="1:7" x14ac:dyDescent="0.2">
      <c r="A44" s="46" t="s">
        <v>293</v>
      </c>
      <c r="B44" s="47" t="s">
        <v>294</v>
      </c>
      <c r="C44" s="48">
        <v>25973</v>
      </c>
      <c r="D44" s="56" t="s">
        <v>255</v>
      </c>
      <c r="E44" s="57">
        <v>7</v>
      </c>
      <c r="F44" s="58" t="s">
        <v>180</v>
      </c>
      <c r="G44" s="59" t="s">
        <v>295</v>
      </c>
    </row>
    <row r="45" spans="1:7" x14ac:dyDescent="0.2">
      <c r="A45" s="46" t="s">
        <v>296</v>
      </c>
      <c r="B45" s="47" t="s">
        <v>297</v>
      </c>
      <c r="C45" s="48">
        <v>29050</v>
      </c>
      <c r="D45" s="56" t="s">
        <v>255</v>
      </c>
      <c r="E45" s="57">
        <v>8</v>
      </c>
      <c r="F45" s="58" t="s">
        <v>180</v>
      </c>
      <c r="G45" s="59" t="s">
        <v>298</v>
      </c>
    </row>
    <row r="46" spans="1:7" x14ac:dyDescent="0.2">
      <c r="A46" s="46" t="s">
        <v>299</v>
      </c>
      <c r="B46" s="47" t="s">
        <v>300</v>
      </c>
      <c r="C46" s="48">
        <v>29916</v>
      </c>
      <c r="D46" s="56" t="s">
        <v>255</v>
      </c>
      <c r="E46" s="57">
        <v>8</v>
      </c>
      <c r="F46" s="58" t="s">
        <v>180</v>
      </c>
      <c r="G46" s="59" t="s">
        <v>301</v>
      </c>
    </row>
    <row r="47" spans="1:7" x14ac:dyDescent="0.2">
      <c r="A47" s="46" t="s">
        <v>302</v>
      </c>
      <c r="B47" s="47" t="s">
        <v>303</v>
      </c>
      <c r="C47" s="48">
        <v>32168</v>
      </c>
      <c r="D47" s="56" t="s">
        <v>255</v>
      </c>
      <c r="E47" s="57">
        <v>8</v>
      </c>
      <c r="F47" s="58" t="s">
        <v>180</v>
      </c>
      <c r="G47" s="59" t="s">
        <v>304</v>
      </c>
    </row>
    <row r="48" spans="1:7" x14ac:dyDescent="0.25">
      <c r="A48" s="53"/>
      <c r="B48" s="60"/>
      <c r="C48" s="61"/>
      <c r="D48" s="49"/>
      <c r="E48" s="50"/>
      <c r="F48" s="51"/>
      <c r="G48" s="51"/>
    </row>
    <row r="49" spans="1:7" x14ac:dyDescent="0.25">
      <c r="A49" s="53" t="s">
        <v>305</v>
      </c>
      <c r="B49" s="62" t="s">
        <v>306</v>
      </c>
      <c r="C49" s="48">
        <v>8263</v>
      </c>
      <c r="D49" s="49" t="s">
        <v>307</v>
      </c>
      <c r="E49" s="50">
        <v>1.3</v>
      </c>
      <c r="F49" s="51" t="s">
        <v>180</v>
      </c>
      <c r="G49" s="52" t="s">
        <v>308</v>
      </c>
    </row>
    <row r="50" spans="1:7" x14ac:dyDescent="0.25">
      <c r="A50" s="53" t="s">
        <v>309</v>
      </c>
      <c r="B50" s="62" t="s">
        <v>310</v>
      </c>
      <c r="C50" s="48">
        <v>8263</v>
      </c>
      <c r="D50" s="49" t="s">
        <v>307</v>
      </c>
      <c r="E50" s="50">
        <v>1.3</v>
      </c>
      <c r="F50" s="51" t="s">
        <v>180</v>
      </c>
      <c r="G50" s="52" t="s">
        <v>311</v>
      </c>
    </row>
    <row r="51" spans="1:7" x14ac:dyDescent="0.25">
      <c r="A51" s="53" t="s">
        <v>312</v>
      </c>
      <c r="B51" s="62" t="s">
        <v>313</v>
      </c>
      <c r="C51" s="48">
        <v>8328</v>
      </c>
      <c r="D51" s="49" t="s">
        <v>307</v>
      </c>
      <c r="E51" s="50">
        <v>1.3</v>
      </c>
      <c r="F51" s="51" t="s">
        <v>180</v>
      </c>
      <c r="G51" s="52" t="s">
        <v>314</v>
      </c>
    </row>
    <row r="52" spans="1:7" x14ac:dyDescent="0.25">
      <c r="A52" s="53" t="s">
        <v>315</v>
      </c>
      <c r="B52" s="62" t="s">
        <v>316</v>
      </c>
      <c r="C52" s="48">
        <v>8328</v>
      </c>
      <c r="D52" s="49" t="s">
        <v>307</v>
      </c>
      <c r="E52" s="50">
        <v>1.3</v>
      </c>
      <c r="F52" s="51" t="s">
        <v>180</v>
      </c>
      <c r="G52" s="52" t="s">
        <v>317</v>
      </c>
    </row>
    <row r="53" spans="1:7" x14ac:dyDescent="0.25">
      <c r="A53" s="53" t="s">
        <v>318</v>
      </c>
      <c r="B53" s="62" t="s">
        <v>319</v>
      </c>
      <c r="C53" s="48">
        <v>8328</v>
      </c>
      <c r="D53" s="49" t="s">
        <v>307</v>
      </c>
      <c r="E53" s="50">
        <v>1.3</v>
      </c>
      <c r="F53" s="51" t="s">
        <v>180</v>
      </c>
      <c r="G53" s="52" t="s">
        <v>320</v>
      </c>
    </row>
    <row r="54" spans="1:7" x14ac:dyDescent="0.25">
      <c r="A54" s="53" t="s">
        <v>321</v>
      </c>
      <c r="B54" s="62" t="s">
        <v>322</v>
      </c>
      <c r="C54" s="48">
        <v>8328</v>
      </c>
      <c r="D54" s="49" t="s">
        <v>307</v>
      </c>
      <c r="E54" s="50">
        <v>1.3</v>
      </c>
      <c r="F54" s="51" t="s">
        <v>180</v>
      </c>
      <c r="G54" s="52" t="s">
        <v>323</v>
      </c>
    </row>
    <row r="55" spans="1:7" x14ac:dyDescent="0.25">
      <c r="A55" s="53" t="s">
        <v>324</v>
      </c>
      <c r="B55" s="62" t="s">
        <v>325</v>
      </c>
      <c r="C55" s="48">
        <v>8328</v>
      </c>
      <c r="D55" s="49" t="s">
        <v>307</v>
      </c>
      <c r="E55" s="50">
        <v>1.3</v>
      </c>
      <c r="F55" s="51" t="s">
        <v>180</v>
      </c>
      <c r="G55" s="52" t="s">
        <v>326</v>
      </c>
    </row>
    <row r="56" spans="1:7" x14ac:dyDescent="0.25">
      <c r="A56" s="53" t="s">
        <v>327</v>
      </c>
      <c r="B56" s="62" t="s">
        <v>328</v>
      </c>
      <c r="C56" s="48">
        <v>8328</v>
      </c>
      <c r="D56" s="49" t="s">
        <v>307</v>
      </c>
      <c r="E56" s="50">
        <v>1.3</v>
      </c>
      <c r="F56" s="51" t="s">
        <v>180</v>
      </c>
      <c r="G56" s="52" t="s">
        <v>329</v>
      </c>
    </row>
    <row r="57" spans="1:7" x14ac:dyDescent="0.25">
      <c r="A57" s="53" t="s">
        <v>330</v>
      </c>
      <c r="B57" s="62" t="s">
        <v>331</v>
      </c>
      <c r="C57" s="48">
        <v>8445</v>
      </c>
      <c r="D57" s="49" t="s">
        <v>307</v>
      </c>
      <c r="E57" s="50">
        <v>1.3</v>
      </c>
      <c r="F57" s="51" t="s">
        <v>180</v>
      </c>
      <c r="G57" s="52" t="s">
        <v>332</v>
      </c>
    </row>
    <row r="58" spans="1:7" x14ac:dyDescent="0.25">
      <c r="A58" s="53" t="s">
        <v>333</v>
      </c>
      <c r="B58" s="62" t="s">
        <v>334</v>
      </c>
      <c r="C58" s="48">
        <v>8445</v>
      </c>
      <c r="D58" s="49" t="s">
        <v>307</v>
      </c>
      <c r="E58" s="50">
        <v>1.3</v>
      </c>
      <c r="F58" s="51" t="s">
        <v>180</v>
      </c>
      <c r="G58" s="52" t="s">
        <v>335</v>
      </c>
    </row>
    <row r="59" spans="1:7" x14ac:dyDescent="0.25">
      <c r="A59" s="53" t="s">
        <v>336</v>
      </c>
      <c r="B59" s="62" t="s">
        <v>337</v>
      </c>
      <c r="C59" s="48">
        <v>8578</v>
      </c>
      <c r="D59" s="49" t="s">
        <v>307</v>
      </c>
      <c r="E59" s="50">
        <v>1.4</v>
      </c>
      <c r="F59" s="51" t="s">
        <v>180</v>
      </c>
      <c r="G59" s="52" t="s">
        <v>338</v>
      </c>
    </row>
    <row r="60" spans="1:7" x14ac:dyDescent="0.25">
      <c r="A60" s="53" t="s">
        <v>339</v>
      </c>
      <c r="B60" s="62" t="s">
        <v>340</v>
      </c>
      <c r="C60" s="48">
        <v>8976</v>
      </c>
      <c r="D60" s="49" t="s">
        <v>307</v>
      </c>
      <c r="E60" s="50">
        <v>1.4</v>
      </c>
      <c r="F60" s="51" t="s">
        <v>180</v>
      </c>
      <c r="G60" s="52" t="s">
        <v>341</v>
      </c>
    </row>
    <row r="61" spans="1:7" x14ac:dyDescent="0.25">
      <c r="A61" s="53"/>
      <c r="B61" s="62"/>
      <c r="C61" s="55"/>
      <c r="D61" s="49"/>
      <c r="E61" s="50"/>
      <c r="F61" s="51"/>
      <c r="G61" s="51"/>
    </row>
    <row r="62" spans="1:7" x14ac:dyDescent="0.2">
      <c r="A62" s="46" t="s">
        <v>342</v>
      </c>
      <c r="B62" s="47" t="s">
        <v>343</v>
      </c>
      <c r="C62" s="63">
        <v>11220</v>
      </c>
      <c r="D62" s="49" t="s">
        <v>344</v>
      </c>
      <c r="E62" s="50">
        <v>0.9</v>
      </c>
      <c r="F62" s="51" t="s">
        <v>180</v>
      </c>
      <c r="G62" s="52" t="s">
        <v>345</v>
      </c>
    </row>
    <row r="63" spans="1:7" x14ac:dyDescent="0.25">
      <c r="A63" s="53"/>
      <c r="B63" s="62"/>
      <c r="C63" s="55"/>
      <c r="D63" s="49"/>
      <c r="E63" s="50"/>
      <c r="F63" s="51"/>
      <c r="G63" s="51"/>
    </row>
    <row r="64" spans="1:7" x14ac:dyDescent="0.2">
      <c r="A64" s="46" t="s">
        <v>346</v>
      </c>
      <c r="B64" s="47" t="s">
        <v>347</v>
      </c>
      <c r="C64" s="48">
        <v>24046</v>
      </c>
      <c r="D64" s="49" t="s">
        <v>179</v>
      </c>
      <c r="E64" s="50">
        <v>2.1</v>
      </c>
      <c r="F64" s="51" t="s">
        <v>180</v>
      </c>
      <c r="G64" s="52" t="s">
        <v>348</v>
      </c>
    </row>
    <row r="65" spans="1:7" x14ac:dyDescent="0.2">
      <c r="A65" s="46" t="s">
        <v>349</v>
      </c>
      <c r="B65" s="47" t="s">
        <v>350</v>
      </c>
      <c r="C65" s="48">
        <v>24046</v>
      </c>
      <c r="D65" s="49" t="s">
        <v>179</v>
      </c>
      <c r="E65" s="50">
        <v>2.1</v>
      </c>
      <c r="F65" s="51" t="s">
        <v>180</v>
      </c>
      <c r="G65" s="52" t="s">
        <v>351</v>
      </c>
    </row>
    <row r="66" spans="1:7" x14ac:dyDescent="0.2">
      <c r="A66" s="46" t="s">
        <v>352</v>
      </c>
      <c r="B66" s="47" t="s">
        <v>353</v>
      </c>
      <c r="C66" s="48">
        <v>24240</v>
      </c>
      <c r="D66" s="49" t="s">
        <v>179</v>
      </c>
      <c r="E66" s="50">
        <v>2.1</v>
      </c>
      <c r="F66" s="51" t="s">
        <v>180</v>
      </c>
      <c r="G66" s="52" t="s">
        <v>354</v>
      </c>
    </row>
    <row r="67" spans="1:7" x14ac:dyDescent="0.2">
      <c r="A67" s="46" t="s">
        <v>355</v>
      </c>
      <c r="B67" s="47" t="s">
        <v>356</v>
      </c>
      <c r="C67" s="48">
        <v>24240</v>
      </c>
      <c r="D67" s="49" t="s">
        <v>179</v>
      </c>
      <c r="E67" s="50">
        <v>2.1</v>
      </c>
      <c r="F67" s="51" t="s">
        <v>180</v>
      </c>
      <c r="G67" s="52" t="s">
        <v>357</v>
      </c>
    </row>
    <row r="68" spans="1:7" x14ac:dyDescent="0.2">
      <c r="A68" s="46" t="s">
        <v>358</v>
      </c>
      <c r="B68" s="47" t="s">
        <v>359</v>
      </c>
      <c r="C68" s="48">
        <v>24240</v>
      </c>
      <c r="D68" s="49" t="s">
        <v>179</v>
      </c>
      <c r="E68" s="50">
        <v>2.1</v>
      </c>
      <c r="F68" s="51" t="s">
        <v>180</v>
      </c>
      <c r="G68" s="52" t="s">
        <v>360</v>
      </c>
    </row>
    <row r="69" spans="1:7" x14ac:dyDescent="0.2">
      <c r="A69" s="46" t="s">
        <v>361</v>
      </c>
      <c r="B69" s="47" t="s">
        <v>362</v>
      </c>
      <c r="C69" s="48">
        <v>24240</v>
      </c>
      <c r="D69" s="49" t="s">
        <v>179</v>
      </c>
      <c r="E69" s="50">
        <v>2.1</v>
      </c>
      <c r="F69" s="51" t="s">
        <v>180</v>
      </c>
      <c r="G69" s="52" t="s">
        <v>363</v>
      </c>
    </row>
    <row r="70" spans="1:7" x14ac:dyDescent="0.2">
      <c r="A70" s="46" t="s">
        <v>364</v>
      </c>
      <c r="B70" s="47" t="s">
        <v>365</v>
      </c>
      <c r="C70" s="48">
        <v>24240</v>
      </c>
      <c r="D70" s="49" t="s">
        <v>179</v>
      </c>
      <c r="E70" s="50">
        <v>2.1</v>
      </c>
      <c r="F70" s="51" t="s">
        <v>180</v>
      </c>
      <c r="G70" s="52" t="s">
        <v>366</v>
      </c>
    </row>
    <row r="71" spans="1:7" x14ac:dyDescent="0.2">
      <c r="A71" s="46" t="s">
        <v>367</v>
      </c>
      <c r="B71" s="47" t="s">
        <v>368</v>
      </c>
      <c r="C71" s="48">
        <v>24240</v>
      </c>
      <c r="D71" s="49" t="s">
        <v>179</v>
      </c>
      <c r="E71" s="50">
        <v>2.1</v>
      </c>
      <c r="F71" s="51" t="s">
        <v>180</v>
      </c>
      <c r="G71" s="52" t="s">
        <v>369</v>
      </c>
    </row>
    <row r="72" spans="1:7" x14ac:dyDescent="0.2">
      <c r="A72" s="46" t="s">
        <v>370</v>
      </c>
      <c r="B72" s="47" t="s">
        <v>371</v>
      </c>
      <c r="C72" s="48">
        <v>24535</v>
      </c>
      <c r="D72" s="49" t="s">
        <v>179</v>
      </c>
      <c r="E72" s="50">
        <v>2.1</v>
      </c>
      <c r="F72" s="51" t="s">
        <v>180</v>
      </c>
      <c r="G72" s="52" t="s">
        <v>372</v>
      </c>
    </row>
    <row r="73" spans="1:7" x14ac:dyDescent="0.2">
      <c r="A73" s="46" t="s">
        <v>373</v>
      </c>
      <c r="B73" s="47" t="s">
        <v>374</v>
      </c>
      <c r="C73" s="48">
        <v>24535</v>
      </c>
      <c r="D73" s="49" t="s">
        <v>179</v>
      </c>
      <c r="E73" s="50">
        <v>2.1</v>
      </c>
      <c r="F73" s="51" t="s">
        <v>180</v>
      </c>
      <c r="G73" s="52" t="s">
        <v>375</v>
      </c>
    </row>
    <row r="74" spans="1:7" x14ac:dyDescent="0.25">
      <c r="A74" s="53"/>
      <c r="B74" s="62"/>
      <c r="C74" s="55"/>
      <c r="D74" s="49"/>
      <c r="E74" s="50"/>
      <c r="F74" s="51"/>
      <c r="G74" s="51"/>
    </row>
    <row r="75" spans="1:7" x14ac:dyDescent="0.2">
      <c r="A75" s="46" t="s">
        <v>376</v>
      </c>
      <c r="B75" s="47" t="s">
        <v>377</v>
      </c>
      <c r="C75" s="48">
        <v>31468</v>
      </c>
      <c r="D75" s="49" t="s">
        <v>248</v>
      </c>
      <c r="E75" s="50">
        <v>3.9</v>
      </c>
      <c r="F75" s="51" t="s">
        <v>180</v>
      </c>
      <c r="G75" s="52" t="s">
        <v>378</v>
      </c>
    </row>
    <row r="76" spans="1:7" x14ac:dyDescent="0.2">
      <c r="A76" s="46" t="s">
        <v>379</v>
      </c>
      <c r="B76" s="47" t="s">
        <v>380</v>
      </c>
      <c r="C76" s="48">
        <v>31468</v>
      </c>
      <c r="D76" s="49" t="s">
        <v>248</v>
      </c>
      <c r="E76" s="50">
        <v>3.9</v>
      </c>
      <c r="F76" s="51" t="s">
        <v>180</v>
      </c>
      <c r="G76" s="52" t="s">
        <v>381</v>
      </c>
    </row>
    <row r="77" spans="1:7" x14ac:dyDescent="0.2">
      <c r="A77" s="46" t="s">
        <v>382</v>
      </c>
      <c r="B77" s="47" t="s">
        <v>383</v>
      </c>
      <c r="C77" s="48">
        <v>31721</v>
      </c>
      <c r="D77" s="49" t="s">
        <v>248</v>
      </c>
      <c r="E77" s="50">
        <v>3.9</v>
      </c>
      <c r="F77" s="51" t="s">
        <v>180</v>
      </c>
      <c r="G77" s="52" t="s">
        <v>384</v>
      </c>
    </row>
    <row r="78" spans="1:7" x14ac:dyDescent="0.2">
      <c r="A78" s="46" t="s">
        <v>385</v>
      </c>
      <c r="B78" s="47" t="s">
        <v>386</v>
      </c>
      <c r="C78" s="48">
        <v>31721</v>
      </c>
      <c r="D78" s="49" t="s">
        <v>248</v>
      </c>
      <c r="E78" s="50">
        <v>3.9</v>
      </c>
      <c r="F78" s="51" t="s">
        <v>180</v>
      </c>
      <c r="G78" s="52" t="s">
        <v>387</v>
      </c>
    </row>
    <row r="79" spans="1:7" x14ac:dyDescent="0.2">
      <c r="A79" s="46" t="s">
        <v>388</v>
      </c>
      <c r="B79" s="47" t="s">
        <v>389</v>
      </c>
      <c r="C79" s="48">
        <v>31721</v>
      </c>
      <c r="D79" s="49" t="s">
        <v>248</v>
      </c>
      <c r="E79" s="50">
        <v>3.9</v>
      </c>
      <c r="F79" s="51" t="s">
        <v>180</v>
      </c>
      <c r="G79" s="52" t="s">
        <v>390</v>
      </c>
    </row>
    <row r="80" spans="1:7" x14ac:dyDescent="0.2">
      <c r="A80" s="46" t="s">
        <v>391</v>
      </c>
      <c r="B80" s="47" t="s">
        <v>392</v>
      </c>
      <c r="C80" s="48">
        <v>31721</v>
      </c>
      <c r="D80" s="49" t="s">
        <v>248</v>
      </c>
      <c r="E80" s="50">
        <v>3.9</v>
      </c>
      <c r="F80" s="51" t="s">
        <v>180</v>
      </c>
      <c r="G80" s="52" t="s">
        <v>393</v>
      </c>
    </row>
    <row r="81" spans="1:7" x14ac:dyDescent="0.2">
      <c r="A81" s="46" t="s">
        <v>394</v>
      </c>
      <c r="B81" s="47" t="s">
        <v>395</v>
      </c>
      <c r="C81" s="48">
        <v>31721</v>
      </c>
      <c r="D81" s="49" t="s">
        <v>248</v>
      </c>
      <c r="E81" s="50">
        <v>3.9</v>
      </c>
      <c r="F81" s="51" t="s">
        <v>180</v>
      </c>
      <c r="G81" s="52" t="s">
        <v>396</v>
      </c>
    </row>
    <row r="82" spans="1:7" s="45" customFormat="1" ht="15" x14ac:dyDescent="0.2">
      <c r="A82" s="46" t="s">
        <v>397</v>
      </c>
      <c r="B82" s="47" t="s">
        <v>398</v>
      </c>
      <c r="C82" s="48">
        <v>31721</v>
      </c>
      <c r="D82" s="49" t="s">
        <v>248</v>
      </c>
      <c r="E82" s="50">
        <v>3.9</v>
      </c>
      <c r="F82" s="51" t="s">
        <v>180</v>
      </c>
      <c r="G82" s="52" t="s">
        <v>399</v>
      </c>
    </row>
    <row r="83" spans="1:7" x14ac:dyDescent="0.2">
      <c r="A83" s="46" t="s">
        <v>400</v>
      </c>
      <c r="B83" s="47" t="s">
        <v>401</v>
      </c>
      <c r="C83" s="48">
        <v>32005</v>
      </c>
      <c r="D83" s="49" t="s">
        <v>248</v>
      </c>
      <c r="E83" s="50">
        <v>3.9</v>
      </c>
      <c r="F83" s="51" t="s">
        <v>180</v>
      </c>
      <c r="G83" s="52" t="s">
        <v>402</v>
      </c>
    </row>
    <row r="84" spans="1:7" x14ac:dyDescent="0.2">
      <c r="A84" s="46" t="s">
        <v>403</v>
      </c>
      <c r="B84" s="47" t="s">
        <v>404</v>
      </c>
      <c r="C84" s="48">
        <v>32005</v>
      </c>
      <c r="D84" s="49" t="s">
        <v>248</v>
      </c>
      <c r="E84" s="50">
        <v>3.9</v>
      </c>
      <c r="F84" s="51" t="s">
        <v>180</v>
      </c>
      <c r="G84" s="52" t="s">
        <v>405</v>
      </c>
    </row>
    <row r="85" spans="1:7" x14ac:dyDescent="0.2">
      <c r="A85" s="46" t="s">
        <v>406</v>
      </c>
      <c r="B85" s="47" t="s">
        <v>407</v>
      </c>
      <c r="C85" s="48">
        <v>32984</v>
      </c>
      <c r="D85" s="49" t="s">
        <v>248</v>
      </c>
      <c r="E85" s="50">
        <v>4.0999999999999996</v>
      </c>
      <c r="F85" s="51" t="s">
        <v>180</v>
      </c>
      <c r="G85" s="52" t="s">
        <v>408</v>
      </c>
    </row>
    <row r="86" spans="1:7" x14ac:dyDescent="0.2">
      <c r="A86" s="46" t="s">
        <v>409</v>
      </c>
      <c r="B86" s="47" t="s">
        <v>410</v>
      </c>
      <c r="C86" s="48">
        <v>34493</v>
      </c>
      <c r="D86" s="49" t="s">
        <v>248</v>
      </c>
      <c r="E86" s="50">
        <v>4.0999999999999996</v>
      </c>
      <c r="F86" s="51" t="s">
        <v>180</v>
      </c>
      <c r="G86" s="52" t="s">
        <v>411</v>
      </c>
    </row>
    <row r="87" spans="1:7" s="45" customFormat="1" ht="15" x14ac:dyDescent="0.25">
      <c r="A87" s="64"/>
      <c r="B87" s="64" t="s">
        <v>412</v>
      </c>
      <c r="C87" s="64"/>
      <c r="D87" s="65"/>
      <c r="E87" s="64"/>
      <c r="F87" s="64"/>
      <c r="G87" s="64"/>
    </row>
    <row r="88" spans="1:7" s="69" customFormat="1" ht="15" x14ac:dyDescent="0.25">
      <c r="A88" s="66"/>
      <c r="B88" s="67" t="s">
        <v>413</v>
      </c>
      <c r="C88" s="66"/>
      <c r="D88" s="68"/>
      <c r="E88" s="66"/>
      <c r="F88" s="66"/>
      <c r="G88" s="66"/>
    </row>
    <row r="89" spans="1:7" x14ac:dyDescent="0.2">
      <c r="A89" s="70" t="s">
        <v>414</v>
      </c>
      <c r="B89" s="71" t="s">
        <v>415</v>
      </c>
      <c r="C89" s="63">
        <v>29702</v>
      </c>
      <c r="D89" s="56" t="s">
        <v>248</v>
      </c>
      <c r="E89" s="72">
        <v>3.5</v>
      </c>
      <c r="F89" s="58" t="s">
        <v>180</v>
      </c>
      <c r="G89" s="59" t="s">
        <v>416</v>
      </c>
    </row>
    <row r="90" spans="1:7" x14ac:dyDescent="0.2">
      <c r="A90" s="70" t="s">
        <v>417</v>
      </c>
      <c r="B90" s="71" t="s">
        <v>418</v>
      </c>
      <c r="C90" s="63">
        <v>29767</v>
      </c>
      <c r="D90" s="56" t="s">
        <v>248</v>
      </c>
      <c r="E90" s="72">
        <v>3.5</v>
      </c>
      <c r="F90" s="58" t="s">
        <v>180</v>
      </c>
      <c r="G90" s="59" t="s">
        <v>419</v>
      </c>
    </row>
    <row r="91" spans="1:7" x14ac:dyDescent="0.2">
      <c r="A91" s="70" t="s">
        <v>420</v>
      </c>
      <c r="B91" s="71" t="s">
        <v>421</v>
      </c>
      <c r="C91" s="63">
        <v>30573</v>
      </c>
      <c r="D91" s="56" t="s">
        <v>248</v>
      </c>
      <c r="E91" s="72">
        <v>3.5</v>
      </c>
      <c r="F91" s="58" t="s">
        <v>180</v>
      </c>
      <c r="G91" s="59" t="s">
        <v>422</v>
      </c>
    </row>
    <row r="92" spans="1:7" x14ac:dyDescent="0.2">
      <c r="A92" s="70" t="s">
        <v>423</v>
      </c>
      <c r="B92" s="71" t="s">
        <v>424</v>
      </c>
      <c r="C92" s="63">
        <v>34181</v>
      </c>
      <c r="D92" s="56" t="s">
        <v>425</v>
      </c>
      <c r="E92" s="72">
        <v>4.8</v>
      </c>
      <c r="F92" s="58" t="s">
        <v>180</v>
      </c>
      <c r="G92" s="59" t="s">
        <v>426</v>
      </c>
    </row>
    <row r="93" spans="1:7" x14ac:dyDescent="0.2">
      <c r="A93" s="70" t="s">
        <v>427</v>
      </c>
      <c r="B93" s="71" t="s">
        <v>428</v>
      </c>
      <c r="C93" s="63">
        <v>36052</v>
      </c>
      <c r="D93" s="56" t="s">
        <v>425</v>
      </c>
      <c r="E93" s="72">
        <v>4.8</v>
      </c>
      <c r="F93" s="58" t="s">
        <v>180</v>
      </c>
      <c r="G93" s="59" t="s">
        <v>429</v>
      </c>
    </row>
    <row r="94" spans="1:7" x14ac:dyDescent="0.2">
      <c r="A94" s="73" t="s">
        <v>430</v>
      </c>
      <c r="B94" s="71" t="s">
        <v>431</v>
      </c>
      <c r="C94" s="74">
        <v>34513</v>
      </c>
      <c r="D94" s="56" t="s">
        <v>432</v>
      </c>
      <c r="E94" s="72">
        <v>7</v>
      </c>
      <c r="F94" s="58" t="s">
        <v>180</v>
      </c>
      <c r="G94" s="59" t="s">
        <v>433</v>
      </c>
    </row>
    <row r="95" spans="1:7" x14ac:dyDescent="0.2">
      <c r="A95" s="73" t="s">
        <v>434</v>
      </c>
      <c r="B95" s="71" t="s">
        <v>435</v>
      </c>
      <c r="C95" s="74">
        <v>34576</v>
      </c>
      <c r="D95" s="56" t="s">
        <v>432</v>
      </c>
      <c r="E95" s="72">
        <v>7</v>
      </c>
      <c r="F95" s="58" t="s">
        <v>180</v>
      </c>
      <c r="G95" s="59" t="s">
        <v>436</v>
      </c>
    </row>
    <row r="96" spans="1:7" x14ac:dyDescent="0.2">
      <c r="A96" s="73" t="s">
        <v>437</v>
      </c>
      <c r="B96" s="71" t="s">
        <v>438</v>
      </c>
      <c r="C96" s="74">
        <v>34866</v>
      </c>
      <c r="D96" s="56" t="s">
        <v>432</v>
      </c>
      <c r="E96" s="72">
        <v>7</v>
      </c>
      <c r="F96" s="58" t="s">
        <v>180</v>
      </c>
      <c r="G96" s="59" t="s">
        <v>439</v>
      </c>
    </row>
    <row r="97" spans="1:7" x14ac:dyDescent="0.2">
      <c r="A97" s="73" t="s">
        <v>440</v>
      </c>
      <c r="B97" s="71" t="s">
        <v>441</v>
      </c>
      <c r="C97" s="74">
        <v>37766</v>
      </c>
      <c r="D97" s="56" t="s">
        <v>432</v>
      </c>
      <c r="E97" s="72">
        <v>7</v>
      </c>
      <c r="F97" s="58" t="s">
        <v>180</v>
      </c>
      <c r="G97" s="59" t="s">
        <v>442</v>
      </c>
    </row>
    <row r="98" spans="1:7" x14ac:dyDescent="0.2">
      <c r="A98" s="73" t="s">
        <v>443</v>
      </c>
      <c r="B98" s="71" t="s">
        <v>444</v>
      </c>
      <c r="C98" s="74">
        <v>38976</v>
      </c>
      <c r="D98" s="56" t="s">
        <v>432</v>
      </c>
      <c r="E98" s="72">
        <v>7</v>
      </c>
      <c r="F98" s="58" t="s">
        <v>180</v>
      </c>
      <c r="G98" s="59" t="s">
        <v>445</v>
      </c>
    </row>
    <row r="99" spans="1:7" x14ac:dyDescent="0.2">
      <c r="A99" s="73" t="s">
        <v>446</v>
      </c>
      <c r="B99" s="71" t="s">
        <v>447</v>
      </c>
      <c r="C99" s="74">
        <v>43474</v>
      </c>
      <c r="D99" s="56" t="s">
        <v>432</v>
      </c>
      <c r="E99" s="72">
        <v>8</v>
      </c>
      <c r="F99" s="58" t="s">
        <v>180</v>
      </c>
      <c r="G99" s="59" t="s">
        <v>448</v>
      </c>
    </row>
    <row r="100" spans="1:7" x14ac:dyDescent="0.2">
      <c r="A100" s="73" t="s">
        <v>449</v>
      </c>
      <c r="B100" s="71" t="s">
        <v>450</v>
      </c>
      <c r="C100" s="74">
        <v>47952</v>
      </c>
      <c r="D100" s="56" t="s">
        <v>432</v>
      </c>
      <c r="E100" s="72">
        <v>8</v>
      </c>
      <c r="F100" s="58" t="s">
        <v>180</v>
      </c>
      <c r="G100" s="59" t="s">
        <v>451</v>
      </c>
    </row>
    <row r="101" spans="1:7" x14ac:dyDescent="0.2">
      <c r="A101" s="73" t="s">
        <v>452</v>
      </c>
      <c r="B101" s="71" t="s">
        <v>453</v>
      </c>
      <c r="C101" s="74">
        <v>51333</v>
      </c>
      <c r="D101" s="56" t="s">
        <v>432</v>
      </c>
      <c r="E101" s="72">
        <v>8</v>
      </c>
      <c r="F101" s="58" t="s">
        <v>180</v>
      </c>
      <c r="G101" s="59" t="s">
        <v>454</v>
      </c>
    </row>
    <row r="102" spans="1:7" x14ac:dyDescent="0.2">
      <c r="A102" s="70" t="s">
        <v>455</v>
      </c>
      <c r="B102" s="71" t="s">
        <v>456</v>
      </c>
      <c r="C102" s="74">
        <v>32864</v>
      </c>
      <c r="D102" s="56" t="s">
        <v>248</v>
      </c>
      <c r="E102" s="72">
        <v>3.5</v>
      </c>
      <c r="F102" s="58" t="s">
        <v>180</v>
      </c>
      <c r="G102" s="59" t="s">
        <v>457</v>
      </c>
    </row>
    <row r="103" spans="1:7" x14ac:dyDescent="0.2">
      <c r="A103" s="70" t="s">
        <v>458</v>
      </c>
      <c r="B103" s="71" t="s">
        <v>459</v>
      </c>
      <c r="C103" s="74">
        <v>32907</v>
      </c>
      <c r="D103" s="56" t="s">
        <v>248</v>
      </c>
      <c r="E103" s="72">
        <v>3.5</v>
      </c>
      <c r="F103" s="58" t="s">
        <v>180</v>
      </c>
      <c r="G103" s="59" t="s">
        <v>457</v>
      </c>
    </row>
    <row r="104" spans="1:7" x14ac:dyDescent="0.2">
      <c r="A104" s="70" t="s">
        <v>460</v>
      </c>
      <c r="B104" s="71" t="s">
        <v>461</v>
      </c>
      <c r="C104" s="74">
        <v>33765</v>
      </c>
      <c r="D104" s="56" t="s">
        <v>248</v>
      </c>
      <c r="E104" s="72">
        <v>3.5</v>
      </c>
      <c r="F104" s="58" t="s">
        <v>180</v>
      </c>
      <c r="G104" s="59" t="s">
        <v>457</v>
      </c>
    </row>
    <row r="105" spans="1:7" x14ac:dyDescent="0.2">
      <c r="A105" s="70" t="s">
        <v>462</v>
      </c>
      <c r="B105" s="71" t="s">
        <v>463</v>
      </c>
      <c r="C105" s="74">
        <v>37423</v>
      </c>
      <c r="D105" s="56" t="s">
        <v>425</v>
      </c>
      <c r="E105" s="72">
        <v>4.8</v>
      </c>
      <c r="F105" s="58" t="s">
        <v>180</v>
      </c>
      <c r="G105" s="59" t="s">
        <v>457</v>
      </c>
    </row>
    <row r="106" spans="1:7" x14ac:dyDescent="0.2">
      <c r="A106" s="70" t="s">
        <v>464</v>
      </c>
      <c r="B106" s="71" t="s">
        <v>465</v>
      </c>
      <c r="C106" s="74">
        <v>39351</v>
      </c>
      <c r="D106" s="56" t="s">
        <v>425</v>
      </c>
      <c r="E106" s="72">
        <v>4.8</v>
      </c>
      <c r="F106" s="58" t="s">
        <v>180</v>
      </c>
      <c r="G106" s="59" t="s">
        <v>457</v>
      </c>
    </row>
    <row r="107" spans="1:7" x14ac:dyDescent="0.2">
      <c r="A107" s="73" t="s">
        <v>466</v>
      </c>
      <c r="B107" s="71" t="s">
        <v>467</v>
      </c>
      <c r="C107" s="74">
        <v>37369</v>
      </c>
      <c r="D107" s="56" t="s">
        <v>432</v>
      </c>
      <c r="E107" s="72">
        <v>7</v>
      </c>
      <c r="F107" s="58" t="s">
        <v>180</v>
      </c>
      <c r="G107" s="59" t="s">
        <v>468</v>
      </c>
    </row>
    <row r="108" spans="1:7" x14ac:dyDescent="0.2">
      <c r="A108" s="73" t="s">
        <v>469</v>
      </c>
      <c r="B108" s="71" t="s">
        <v>470</v>
      </c>
      <c r="C108" s="74">
        <v>37431</v>
      </c>
      <c r="D108" s="56" t="s">
        <v>432</v>
      </c>
      <c r="E108" s="72">
        <v>7</v>
      </c>
      <c r="F108" s="58" t="s">
        <v>180</v>
      </c>
      <c r="G108" s="59" t="s">
        <v>471</v>
      </c>
    </row>
    <row r="109" spans="1:7" x14ac:dyDescent="0.2">
      <c r="A109" s="73" t="s">
        <v>472</v>
      </c>
      <c r="B109" s="71" t="s">
        <v>473</v>
      </c>
      <c r="C109" s="74">
        <v>37722</v>
      </c>
      <c r="D109" s="56" t="s">
        <v>432</v>
      </c>
      <c r="E109" s="72">
        <v>7</v>
      </c>
      <c r="F109" s="58" t="s">
        <v>180</v>
      </c>
      <c r="G109" s="59" t="s">
        <v>474</v>
      </c>
    </row>
    <row r="110" spans="1:7" x14ac:dyDescent="0.2">
      <c r="A110" s="73" t="s">
        <v>475</v>
      </c>
      <c r="B110" s="71" t="s">
        <v>476</v>
      </c>
      <c r="C110" s="74">
        <v>40622</v>
      </c>
      <c r="D110" s="56" t="s">
        <v>432</v>
      </c>
      <c r="E110" s="72">
        <v>7</v>
      </c>
      <c r="F110" s="58" t="s">
        <v>180</v>
      </c>
      <c r="G110" s="59" t="s">
        <v>477</v>
      </c>
    </row>
    <row r="111" spans="1:7" x14ac:dyDescent="0.2">
      <c r="A111" s="73" t="s">
        <v>478</v>
      </c>
      <c r="B111" s="71" t="s">
        <v>479</v>
      </c>
      <c r="C111" s="74">
        <v>41831</v>
      </c>
      <c r="D111" s="56" t="s">
        <v>432</v>
      </c>
      <c r="E111" s="72">
        <v>7</v>
      </c>
      <c r="F111" s="58" t="s">
        <v>180</v>
      </c>
      <c r="G111" s="59" t="s">
        <v>480</v>
      </c>
    </row>
    <row r="112" spans="1:7" x14ac:dyDescent="0.2">
      <c r="A112" s="73" t="s">
        <v>481</v>
      </c>
      <c r="B112" s="71" t="s">
        <v>482</v>
      </c>
      <c r="C112" s="74">
        <v>46401</v>
      </c>
      <c r="D112" s="56" t="s">
        <v>432</v>
      </c>
      <c r="E112" s="72">
        <v>8</v>
      </c>
      <c r="F112" s="58" t="s">
        <v>180</v>
      </c>
      <c r="G112" s="59" t="s">
        <v>483</v>
      </c>
    </row>
    <row r="113" spans="1:7" x14ac:dyDescent="0.2">
      <c r="A113" s="73" t="s">
        <v>484</v>
      </c>
      <c r="B113" s="71" t="s">
        <v>485</v>
      </c>
      <c r="C113" s="74">
        <v>50925</v>
      </c>
      <c r="D113" s="56" t="s">
        <v>432</v>
      </c>
      <c r="E113" s="72">
        <v>8</v>
      </c>
      <c r="F113" s="58" t="s">
        <v>180</v>
      </c>
      <c r="G113" s="59" t="s">
        <v>486</v>
      </c>
    </row>
    <row r="114" spans="1:7" x14ac:dyDescent="0.2">
      <c r="A114" s="73" t="s">
        <v>487</v>
      </c>
      <c r="B114" s="71" t="s">
        <v>488</v>
      </c>
      <c r="C114" s="74">
        <v>54354</v>
      </c>
      <c r="D114" s="56" t="s">
        <v>432</v>
      </c>
      <c r="E114" s="72">
        <v>8</v>
      </c>
      <c r="F114" s="58" t="s">
        <v>180</v>
      </c>
      <c r="G114" s="59" t="s">
        <v>489</v>
      </c>
    </row>
    <row r="115" spans="1:7" x14ac:dyDescent="0.2">
      <c r="A115" s="70" t="s">
        <v>490</v>
      </c>
      <c r="B115" s="71" t="s">
        <v>491</v>
      </c>
      <c r="C115" s="74">
        <v>27913</v>
      </c>
      <c r="D115" s="56" t="s">
        <v>248</v>
      </c>
      <c r="E115" s="72">
        <v>4.0999999999999996</v>
      </c>
      <c r="F115" s="58" t="s">
        <v>180</v>
      </c>
      <c r="G115" s="59" t="s">
        <v>492</v>
      </c>
    </row>
    <row r="116" spans="1:7" x14ac:dyDescent="0.2">
      <c r="A116" s="70" t="s">
        <v>493</v>
      </c>
      <c r="B116" s="71" t="s">
        <v>494</v>
      </c>
      <c r="C116" s="74">
        <v>30273</v>
      </c>
      <c r="D116" s="56" t="s">
        <v>248</v>
      </c>
      <c r="E116" s="72">
        <v>4.0999999999999996</v>
      </c>
      <c r="F116" s="58" t="s">
        <v>180</v>
      </c>
      <c r="G116" s="59" t="s">
        <v>495</v>
      </c>
    </row>
    <row r="117" spans="1:7" x14ac:dyDescent="0.2">
      <c r="A117" s="70" t="s">
        <v>496</v>
      </c>
      <c r="B117" s="71" t="s">
        <v>497</v>
      </c>
      <c r="C117" s="74">
        <v>33777</v>
      </c>
      <c r="D117" s="56" t="s">
        <v>498</v>
      </c>
      <c r="E117" s="72">
        <v>5.6</v>
      </c>
      <c r="F117" s="58" t="s">
        <v>180</v>
      </c>
      <c r="G117" s="59" t="s">
        <v>499</v>
      </c>
    </row>
    <row r="118" spans="1:7" x14ac:dyDescent="0.2">
      <c r="A118" s="70" t="s">
        <v>500</v>
      </c>
      <c r="B118" s="71" t="s">
        <v>501</v>
      </c>
      <c r="C118" s="74">
        <v>38557</v>
      </c>
      <c r="D118" s="56" t="s">
        <v>498</v>
      </c>
      <c r="E118" s="72">
        <v>5.8</v>
      </c>
      <c r="F118" s="58" t="s">
        <v>180</v>
      </c>
      <c r="G118" s="59" t="s">
        <v>502</v>
      </c>
    </row>
    <row r="119" spans="1:7" x14ac:dyDescent="0.2">
      <c r="A119" s="73" t="s">
        <v>503</v>
      </c>
      <c r="B119" s="75" t="s">
        <v>504</v>
      </c>
      <c r="C119" s="74">
        <v>36819</v>
      </c>
      <c r="D119" s="56" t="s">
        <v>432</v>
      </c>
      <c r="E119" s="72">
        <v>7</v>
      </c>
      <c r="F119" s="58" t="s">
        <v>180</v>
      </c>
      <c r="G119" s="59" t="s">
        <v>505</v>
      </c>
    </row>
    <row r="120" spans="1:7" x14ac:dyDescent="0.2">
      <c r="A120" s="73" t="s">
        <v>506</v>
      </c>
      <c r="B120" s="75" t="s">
        <v>507</v>
      </c>
      <c r="C120" s="74">
        <v>37114</v>
      </c>
      <c r="D120" s="56" t="s">
        <v>432</v>
      </c>
      <c r="E120" s="72">
        <v>7</v>
      </c>
      <c r="F120" s="58" t="s">
        <v>180</v>
      </c>
      <c r="G120" s="59" t="s">
        <v>508</v>
      </c>
    </row>
    <row r="121" spans="1:7" x14ac:dyDescent="0.2">
      <c r="A121" s="73" t="s">
        <v>509</v>
      </c>
      <c r="B121" s="75" t="s">
        <v>510</v>
      </c>
      <c r="C121" s="74">
        <v>37704</v>
      </c>
      <c r="D121" s="56" t="s">
        <v>432</v>
      </c>
      <c r="E121" s="72">
        <v>7</v>
      </c>
      <c r="F121" s="58" t="s">
        <v>180</v>
      </c>
      <c r="G121" s="59" t="s">
        <v>511</v>
      </c>
    </row>
    <row r="122" spans="1:7" x14ac:dyDescent="0.2">
      <c r="A122" s="73" t="s">
        <v>512</v>
      </c>
      <c r="B122" s="75" t="s">
        <v>513</v>
      </c>
      <c r="C122" s="74">
        <v>38294</v>
      </c>
      <c r="D122" s="56" t="s">
        <v>432</v>
      </c>
      <c r="E122" s="72">
        <v>7</v>
      </c>
      <c r="F122" s="58" t="s">
        <v>180</v>
      </c>
      <c r="G122" s="59" t="s">
        <v>514</v>
      </c>
    </row>
    <row r="123" spans="1:7" x14ac:dyDescent="0.2">
      <c r="A123" s="73" t="s">
        <v>515</v>
      </c>
      <c r="B123" s="75" t="s">
        <v>516</v>
      </c>
      <c r="C123" s="74">
        <v>42500</v>
      </c>
      <c r="D123" s="56" t="s">
        <v>432</v>
      </c>
      <c r="E123" s="72">
        <v>7</v>
      </c>
      <c r="F123" s="58" t="s">
        <v>180</v>
      </c>
      <c r="G123" s="59" t="s">
        <v>517</v>
      </c>
    </row>
    <row r="124" spans="1:7" x14ac:dyDescent="0.2">
      <c r="A124" s="73" t="s">
        <v>518</v>
      </c>
      <c r="B124" s="75" t="s">
        <v>519</v>
      </c>
      <c r="C124" s="74">
        <v>43591</v>
      </c>
      <c r="D124" s="56" t="s">
        <v>432</v>
      </c>
      <c r="E124" s="72">
        <v>7</v>
      </c>
      <c r="F124" s="58" t="s">
        <v>180</v>
      </c>
      <c r="G124" s="59" t="s">
        <v>520</v>
      </c>
    </row>
    <row r="125" spans="1:7" x14ac:dyDescent="0.2">
      <c r="A125" s="73" t="s">
        <v>521</v>
      </c>
      <c r="B125" s="75" t="s">
        <v>522</v>
      </c>
      <c r="C125" s="74">
        <v>45248</v>
      </c>
      <c r="D125" s="56" t="s">
        <v>432</v>
      </c>
      <c r="E125" s="72">
        <v>7</v>
      </c>
      <c r="F125" s="58" t="s">
        <v>180</v>
      </c>
      <c r="G125" s="59" t="s">
        <v>523</v>
      </c>
    </row>
    <row r="126" spans="1:7" x14ac:dyDescent="0.2">
      <c r="A126" s="73" t="s">
        <v>524</v>
      </c>
      <c r="B126" s="75" t="s">
        <v>525</v>
      </c>
      <c r="C126" s="74">
        <v>46200</v>
      </c>
      <c r="D126" s="56" t="s">
        <v>432</v>
      </c>
      <c r="E126" s="72">
        <v>7</v>
      </c>
      <c r="F126" s="58" t="s">
        <v>180</v>
      </c>
      <c r="G126" s="59" t="s">
        <v>526</v>
      </c>
    </row>
    <row r="127" spans="1:7" x14ac:dyDescent="0.2">
      <c r="A127" s="73" t="s">
        <v>527</v>
      </c>
      <c r="B127" s="75" t="s">
        <v>528</v>
      </c>
      <c r="C127" s="74">
        <v>44563</v>
      </c>
      <c r="D127" s="56" t="s">
        <v>432</v>
      </c>
      <c r="E127" s="72">
        <v>7</v>
      </c>
      <c r="F127" s="58" t="s">
        <v>180</v>
      </c>
      <c r="G127" s="59" t="s">
        <v>529</v>
      </c>
    </row>
    <row r="128" spans="1:7" x14ac:dyDescent="0.2">
      <c r="A128" s="73" t="s">
        <v>530</v>
      </c>
      <c r="B128" s="75" t="s">
        <v>531</v>
      </c>
      <c r="C128" s="74">
        <v>46026</v>
      </c>
      <c r="D128" s="56" t="s">
        <v>432</v>
      </c>
      <c r="E128" s="72">
        <v>8</v>
      </c>
      <c r="F128" s="58" t="s">
        <v>180</v>
      </c>
      <c r="G128" s="59" t="s">
        <v>532</v>
      </c>
    </row>
    <row r="129" spans="1:7" x14ac:dyDescent="0.2">
      <c r="A129" s="73" t="s">
        <v>533</v>
      </c>
      <c r="B129" s="75" t="s">
        <v>534</v>
      </c>
      <c r="C129" s="74">
        <v>48019</v>
      </c>
      <c r="D129" s="56" t="s">
        <v>432</v>
      </c>
      <c r="E129" s="72">
        <v>8</v>
      </c>
      <c r="F129" s="58" t="s">
        <v>180</v>
      </c>
      <c r="G129" s="59" t="s">
        <v>535</v>
      </c>
    </row>
    <row r="130" spans="1:7" x14ac:dyDescent="0.2">
      <c r="A130" s="73" t="s">
        <v>536</v>
      </c>
      <c r="B130" s="75" t="s">
        <v>537</v>
      </c>
      <c r="C130" s="74">
        <v>49064</v>
      </c>
      <c r="D130" s="56" t="s">
        <v>432</v>
      </c>
      <c r="E130" s="72">
        <v>8</v>
      </c>
      <c r="F130" s="58" t="s">
        <v>180</v>
      </c>
      <c r="G130" s="59" t="s">
        <v>538</v>
      </c>
    </row>
    <row r="131" spans="1:7" x14ac:dyDescent="0.2">
      <c r="A131" s="73" t="s">
        <v>539</v>
      </c>
      <c r="B131" s="75" t="s">
        <v>540</v>
      </c>
      <c r="C131" s="74">
        <v>68270</v>
      </c>
      <c r="D131" s="56" t="s">
        <v>541</v>
      </c>
      <c r="E131" s="72">
        <v>11</v>
      </c>
      <c r="F131" s="58" t="s">
        <v>180</v>
      </c>
      <c r="G131" s="59" t="s">
        <v>542</v>
      </c>
    </row>
    <row r="132" spans="1:7" x14ac:dyDescent="0.2">
      <c r="A132" s="73" t="s">
        <v>543</v>
      </c>
      <c r="B132" s="75" t="s">
        <v>544</v>
      </c>
      <c r="C132" s="74">
        <v>71064</v>
      </c>
      <c r="D132" s="56" t="s">
        <v>541</v>
      </c>
      <c r="E132" s="72">
        <v>11</v>
      </c>
      <c r="F132" s="58" t="s">
        <v>180</v>
      </c>
      <c r="G132" s="59" t="s">
        <v>545</v>
      </c>
    </row>
    <row r="133" spans="1:7" x14ac:dyDescent="0.2">
      <c r="A133" s="73" t="s">
        <v>546</v>
      </c>
      <c r="B133" s="75" t="s">
        <v>547</v>
      </c>
      <c r="C133" s="74">
        <v>74113</v>
      </c>
      <c r="D133" s="56" t="s">
        <v>541</v>
      </c>
      <c r="E133" s="72">
        <v>11</v>
      </c>
      <c r="F133" s="58" t="s">
        <v>180</v>
      </c>
      <c r="G133" s="59" t="s">
        <v>548</v>
      </c>
    </row>
    <row r="134" spans="1:7" x14ac:dyDescent="0.2">
      <c r="A134" s="73" t="s">
        <v>549</v>
      </c>
      <c r="B134" s="75" t="s">
        <v>550</v>
      </c>
      <c r="C134" s="74">
        <v>76897</v>
      </c>
      <c r="D134" s="56" t="s">
        <v>541</v>
      </c>
      <c r="E134" s="72">
        <v>11</v>
      </c>
      <c r="F134" s="58" t="s">
        <v>180</v>
      </c>
      <c r="G134" s="59" t="s">
        <v>551</v>
      </c>
    </row>
    <row r="135" spans="1:7" x14ac:dyDescent="0.2">
      <c r="A135" s="73" t="s">
        <v>552</v>
      </c>
      <c r="B135" s="75" t="s">
        <v>553</v>
      </c>
      <c r="C135" s="74">
        <v>68820</v>
      </c>
      <c r="D135" s="56" t="s">
        <v>541</v>
      </c>
      <c r="E135" s="72">
        <v>11</v>
      </c>
      <c r="F135" s="58" t="s">
        <v>180</v>
      </c>
      <c r="G135" s="59" t="s">
        <v>554</v>
      </c>
    </row>
    <row r="136" spans="1:7" x14ac:dyDescent="0.2">
      <c r="A136" s="73" t="s">
        <v>555</v>
      </c>
      <c r="B136" s="75" t="s">
        <v>556</v>
      </c>
      <c r="C136" s="74">
        <v>71654</v>
      </c>
      <c r="D136" s="56" t="s">
        <v>541</v>
      </c>
      <c r="E136" s="72">
        <v>11</v>
      </c>
      <c r="F136" s="58" t="s">
        <v>180</v>
      </c>
      <c r="G136" s="59" t="s">
        <v>557</v>
      </c>
    </row>
    <row r="137" spans="1:7" x14ac:dyDescent="0.2">
      <c r="A137" s="73" t="s">
        <v>558</v>
      </c>
      <c r="B137" s="75" t="s">
        <v>559</v>
      </c>
      <c r="C137" s="74">
        <v>74741</v>
      </c>
      <c r="D137" s="56" t="s">
        <v>541</v>
      </c>
      <c r="E137" s="72">
        <v>11</v>
      </c>
      <c r="F137" s="58" t="s">
        <v>180</v>
      </c>
      <c r="G137" s="59" t="s">
        <v>560</v>
      </c>
    </row>
    <row r="138" spans="1:7" x14ac:dyDescent="0.2">
      <c r="A138" s="73" t="s">
        <v>561</v>
      </c>
      <c r="B138" s="75" t="s">
        <v>562</v>
      </c>
      <c r="C138" s="74">
        <v>77975</v>
      </c>
      <c r="D138" s="56" t="s">
        <v>541</v>
      </c>
      <c r="E138" s="72">
        <v>11</v>
      </c>
      <c r="F138" s="58" t="s">
        <v>180</v>
      </c>
      <c r="G138" s="59" t="s">
        <v>563</v>
      </c>
    </row>
    <row r="139" spans="1:7" x14ac:dyDescent="0.2">
      <c r="A139" s="73" t="s">
        <v>564</v>
      </c>
      <c r="B139" s="75" t="s">
        <v>565</v>
      </c>
      <c r="C139" s="74">
        <v>69320</v>
      </c>
      <c r="D139" s="56" t="s">
        <v>541</v>
      </c>
      <c r="E139" s="72">
        <v>11</v>
      </c>
      <c r="F139" s="58" t="s">
        <v>180</v>
      </c>
      <c r="G139" s="59" t="s">
        <v>566</v>
      </c>
    </row>
    <row r="140" spans="1:7" x14ac:dyDescent="0.2">
      <c r="A140" s="73" t="s">
        <v>567</v>
      </c>
      <c r="B140" s="75" t="s">
        <v>568</v>
      </c>
      <c r="C140" s="74">
        <v>72158</v>
      </c>
      <c r="D140" s="56" t="s">
        <v>541</v>
      </c>
      <c r="E140" s="72">
        <v>11</v>
      </c>
      <c r="F140" s="58" t="s">
        <v>180</v>
      </c>
      <c r="G140" s="59" t="s">
        <v>569</v>
      </c>
    </row>
    <row r="141" spans="1:7" x14ac:dyDescent="0.2">
      <c r="A141" s="73" t="s">
        <v>570</v>
      </c>
      <c r="B141" s="75" t="s">
        <v>571</v>
      </c>
      <c r="C141" s="74">
        <v>75219</v>
      </c>
      <c r="D141" s="56" t="s">
        <v>541</v>
      </c>
      <c r="E141" s="72">
        <v>11</v>
      </c>
      <c r="F141" s="58" t="s">
        <v>180</v>
      </c>
      <c r="G141" s="59" t="s">
        <v>572</v>
      </c>
    </row>
    <row r="142" spans="1:7" x14ac:dyDescent="0.2">
      <c r="A142" s="73" t="s">
        <v>573</v>
      </c>
      <c r="B142" s="75" t="s">
        <v>574</v>
      </c>
      <c r="C142" s="74">
        <v>78483</v>
      </c>
      <c r="D142" s="56" t="s">
        <v>541</v>
      </c>
      <c r="E142" s="72">
        <v>11</v>
      </c>
      <c r="F142" s="58" t="s">
        <v>180</v>
      </c>
      <c r="G142" s="59" t="s">
        <v>575</v>
      </c>
    </row>
    <row r="143" spans="1:7" x14ac:dyDescent="0.2">
      <c r="A143" s="73" t="s">
        <v>576</v>
      </c>
      <c r="B143" s="75" t="s">
        <v>577</v>
      </c>
      <c r="C143" s="74">
        <v>68270</v>
      </c>
      <c r="D143" s="56" t="s">
        <v>578</v>
      </c>
      <c r="E143" s="72">
        <v>21</v>
      </c>
      <c r="F143" s="58" t="s">
        <v>180</v>
      </c>
      <c r="G143" s="59" t="s">
        <v>579</v>
      </c>
    </row>
    <row r="144" spans="1:7" x14ac:dyDescent="0.2">
      <c r="A144" s="73" t="s">
        <v>580</v>
      </c>
      <c r="B144" s="75" t="s">
        <v>581</v>
      </c>
      <c r="C144" s="74">
        <v>68270</v>
      </c>
      <c r="D144" s="56" t="s">
        <v>578</v>
      </c>
      <c r="E144" s="72">
        <v>21</v>
      </c>
      <c r="F144" s="58" t="s">
        <v>180</v>
      </c>
      <c r="G144" s="59" t="s">
        <v>582</v>
      </c>
    </row>
    <row r="145" spans="1:7" x14ac:dyDescent="0.2">
      <c r="A145" s="73" t="s">
        <v>583</v>
      </c>
      <c r="B145" s="75" t="s">
        <v>584</v>
      </c>
      <c r="C145" s="74">
        <v>76864</v>
      </c>
      <c r="D145" s="56" t="s">
        <v>578</v>
      </c>
      <c r="E145" s="72">
        <v>21</v>
      </c>
      <c r="F145" s="58" t="s">
        <v>180</v>
      </c>
      <c r="G145" s="59" t="s">
        <v>585</v>
      </c>
    </row>
    <row r="146" spans="1:7" x14ac:dyDescent="0.2">
      <c r="A146" s="73" t="s">
        <v>586</v>
      </c>
      <c r="B146" s="75" t="s">
        <v>587</v>
      </c>
      <c r="C146" s="74">
        <v>79693</v>
      </c>
      <c r="D146" s="56" t="s">
        <v>578</v>
      </c>
      <c r="E146" s="72">
        <v>21</v>
      </c>
      <c r="F146" s="58" t="s">
        <v>180</v>
      </c>
      <c r="G146" s="59" t="s">
        <v>588</v>
      </c>
    </row>
    <row r="147" spans="1:7" x14ac:dyDescent="0.2">
      <c r="A147" s="73" t="s">
        <v>589</v>
      </c>
      <c r="B147" s="75" t="s">
        <v>590</v>
      </c>
      <c r="C147" s="74">
        <v>73075</v>
      </c>
      <c r="D147" s="56" t="s">
        <v>578</v>
      </c>
      <c r="E147" s="72">
        <v>21</v>
      </c>
      <c r="F147" s="58" t="s">
        <v>180</v>
      </c>
      <c r="G147" s="59" t="s">
        <v>591</v>
      </c>
    </row>
    <row r="148" spans="1:7" x14ac:dyDescent="0.2">
      <c r="A148" s="73" t="s">
        <v>592</v>
      </c>
      <c r="B148" s="75" t="s">
        <v>593</v>
      </c>
      <c r="C148" s="74">
        <v>75552</v>
      </c>
      <c r="D148" s="56" t="s">
        <v>578</v>
      </c>
      <c r="E148" s="72">
        <v>21</v>
      </c>
      <c r="F148" s="58" t="s">
        <v>180</v>
      </c>
      <c r="G148" s="59" t="s">
        <v>594</v>
      </c>
    </row>
    <row r="149" spans="1:7" x14ac:dyDescent="0.2">
      <c r="A149" s="73" t="s">
        <v>595</v>
      </c>
      <c r="B149" s="75" t="s">
        <v>596</v>
      </c>
      <c r="C149" s="74">
        <v>77556</v>
      </c>
      <c r="D149" s="56" t="s">
        <v>578</v>
      </c>
      <c r="E149" s="72">
        <v>21</v>
      </c>
      <c r="F149" s="58" t="s">
        <v>180</v>
      </c>
      <c r="G149" s="59" t="s">
        <v>597</v>
      </c>
    </row>
    <row r="150" spans="1:7" x14ac:dyDescent="0.2">
      <c r="A150" s="73" t="s">
        <v>598</v>
      </c>
      <c r="B150" s="75" t="s">
        <v>599</v>
      </c>
      <c r="C150" s="74">
        <v>80386</v>
      </c>
      <c r="D150" s="56" t="s">
        <v>578</v>
      </c>
      <c r="E150" s="72">
        <v>21</v>
      </c>
      <c r="F150" s="58" t="s">
        <v>180</v>
      </c>
      <c r="G150" s="59" t="s">
        <v>600</v>
      </c>
    </row>
    <row r="151" spans="1:7" x14ac:dyDescent="0.2">
      <c r="A151" s="73" t="s">
        <v>601</v>
      </c>
      <c r="B151" s="75" t="s">
        <v>602</v>
      </c>
      <c r="C151" s="74">
        <v>74798</v>
      </c>
      <c r="D151" s="56" t="s">
        <v>578</v>
      </c>
      <c r="E151" s="72">
        <v>21</v>
      </c>
      <c r="F151" s="58" t="s">
        <v>180</v>
      </c>
      <c r="G151" s="59" t="s">
        <v>603</v>
      </c>
    </row>
    <row r="152" spans="1:7" x14ac:dyDescent="0.2">
      <c r="A152" s="73" t="s">
        <v>604</v>
      </c>
      <c r="B152" s="75" t="s">
        <v>605</v>
      </c>
      <c r="C152" s="74">
        <v>77314</v>
      </c>
      <c r="D152" s="56" t="s">
        <v>578</v>
      </c>
      <c r="E152" s="72">
        <v>21</v>
      </c>
      <c r="F152" s="58" t="s">
        <v>180</v>
      </c>
      <c r="G152" s="59" t="s">
        <v>606</v>
      </c>
    </row>
    <row r="153" spans="1:7" x14ac:dyDescent="0.2">
      <c r="A153" s="73" t="s">
        <v>607</v>
      </c>
      <c r="B153" s="75" t="s">
        <v>608</v>
      </c>
      <c r="C153" s="74">
        <v>79976</v>
      </c>
      <c r="D153" s="56" t="s">
        <v>578</v>
      </c>
      <c r="E153" s="72">
        <v>21</v>
      </c>
      <c r="F153" s="58" t="s">
        <v>180</v>
      </c>
      <c r="G153" s="59" t="s">
        <v>609</v>
      </c>
    </row>
    <row r="154" spans="1:7" x14ac:dyDescent="0.2">
      <c r="A154" s="73" t="s">
        <v>610</v>
      </c>
      <c r="B154" s="75" t="s">
        <v>611</v>
      </c>
      <c r="C154" s="74">
        <v>83551</v>
      </c>
      <c r="D154" s="56" t="s">
        <v>578</v>
      </c>
      <c r="E154" s="72">
        <v>21</v>
      </c>
      <c r="F154" s="58" t="s">
        <v>180</v>
      </c>
      <c r="G154" s="59" t="s">
        <v>612</v>
      </c>
    </row>
    <row r="155" spans="1:7" x14ac:dyDescent="0.2">
      <c r="A155" s="73" t="s">
        <v>613</v>
      </c>
      <c r="B155" s="75" t="s">
        <v>614</v>
      </c>
      <c r="C155" s="74">
        <v>75606</v>
      </c>
      <c r="D155" s="56" t="s">
        <v>578</v>
      </c>
      <c r="E155" s="72">
        <v>21</v>
      </c>
      <c r="F155" s="58" t="s">
        <v>180</v>
      </c>
      <c r="G155" s="59" t="s">
        <v>615</v>
      </c>
    </row>
    <row r="156" spans="1:7" x14ac:dyDescent="0.2">
      <c r="A156" s="73" t="s">
        <v>616</v>
      </c>
      <c r="B156" s="75" t="s">
        <v>617</v>
      </c>
      <c r="C156" s="74">
        <v>78122</v>
      </c>
      <c r="D156" s="56" t="s">
        <v>578</v>
      </c>
      <c r="E156" s="72">
        <v>21</v>
      </c>
      <c r="F156" s="58" t="s">
        <v>180</v>
      </c>
      <c r="G156" s="59" t="s">
        <v>618</v>
      </c>
    </row>
    <row r="157" spans="1:7" x14ac:dyDescent="0.2">
      <c r="A157" s="73" t="s">
        <v>619</v>
      </c>
      <c r="B157" s="75" t="s">
        <v>620</v>
      </c>
      <c r="C157" s="74">
        <v>81092</v>
      </c>
      <c r="D157" s="56" t="s">
        <v>578</v>
      </c>
      <c r="E157" s="72">
        <v>21</v>
      </c>
      <c r="F157" s="58" t="s">
        <v>180</v>
      </c>
      <c r="G157" s="59" t="s">
        <v>621</v>
      </c>
    </row>
    <row r="158" spans="1:7" x14ac:dyDescent="0.2">
      <c r="A158" s="73" t="s">
        <v>622</v>
      </c>
      <c r="B158" s="75" t="s">
        <v>623</v>
      </c>
      <c r="C158" s="74">
        <v>84676</v>
      </c>
      <c r="D158" s="56" t="s">
        <v>578</v>
      </c>
      <c r="E158" s="72">
        <v>21</v>
      </c>
      <c r="F158" s="58" t="s">
        <v>180</v>
      </c>
      <c r="G158" s="59" t="s">
        <v>624</v>
      </c>
    </row>
    <row r="159" spans="1:7" x14ac:dyDescent="0.2">
      <c r="A159" s="73" t="s">
        <v>625</v>
      </c>
      <c r="B159" s="75" t="s">
        <v>626</v>
      </c>
      <c r="C159" s="74">
        <v>75332</v>
      </c>
      <c r="D159" s="56" t="s">
        <v>578</v>
      </c>
      <c r="E159" s="72">
        <v>21</v>
      </c>
      <c r="F159" s="58" t="s">
        <v>180</v>
      </c>
      <c r="G159" s="59" t="s">
        <v>627</v>
      </c>
    </row>
    <row r="160" spans="1:7" x14ac:dyDescent="0.2">
      <c r="A160" s="73" t="s">
        <v>628</v>
      </c>
      <c r="B160" s="75" t="s">
        <v>629</v>
      </c>
      <c r="C160" s="74">
        <v>77809</v>
      </c>
      <c r="D160" s="56" t="s">
        <v>578</v>
      </c>
      <c r="E160" s="72">
        <v>21</v>
      </c>
      <c r="F160" s="58" t="s">
        <v>180</v>
      </c>
      <c r="G160" s="59" t="s">
        <v>630</v>
      </c>
    </row>
    <row r="161" spans="1:7" x14ac:dyDescent="0.2">
      <c r="A161" s="73" t="s">
        <v>631</v>
      </c>
      <c r="B161" s="75" t="s">
        <v>632</v>
      </c>
      <c r="C161" s="74">
        <v>79814</v>
      </c>
      <c r="D161" s="56" t="s">
        <v>578</v>
      </c>
      <c r="E161" s="72">
        <v>21</v>
      </c>
      <c r="F161" s="58" t="s">
        <v>180</v>
      </c>
      <c r="G161" s="59" t="s">
        <v>633</v>
      </c>
    </row>
    <row r="162" spans="1:7" x14ac:dyDescent="0.2">
      <c r="A162" s="73" t="s">
        <v>634</v>
      </c>
      <c r="B162" s="75" t="s">
        <v>635</v>
      </c>
      <c r="C162" s="74">
        <v>85593</v>
      </c>
      <c r="D162" s="56" t="s">
        <v>578</v>
      </c>
      <c r="E162" s="72">
        <v>21</v>
      </c>
      <c r="F162" s="58" t="s">
        <v>180</v>
      </c>
      <c r="G162" s="59" t="s">
        <v>636</v>
      </c>
    </row>
    <row r="163" spans="1:7" x14ac:dyDescent="0.2">
      <c r="A163" s="73" t="s">
        <v>637</v>
      </c>
      <c r="B163" s="75" t="s">
        <v>638</v>
      </c>
      <c r="C163" s="74">
        <v>84875</v>
      </c>
      <c r="D163" s="56" t="s">
        <v>578</v>
      </c>
      <c r="E163" s="72">
        <v>21</v>
      </c>
      <c r="F163" s="58" t="s">
        <v>180</v>
      </c>
      <c r="G163" s="59" t="s">
        <v>639</v>
      </c>
    </row>
    <row r="164" spans="1:7" x14ac:dyDescent="0.2">
      <c r="A164" s="73" t="s">
        <v>640</v>
      </c>
      <c r="B164" s="75" t="s">
        <v>641</v>
      </c>
      <c r="C164" s="74">
        <v>81452</v>
      </c>
      <c r="D164" s="56" t="s">
        <v>578</v>
      </c>
      <c r="E164" s="72">
        <v>21</v>
      </c>
      <c r="F164" s="58" t="s">
        <v>180</v>
      </c>
      <c r="G164" s="59" t="s">
        <v>642</v>
      </c>
    </row>
    <row r="165" spans="1:7" x14ac:dyDescent="0.2">
      <c r="A165" s="73" t="s">
        <v>643</v>
      </c>
      <c r="B165" s="75" t="s">
        <v>644</v>
      </c>
      <c r="C165" s="74">
        <v>83456</v>
      </c>
      <c r="D165" s="56" t="s">
        <v>578</v>
      </c>
      <c r="E165" s="72">
        <v>21</v>
      </c>
      <c r="F165" s="58" t="s">
        <v>180</v>
      </c>
      <c r="G165" s="59" t="s">
        <v>645</v>
      </c>
    </row>
    <row r="166" spans="1:7" x14ac:dyDescent="0.2">
      <c r="A166" s="73" t="s">
        <v>646</v>
      </c>
      <c r="B166" s="75" t="s">
        <v>647</v>
      </c>
      <c r="C166" s="74">
        <v>86286</v>
      </c>
      <c r="D166" s="56" t="s">
        <v>578</v>
      </c>
      <c r="E166" s="72">
        <v>21</v>
      </c>
      <c r="F166" s="58" t="s">
        <v>180</v>
      </c>
      <c r="G166" s="59" t="s">
        <v>648</v>
      </c>
    </row>
    <row r="167" spans="1:7" x14ac:dyDescent="0.2">
      <c r="A167" s="73" t="s">
        <v>649</v>
      </c>
      <c r="B167" s="75" t="s">
        <v>650</v>
      </c>
      <c r="C167" s="74">
        <v>80792</v>
      </c>
      <c r="D167" s="56" t="s">
        <v>578</v>
      </c>
      <c r="E167" s="72">
        <v>21</v>
      </c>
      <c r="F167" s="58" t="s">
        <v>180</v>
      </c>
      <c r="G167" s="59" t="s">
        <v>651</v>
      </c>
    </row>
    <row r="168" spans="1:7" x14ac:dyDescent="0.2">
      <c r="A168" s="73" t="s">
        <v>652</v>
      </c>
      <c r="B168" s="75" t="s">
        <v>653</v>
      </c>
      <c r="C168" s="74">
        <v>83309</v>
      </c>
      <c r="D168" s="56" t="s">
        <v>578</v>
      </c>
      <c r="E168" s="72">
        <v>21</v>
      </c>
      <c r="F168" s="58" t="s">
        <v>180</v>
      </c>
      <c r="G168" s="59" t="s">
        <v>654</v>
      </c>
    </row>
    <row r="169" spans="1:7" x14ac:dyDescent="0.2">
      <c r="A169" s="73" t="s">
        <v>655</v>
      </c>
      <c r="B169" s="75" t="s">
        <v>656</v>
      </c>
      <c r="C169" s="74">
        <v>86018</v>
      </c>
      <c r="D169" s="56" t="s">
        <v>578</v>
      </c>
      <c r="E169" s="72">
        <v>21</v>
      </c>
      <c r="F169" s="58" t="s">
        <v>180</v>
      </c>
      <c r="G169" s="59" t="s">
        <v>657</v>
      </c>
    </row>
    <row r="170" spans="1:7" x14ac:dyDescent="0.2">
      <c r="A170" s="73" t="s">
        <v>658</v>
      </c>
      <c r="B170" s="75" t="s">
        <v>659</v>
      </c>
      <c r="C170" s="74">
        <v>89640</v>
      </c>
      <c r="D170" s="56" t="s">
        <v>578</v>
      </c>
      <c r="E170" s="72">
        <v>21</v>
      </c>
      <c r="F170" s="58" t="s">
        <v>180</v>
      </c>
      <c r="G170" s="59" t="s">
        <v>660</v>
      </c>
    </row>
    <row r="171" spans="1:7" x14ac:dyDescent="0.2">
      <c r="A171" s="73" t="s">
        <v>661</v>
      </c>
      <c r="B171" s="75" t="s">
        <v>662</v>
      </c>
      <c r="C171" s="74">
        <v>81600</v>
      </c>
      <c r="D171" s="56" t="s">
        <v>578</v>
      </c>
      <c r="E171" s="72">
        <v>21</v>
      </c>
      <c r="F171" s="58" t="s">
        <v>180</v>
      </c>
      <c r="G171" s="59" t="s">
        <v>663</v>
      </c>
    </row>
    <row r="172" spans="1:7" x14ac:dyDescent="0.2">
      <c r="A172" s="73" t="s">
        <v>664</v>
      </c>
      <c r="B172" s="75" t="s">
        <v>665</v>
      </c>
      <c r="C172" s="74">
        <v>84117</v>
      </c>
      <c r="D172" s="56" t="s">
        <v>578</v>
      </c>
      <c r="E172" s="72">
        <v>21</v>
      </c>
      <c r="F172" s="58" t="s">
        <v>180</v>
      </c>
      <c r="G172" s="59" t="s">
        <v>666</v>
      </c>
    </row>
    <row r="173" spans="1:7" x14ac:dyDescent="0.2">
      <c r="A173" s="73" t="s">
        <v>667</v>
      </c>
      <c r="B173" s="75" t="s">
        <v>668</v>
      </c>
      <c r="C173" s="74">
        <v>87134</v>
      </c>
      <c r="D173" s="56" t="s">
        <v>578</v>
      </c>
      <c r="E173" s="72">
        <v>21</v>
      </c>
      <c r="F173" s="58" t="s">
        <v>180</v>
      </c>
      <c r="G173" s="59" t="s">
        <v>669</v>
      </c>
    </row>
    <row r="174" spans="1:7" x14ac:dyDescent="0.2">
      <c r="A174" s="73" t="s">
        <v>670</v>
      </c>
      <c r="B174" s="75" t="s">
        <v>671</v>
      </c>
      <c r="C174" s="74">
        <v>90765</v>
      </c>
      <c r="D174" s="56" t="s">
        <v>578</v>
      </c>
      <c r="E174" s="72">
        <v>21</v>
      </c>
      <c r="F174" s="58" t="s">
        <v>180</v>
      </c>
      <c r="G174" s="59" t="s">
        <v>672</v>
      </c>
    </row>
    <row r="175" spans="1:7" x14ac:dyDescent="0.2">
      <c r="A175" s="70" t="s">
        <v>673</v>
      </c>
      <c r="B175" s="71" t="s">
        <v>674</v>
      </c>
      <c r="C175" s="63">
        <v>32790</v>
      </c>
      <c r="D175" s="56" t="s">
        <v>248</v>
      </c>
      <c r="E175" s="72">
        <v>4.0999999999999996</v>
      </c>
      <c r="F175" s="58" t="s">
        <v>180</v>
      </c>
      <c r="G175" s="59" t="s">
        <v>457</v>
      </c>
    </row>
    <row r="176" spans="1:7" x14ac:dyDescent="0.2">
      <c r="A176" s="70" t="s">
        <v>675</v>
      </c>
      <c r="B176" s="71" t="s">
        <v>676</v>
      </c>
      <c r="C176" s="63">
        <v>34890</v>
      </c>
      <c r="D176" s="56" t="s">
        <v>248</v>
      </c>
      <c r="E176" s="72">
        <v>4.2</v>
      </c>
      <c r="F176" s="58" t="s">
        <v>180</v>
      </c>
      <c r="G176" s="59" t="s">
        <v>457</v>
      </c>
    </row>
    <row r="177" spans="1:7" x14ac:dyDescent="0.2">
      <c r="A177" s="70" t="s">
        <v>677</v>
      </c>
      <c r="B177" s="71" t="s">
        <v>678</v>
      </c>
      <c r="C177" s="63">
        <v>40290</v>
      </c>
      <c r="D177" s="56" t="s">
        <v>498</v>
      </c>
      <c r="E177" s="72">
        <v>5.6</v>
      </c>
      <c r="F177" s="58" t="s">
        <v>180</v>
      </c>
      <c r="G177" s="59" t="s">
        <v>457</v>
      </c>
    </row>
    <row r="178" spans="1:7" x14ac:dyDescent="0.2">
      <c r="A178" s="70" t="s">
        <v>679</v>
      </c>
      <c r="B178" s="71" t="s">
        <v>680</v>
      </c>
      <c r="C178" s="63">
        <v>44390</v>
      </c>
      <c r="D178" s="56" t="s">
        <v>498</v>
      </c>
      <c r="E178" s="72">
        <v>5.8</v>
      </c>
      <c r="F178" s="58" t="s">
        <v>180</v>
      </c>
      <c r="G178" s="59" t="s">
        <v>457</v>
      </c>
    </row>
    <row r="179" spans="1:7" x14ac:dyDescent="0.2">
      <c r="A179" s="73" t="s">
        <v>681</v>
      </c>
      <c r="B179" s="75" t="s">
        <v>682</v>
      </c>
      <c r="C179" s="74">
        <v>39769</v>
      </c>
      <c r="D179" s="56" t="s">
        <v>432</v>
      </c>
      <c r="E179" s="72">
        <v>7</v>
      </c>
      <c r="F179" s="58" t="s">
        <v>180</v>
      </c>
      <c r="G179" s="59" t="s">
        <v>683</v>
      </c>
    </row>
    <row r="180" spans="1:7" x14ac:dyDescent="0.2">
      <c r="A180" s="73" t="s">
        <v>684</v>
      </c>
      <c r="B180" s="75" t="s">
        <v>685</v>
      </c>
      <c r="C180" s="74">
        <v>40064</v>
      </c>
      <c r="D180" s="56" t="s">
        <v>432</v>
      </c>
      <c r="E180" s="72">
        <v>7</v>
      </c>
      <c r="F180" s="58" t="s">
        <v>180</v>
      </c>
      <c r="G180" s="59" t="s">
        <v>686</v>
      </c>
    </row>
    <row r="181" spans="1:7" x14ac:dyDescent="0.2">
      <c r="A181" s="73" t="s">
        <v>687</v>
      </c>
      <c r="B181" s="75" t="s">
        <v>688</v>
      </c>
      <c r="C181" s="74">
        <v>40654</v>
      </c>
      <c r="D181" s="56" t="s">
        <v>432</v>
      </c>
      <c r="E181" s="72">
        <v>7</v>
      </c>
      <c r="F181" s="58" t="s">
        <v>180</v>
      </c>
      <c r="G181" s="59" t="s">
        <v>689</v>
      </c>
    </row>
    <row r="182" spans="1:7" x14ac:dyDescent="0.2">
      <c r="A182" s="73" t="s">
        <v>690</v>
      </c>
      <c r="B182" s="75" t="s">
        <v>691</v>
      </c>
      <c r="C182" s="74">
        <v>41244</v>
      </c>
      <c r="D182" s="56" t="s">
        <v>432</v>
      </c>
      <c r="E182" s="72">
        <v>7</v>
      </c>
      <c r="F182" s="58" t="s">
        <v>180</v>
      </c>
      <c r="G182" s="59" t="s">
        <v>692</v>
      </c>
    </row>
    <row r="183" spans="1:7" x14ac:dyDescent="0.2">
      <c r="A183" s="73" t="s">
        <v>693</v>
      </c>
      <c r="B183" s="75" t="s">
        <v>694</v>
      </c>
      <c r="C183" s="74">
        <v>45450</v>
      </c>
      <c r="D183" s="56" t="s">
        <v>432</v>
      </c>
      <c r="E183" s="72">
        <v>7</v>
      </c>
      <c r="F183" s="58" t="s">
        <v>180</v>
      </c>
      <c r="G183" s="59" t="s">
        <v>695</v>
      </c>
    </row>
    <row r="184" spans="1:7" x14ac:dyDescent="0.2">
      <c r="A184" s="73" t="s">
        <v>696</v>
      </c>
      <c r="B184" s="75" t="s">
        <v>697</v>
      </c>
      <c r="C184" s="74">
        <v>46541</v>
      </c>
      <c r="D184" s="56" t="s">
        <v>432</v>
      </c>
      <c r="E184" s="72">
        <v>7</v>
      </c>
      <c r="F184" s="58" t="s">
        <v>180</v>
      </c>
      <c r="G184" s="59" t="s">
        <v>698</v>
      </c>
    </row>
    <row r="185" spans="1:7" x14ac:dyDescent="0.2">
      <c r="A185" s="73" t="s">
        <v>699</v>
      </c>
      <c r="B185" s="75" t="s">
        <v>700</v>
      </c>
      <c r="C185" s="74">
        <v>48222</v>
      </c>
      <c r="D185" s="56" t="s">
        <v>432</v>
      </c>
      <c r="E185" s="72">
        <v>7</v>
      </c>
      <c r="F185" s="58" t="s">
        <v>180</v>
      </c>
      <c r="G185" s="59" t="s">
        <v>701</v>
      </c>
    </row>
    <row r="186" spans="1:7" x14ac:dyDescent="0.2">
      <c r="A186" s="73" t="s">
        <v>702</v>
      </c>
      <c r="B186" s="75" t="s">
        <v>703</v>
      </c>
      <c r="C186" s="74">
        <v>49174</v>
      </c>
      <c r="D186" s="56" t="s">
        <v>432</v>
      </c>
      <c r="E186" s="72">
        <v>7</v>
      </c>
      <c r="F186" s="58" t="s">
        <v>180</v>
      </c>
      <c r="G186" s="59" t="s">
        <v>704</v>
      </c>
    </row>
    <row r="187" spans="1:7" x14ac:dyDescent="0.2">
      <c r="A187" s="73" t="s">
        <v>705</v>
      </c>
      <c r="B187" s="75" t="s">
        <v>706</v>
      </c>
      <c r="C187" s="74">
        <v>47537</v>
      </c>
      <c r="D187" s="56" t="s">
        <v>432</v>
      </c>
      <c r="E187" s="72">
        <v>7</v>
      </c>
      <c r="F187" s="58" t="s">
        <v>180</v>
      </c>
      <c r="G187" s="59" t="s">
        <v>707</v>
      </c>
    </row>
    <row r="188" spans="1:7" x14ac:dyDescent="0.2">
      <c r="A188" s="73" t="s">
        <v>708</v>
      </c>
      <c r="B188" s="75" t="s">
        <v>709</v>
      </c>
      <c r="C188" s="74">
        <v>49023</v>
      </c>
      <c r="D188" s="56" t="s">
        <v>432</v>
      </c>
      <c r="E188" s="72">
        <v>8</v>
      </c>
      <c r="F188" s="58" t="s">
        <v>180</v>
      </c>
      <c r="G188" s="59" t="s">
        <v>710</v>
      </c>
    </row>
    <row r="189" spans="1:7" x14ac:dyDescent="0.2">
      <c r="A189" s="73" t="s">
        <v>711</v>
      </c>
      <c r="B189" s="75" t="s">
        <v>712</v>
      </c>
      <c r="C189" s="74">
        <v>51040</v>
      </c>
      <c r="D189" s="56" t="s">
        <v>432</v>
      </c>
      <c r="E189" s="72">
        <v>8</v>
      </c>
      <c r="F189" s="58" t="s">
        <v>180</v>
      </c>
      <c r="G189" s="59" t="s">
        <v>713</v>
      </c>
    </row>
    <row r="190" spans="1:7" x14ac:dyDescent="0.2">
      <c r="A190" s="73" t="s">
        <v>714</v>
      </c>
      <c r="B190" s="75" t="s">
        <v>715</v>
      </c>
      <c r="C190" s="74">
        <v>52109</v>
      </c>
      <c r="D190" s="56" t="s">
        <v>432</v>
      </c>
      <c r="E190" s="72">
        <v>8</v>
      </c>
      <c r="F190" s="58" t="s">
        <v>180</v>
      </c>
      <c r="G190" s="59" t="s">
        <v>716</v>
      </c>
    </row>
    <row r="191" spans="1:7" s="45" customFormat="1" ht="15" x14ac:dyDescent="0.25">
      <c r="A191" s="64"/>
      <c r="B191" s="64" t="s">
        <v>717</v>
      </c>
      <c r="C191" s="64"/>
      <c r="D191" s="65"/>
      <c r="E191" s="64"/>
      <c r="F191" s="64"/>
      <c r="G191" s="64"/>
    </row>
    <row r="192" spans="1:7" s="78" customFormat="1" x14ac:dyDescent="0.25">
      <c r="A192" s="67"/>
      <c r="B192" s="67" t="s">
        <v>718</v>
      </c>
      <c r="C192" s="76"/>
      <c r="D192" s="77"/>
      <c r="E192" s="76"/>
      <c r="F192" s="76"/>
      <c r="G192" s="67"/>
    </row>
    <row r="193" spans="1:15" x14ac:dyDescent="0.2">
      <c r="A193" s="46" t="s">
        <v>719</v>
      </c>
      <c r="B193" s="71" t="s">
        <v>720</v>
      </c>
      <c r="C193" s="79">
        <v>37901</v>
      </c>
      <c r="D193" s="49" t="s">
        <v>498</v>
      </c>
      <c r="E193" s="80">
        <v>6.3</v>
      </c>
      <c r="F193" s="51" t="s">
        <v>180</v>
      </c>
      <c r="G193" s="52" t="s">
        <v>721</v>
      </c>
    </row>
    <row r="194" spans="1:15" x14ac:dyDescent="0.2">
      <c r="A194" s="46" t="s">
        <v>722</v>
      </c>
      <c r="B194" s="71" t="s">
        <v>723</v>
      </c>
      <c r="C194" s="79">
        <v>39477</v>
      </c>
      <c r="D194" s="49" t="s">
        <v>498</v>
      </c>
      <c r="E194" s="80">
        <v>6.3</v>
      </c>
      <c r="F194" s="51" t="s">
        <v>180</v>
      </c>
      <c r="G194" s="52" t="s">
        <v>724</v>
      </c>
    </row>
    <row r="195" spans="1:15" x14ac:dyDescent="0.2">
      <c r="A195" s="46" t="s">
        <v>725</v>
      </c>
      <c r="B195" s="71" t="s">
        <v>726</v>
      </c>
      <c r="C195" s="79">
        <v>40929</v>
      </c>
      <c r="D195" s="49" t="s">
        <v>498</v>
      </c>
      <c r="E195" s="80">
        <v>6.5</v>
      </c>
      <c r="F195" s="51" t="s">
        <v>180</v>
      </c>
      <c r="G195" s="52" t="s">
        <v>727</v>
      </c>
      <c r="O195" s="78"/>
    </row>
    <row r="196" spans="1:15" x14ac:dyDescent="0.2">
      <c r="A196" s="46" t="s">
        <v>728</v>
      </c>
      <c r="B196" s="71" t="s">
        <v>729</v>
      </c>
      <c r="C196" s="79">
        <v>43634</v>
      </c>
      <c r="D196" s="49" t="s">
        <v>498</v>
      </c>
      <c r="E196" s="80">
        <v>6.5</v>
      </c>
      <c r="F196" s="51" t="s">
        <v>180</v>
      </c>
      <c r="G196" s="52" t="s">
        <v>730</v>
      </c>
    </row>
    <row r="197" spans="1:15" x14ac:dyDescent="0.2">
      <c r="A197" s="46" t="s">
        <v>731</v>
      </c>
      <c r="B197" s="71" t="s">
        <v>732</v>
      </c>
      <c r="C197" s="79">
        <v>40757</v>
      </c>
      <c r="D197" s="49" t="s">
        <v>498</v>
      </c>
      <c r="E197" s="80">
        <v>6.3</v>
      </c>
      <c r="F197" s="51" t="s">
        <v>180</v>
      </c>
      <c r="G197" s="52" t="s">
        <v>457</v>
      </c>
    </row>
    <row r="198" spans="1:15" x14ac:dyDescent="0.2">
      <c r="A198" s="46" t="s">
        <v>733</v>
      </c>
      <c r="B198" s="71" t="s">
        <v>734</v>
      </c>
      <c r="C198" s="79">
        <v>42381</v>
      </c>
      <c r="D198" s="49" t="s">
        <v>498</v>
      </c>
      <c r="E198" s="80">
        <v>6.3</v>
      </c>
      <c r="F198" s="51" t="s">
        <v>180</v>
      </c>
      <c r="G198" s="52" t="s">
        <v>457</v>
      </c>
    </row>
    <row r="199" spans="1:15" x14ac:dyDescent="0.2">
      <c r="A199" s="46" t="s">
        <v>735</v>
      </c>
      <c r="B199" s="71" t="s">
        <v>736</v>
      </c>
      <c r="C199" s="79">
        <v>43881</v>
      </c>
      <c r="D199" s="49" t="s">
        <v>498</v>
      </c>
      <c r="E199" s="80">
        <v>6.5</v>
      </c>
      <c r="F199" s="51" t="s">
        <v>180</v>
      </c>
      <c r="G199" s="52" t="s">
        <v>457</v>
      </c>
    </row>
    <row r="200" spans="1:15" x14ac:dyDescent="0.2">
      <c r="A200" s="46" t="s">
        <v>737</v>
      </c>
      <c r="B200" s="71" t="s">
        <v>738</v>
      </c>
      <c r="C200" s="79">
        <v>46637</v>
      </c>
      <c r="D200" s="49" t="s">
        <v>498</v>
      </c>
      <c r="E200" s="80">
        <v>6.5</v>
      </c>
      <c r="F200" s="51" t="s">
        <v>180</v>
      </c>
      <c r="G200" s="52" t="s">
        <v>457</v>
      </c>
    </row>
    <row r="201" spans="1:15" x14ac:dyDescent="0.2">
      <c r="A201" s="46" t="s">
        <v>739</v>
      </c>
      <c r="B201" s="71" t="s">
        <v>740</v>
      </c>
      <c r="C201" s="79">
        <v>47356</v>
      </c>
      <c r="D201" s="49" t="s">
        <v>498</v>
      </c>
      <c r="E201" s="80">
        <v>6.3</v>
      </c>
      <c r="F201" s="51" t="s">
        <v>180</v>
      </c>
      <c r="G201" s="52" t="s">
        <v>741</v>
      </c>
    </row>
    <row r="202" spans="1:15" x14ac:dyDescent="0.2">
      <c r="A202" s="46" t="s">
        <v>742</v>
      </c>
      <c r="B202" s="71" t="s">
        <v>743</v>
      </c>
      <c r="C202" s="79">
        <v>49091</v>
      </c>
      <c r="D202" s="49" t="s">
        <v>498</v>
      </c>
      <c r="E202" s="80">
        <v>6.3</v>
      </c>
      <c r="F202" s="51" t="s">
        <v>180</v>
      </c>
      <c r="G202" s="52" t="s">
        <v>744</v>
      </c>
    </row>
    <row r="203" spans="1:15" x14ac:dyDescent="0.2">
      <c r="A203" s="46" t="s">
        <v>745</v>
      </c>
      <c r="B203" s="71" t="s">
        <v>746</v>
      </c>
      <c r="C203" s="79">
        <v>50699</v>
      </c>
      <c r="D203" s="49" t="s">
        <v>498</v>
      </c>
      <c r="E203" s="80">
        <v>6.5</v>
      </c>
      <c r="F203" s="51" t="s">
        <v>180</v>
      </c>
      <c r="G203" s="52" t="s">
        <v>747</v>
      </c>
    </row>
    <row r="204" spans="1:15" x14ac:dyDescent="0.2">
      <c r="A204" s="46" t="s">
        <v>748</v>
      </c>
      <c r="B204" s="71" t="s">
        <v>749</v>
      </c>
      <c r="C204" s="79">
        <v>53589</v>
      </c>
      <c r="D204" s="49" t="s">
        <v>498</v>
      </c>
      <c r="E204" s="80">
        <v>6.5</v>
      </c>
      <c r="F204" s="51" t="s">
        <v>180</v>
      </c>
      <c r="G204" s="52" t="s">
        <v>750</v>
      </c>
    </row>
    <row r="205" spans="1:15" x14ac:dyDescent="0.2">
      <c r="A205" s="46" t="s">
        <v>751</v>
      </c>
      <c r="B205" s="71" t="s">
        <v>752</v>
      </c>
      <c r="C205" s="79">
        <v>50774</v>
      </c>
      <c r="D205" s="49" t="s">
        <v>498</v>
      </c>
      <c r="E205" s="80">
        <v>6.3</v>
      </c>
      <c r="F205" s="51" t="s">
        <v>180</v>
      </c>
      <c r="G205" s="52" t="s">
        <v>457</v>
      </c>
    </row>
    <row r="206" spans="1:15" x14ac:dyDescent="0.2">
      <c r="A206" s="46" t="s">
        <v>753</v>
      </c>
      <c r="B206" s="71" t="s">
        <v>754</v>
      </c>
      <c r="C206" s="79">
        <v>52566</v>
      </c>
      <c r="D206" s="49" t="s">
        <v>498</v>
      </c>
      <c r="E206" s="80">
        <v>6.3</v>
      </c>
      <c r="F206" s="51" t="s">
        <v>180</v>
      </c>
      <c r="G206" s="52" t="s">
        <v>457</v>
      </c>
    </row>
    <row r="207" spans="1:15" x14ac:dyDescent="0.2">
      <c r="A207" s="46" t="s">
        <v>755</v>
      </c>
      <c r="B207" s="71" t="s">
        <v>756</v>
      </c>
      <c r="C207" s="79">
        <v>54232</v>
      </c>
      <c r="D207" s="49" t="s">
        <v>498</v>
      </c>
      <c r="E207" s="80">
        <v>6.5</v>
      </c>
      <c r="F207" s="51" t="s">
        <v>180</v>
      </c>
      <c r="G207" s="52" t="s">
        <v>457</v>
      </c>
    </row>
    <row r="208" spans="1:15" x14ac:dyDescent="0.2">
      <c r="A208" s="46" t="s">
        <v>757</v>
      </c>
      <c r="B208" s="71" t="s">
        <v>758</v>
      </c>
      <c r="C208" s="79">
        <v>57179</v>
      </c>
      <c r="D208" s="49" t="s">
        <v>498</v>
      </c>
      <c r="E208" s="80">
        <v>6.5</v>
      </c>
      <c r="F208" s="51" t="s">
        <v>180</v>
      </c>
      <c r="G208" s="52" t="s">
        <v>457</v>
      </c>
    </row>
    <row r="209" spans="1:7" x14ac:dyDescent="0.2">
      <c r="A209" s="46" t="s">
        <v>759</v>
      </c>
      <c r="B209" s="71" t="s">
        <v>760</v>
      </c>
      <c r="C209" s="79">
        <v>55551</v>
      </c>
      <c r="D209" s="54" t="s">
        <v>761</v>
      </c>
      <c r="E209" s="81">
        <v>16.399999999999999</v>
      </c>
      <c r="F209" s="51" t="s">
        <v>180</v>
      </c>
      <c r="G209" s="52" t="s">
        <v>762</v>
      </c>
    </row>
    <row r="210" spans="1:7" x14ac:dyDescent="0.2">
      <c r="A210" s="46" t="s">
        <v>763</v>
      </c>
      <c r="B210" s="71" t="s">
        <v>764</v>
      </c>
      <c r="C210" s="79">
        <v>57425</v>
      </c>
      <c r="D210" s="54" t="s">
        <v>761</v>
      </c>
      <c r="E210" s="81">
        <v>16.399999999999999</v>
      </c>
      <c r="F210" s="51" t="s">
        <v>180</v>
      </c>
      <c r="G210" s="52" t="s">
        <v>765</v>
      </c>
    </row>
    <row r="211" spans="1:7" x14ac:dyDescent="0.2">
      <c r="A211" s="46" t="s">
        <v>766</v>
      </c>
      <c r="B211" s="71" t="s">
        <v>767</v>
      </c>
      <c r="C211" s="79">
        <v>59175</v>
      </c>
      <c r="D211" s="54" t="s">
        <v>761</v>
      </c>
      <c r="E211" s="81">
        <v>16.399999999999999</v>
      </c>
      <c r="F211" s="51" t="s">
        <v>180</v>
      </c>
      <c r="G211" s="52" t="s">
        <v>768</v>
      </c>
    </row>
    <row r="212" spans="1:7" x14ac:dyDescent="0.2">
      <c r="A212" s="46" t="s">
        <v>769</v>
      </c>
      <c r="B212" s="71" t="s">
        <v>770</v>
      </c>
      <c r="C212" s="79">
        <v>62819</v>
      </c>
      <c r="D212" s="54" t="s">
        <v>761</v>
      </c>
      <c r="E212" s="81">
        <v>16.399999999999999</v>
      </c>
      <c r="F212" s="51" t="s">
        <v>180</v>
      </c>
      <c r="G212" s="52" t="s">
        <v>771</v>
      </c>
    </row>
    <row r="213" spans="1:7" x14ac:dyDescent="0.25">
      <c r="A213" s="46" t="s">
        <v>772</v>
      </c>
      <c r="B213" s="82" t="s">
        <v>773</v>
      </c>
      <c r="C213" s="79">
        <v>39700</v>
      </c>
      <c r="D213" s="49" t="s">
        <v>498</v>
      </c>
      <c r="E213" s="80">
        <v>6.6</v>
      </c>
      <c r="F213" s="51" t="s">
        <v>180</v>
      </c>
      <c r="G213" s="52" t="s">
        <v>774</v>
      </c>
    </row>
    <row r="214" spans="1:7" x14ac:dyDescent="0.25">
      <c r="A214" s="46" t="s">
        <v>775</v>
      </c>
      <c r="B214" s="82" t="s">
        <v>776</v>
      </c>
      <c r="C214" s="79">
        <v>41321</v>
      </c>
      <c r="D214" s="49" t="s">
        <v>498</v>
      </c>
      <c r="E214" s="80">
        <v>6.6</v>
      </c>
      <c r="F214" s="51" t="s">
        <v>180</v>
      </c>
      <c r="G214" s="52" t="s">
        <v>777</v>
      </c>
    </row>
    <row r="215" spans="1:7" x14ac:dyDescent="0.25">
      <c r="A215" s="46" t="s">
        <v>778</v>
      </c>
      <c r="B215" s="82" t="s">
        <v>779</v>
      </c>
      <c r="C215" s="79">
        <v>44008</v>
      </c>
      <c r="D215" s="49" t="s">
        <v>498</v>
      </c>
      <c r="E215" s="80">
        <v>6.8</v>
      </c>
      <c r="F215" s="51" t="s">
        <v>180</v>
      </c>
      <c r="G215" s="52" t="s">
        <v>780</v>
      </c>
    </row>
    <row r="216" spans="1:7" x14ac:dyDescent="0.25">
      <c r="A216" s="46" t="s">
        <v>781</v>
      </c>
      <c r="B216" s="82" t="s">
        <v>782</v>
      </c>
      <c r="C216" s="79">
        <v>47551</v>
      </c>
      <c r="D216" s="49" t="s">
        <v>498</v>
      </c>
      <c r="E216" s="80">
        <v>6.8</v>
      </c>
      <c r="F216" s="51" t="s">
        <v>180</v>
      </c>
      <c r="G216" s="52" t="s">
        <v>783</v>
      </c>
    </row>
    <row r="217" spans="1:7" x14ac:dyDescent="0.25">
      <c r="A217" s="46" t="s">
        <v>784</v>
      </c>
      <c r="B217" s="82" t="s">
        <v>785</v>
      </c>
      <c r="C217" s="79">
        <v>42556</v>
      </c>
      <c r="D217" s="49" t="s">
        <v>498</v>
      </c>
      <c r="E217" s="80">
        <v>6.6</v>
      </c>
      <c r="F217" s="51" t="s">
        <v>180</v>
      </c>
      <c r="G217" s="52" t="s">
        <v>786</v>
      </c>
    </row>
    <row r="218" spans="1:7" x14ac:dyDescent="0.25">
      <c r="A218" s="46" t="s">
        <v>787</v>
      </c>
      <c r="B218" s="82" t="s">
        <v>788</v>
      </c>
      <c r="C218" s="79">
        <v>44226</v>
      </c>
      <c r="D218" s="49" t="s">
        <v>498</v>
      </c>
      <c r="E218" s="80">
        <v>6.6</v>
      </c>
      <c r="F218" s="51" t="s">
        <v>180</v>
      </c>
      <c r="G218" s="52" t="s">
        <v>786</v>
      </c>
    </row>
    <row r="219" spans="1:7" x14ac:dyDescent="0.25">
      <c r="A219" s="46" t="s">
        <v>789</v>
      </c>
      <c r="B219" s="82" t="s">
        <v>790</v>
      </c>
      <c r="C219" s="79">
        <v>46963</v>
      </c>
      <c r="D219" s="49" t="s">
        <v>498</v>
      </c>
      <c r="E219" s="80">
        <v>6.8</v>
      </c>
      <c r="F219" s="51" t="s">
        <v>180</v>
      </c>
      <c r="G219" s="52" t="s">
        <v>786</v>
      </c>
    </row>
    <row r="220" spans="1:7" x14ac:dyDescent="0.25">
      <c r="A220" s="46" t="s">
        <v>791</v>
      </c>
      <c r="B220" s="82" t="s">
        <v>792</v>
      </c>
      <c r="C220" s="79">
        <v>50555</v>
      </c>
      <c r="D220" s="49" t="s">
        <v>498</v>
      </c>
      <c r="E220" s="80">
        <v>6.8</v>
      </c>
      <c r="F220" s="51" t="s">
        <v>180</v>
      </c>
      <c r="G220" s="52" t="s">
        <v>786</v>
      </c>
    </row>
    <row r="221" spans="1:7" x14ac:dyDescent="0.25">
      <c r="A221" s="46" t="s">
        <v>793</v>
      </c>
      <c r="B221" s="82" t="s">
        <v>794</v>
      </c>
      <c r="C221" s="79">
        <v>56938</v>
      </c>
      <c r="D221" s="49" t="s">
        <v>795</v>
      </c>
      <c r="E221" s="80">
        <v>8.4</v>
      </c>
      <c r="F221" s="51" t="s">
        <v>180</v>
      </c>
      <c r="G221" s="52" t="s">
        <v>796</v>
      </c>
    </row>
    <row r="222" spans="1:7" x14ac:dyDescent="0.25">
      <c r="A222" s="46" t="s">
        <v>797</v>
      </c>
      <c r="B222" s="82" t="s">
        <v>798</v>
      </c>
      <c r="C222" s="79">
        <v>58856</v>
      </c>
      <c r="D222" s="49" t="s">
        <v>795</v>
      </c>
      <c r="E222" s="80">
        <v>8.4</v>
      </c>
      <c r="F222" s="51" t="s">
        <v>180</v>
      </c>
      <c r="G222" s="52" t="s">
        <v>799</v>
      </c>
    </row>
    <row r="223" spans="1:7" x14ac:dyDescent="0.25">
      <c r="A223" s="46" t="s">
        <v>800</v>
      </c>
      <c r="B223" s="82" t="s">
        <v>801</v>
      </c>
      <c r="C223" s="79">
        <v>63140</v>
      </c>
      <c r="D223" s="49" t="s">
        <v>795</v>
      </c>
      <c r="E223" s="80">
        <v>8.6999999999999993</v>
      </c>
      <c r="F223" s="51" t="s">
        <v>180</v>
      </c>
      <c r="G223" s="52" t="s">
        <v>802</v>
      </c>
    </row>
    <row r="224" spans="1:7" x14ac:dyDescent="0.25">
      <c r="A224" s="46" t="s">
        <v>803</v>
      </c>
      <c r="B224" s="82" t="s">
        <v>804</v>
      </c>
      <c r="C224" s="79">
        <v>66500</v>
      </c>
      <c r="D224" s="49" t="s">
        <v>795</v>
      </c>
      <c r="E224" s="80">
        <v>8.6999999999999993</v>
      </c>
      <c r="F224" s="51" t="s">
        <v>180</v>
      </c>
      <c r="G224" s="52" t="s">
        <v>805</v>
      </c>
    </row>
    <row r="225" spans="1:7" x14ac:dyDescent="0.25">
      <c r="A225" s="46" t="s">
        <v>806</v>
      </c>
      <c r="B225" s="82" t="s">
        <v>807</v>
      </c>
      <c r="C225" s="79">
        <v>60355</v>
      </c>
      <c r="D225" s="49" t="s">
        <v>795</v>
      </c>
      <c r="E225" s="80">
        <v>8.4</v>
      </c>
      <c r="F225" s="51" t="s">
        <v>180</v>
      </c>
      <c r="G225" s="52" t="s">
        <v>786</v>
      </c>
    </row>
    <row r="226" spans="1:7" x14ac:dyDescent="0.25">
      <c r="A226" s="46" t="s">
        <v>808</v>
      </c>
      <c r="B226" s="82" t="s">
        <v>809</v>
      </c>
      <c r="C226" s="79">
        <v>62331</v>
      </c>
      <c r="D226" s="49" t="s">
        <v>795</v>
      </c>
      <c r="E226" s="80">
        <v>8.4</v>
      </c>
      <c r="F226" s="51" t="s">
        <v>180</v>
      </c>
      <c r="G226" s="52" t="s">
        <v>786</v>
      </c>
    </row>
    <row r="227" spans="1:7" x14ac:dyDescent="0.25">
      <c r="A227" s="46" t="s">
        <v>810</v>
      </c>
      <c r="B227" s="82" t="s">
        <v>811</v>
      </c>
      <c r="C227" s="79">
        <v>66672</v>
      </c>
      <c r="D227" s="49" t="s">
        <v>795</v>
      </c>
      <c r="E227" s="80">
        <v>8.6999999999999993</v>
      </c>
      <c r="F227" s="51" t="s">
        <v>180</v>
      </c>
      <c r="G227" s="52" t="s">
        <v>786</v>
      </c>
    </row>
    <row r="228" spans="1:7" x14ac:dyDescent="0.25">
      <c r="A228" s="46" t="s">
        <v>812</v>
      </c>
      <c r="B228" s="82" t="s">
        <v>813</v>
      </c>
      <c r="C228" s="79">
        <v>70090</v>
      </c>
      <c r="D228" s="49" t="s">
        <v>795</v>
      </c>
      <c r="E228" s="80">
        <v>8.6999999999999993</v>
      </c>
      <c r="F228" s="51" t="s">
        <v>180</v>
      </c>
      <c r="G228" s="52" t="s">
        <v>786</v>
      </c>
    </row>
    <row r="229" spans="1:7" x14ac:dyDescent="0.2">
      <c r="A229" s="46" t="s">
        <v>814</v>
      </c>
      <c r="B229" s="71" t="s">
        <v>815</v>
      </c>
      <c r="C229" s="79">
        <v>67431</v>
      </c>
      <c r="D229" s="54" t="s">
        <v>816</v>
      </c>
      <c r="E229" s="81">
        <v>22.5</v>
      </c>
      <c r="F229" s="51" t="s">
        <v>180</v>
      </c>
      <c r="G229" s="52" t="s">
        <v>817</v>
      </c>
    </row>
    <row r="230" spans="1:7" x14ac:dyDescent="0.2">
      <c r="A230" s="46" t="s">
        <v>818</v>
      </c>
      <c r="B230" s="71" t="s">
        <v>819</v>
      </c>
      <c r="C230" s="79">
        <v>69562</v>
      </c>
      <c r="D230" s="54" t="s">
        <v>816</v>
      </c>
      <c r="E230" s="81">
        <v>22.5</v>
      </c>
      <c r="F230" s="51" t="s">
        <v>180</v>
      </c>
      <c r="G230" s="52" t="s">
        <v>820</v>
      </c>
    </row>
    <row r="231" spans="1:7" x14ac:dyDescent="0.2">
      <c r="A231" s="46" t="s">
        <v>821</v>
      </c>
      <c r="B231" s="71" t="s">
        <v>822</v>
      </c>
      <c r="C231" s="79">
        <v>74613</v>
      </c>
      <c r="D231" s="54" t="s">
        <v>816</v>
      </c>
      <c r="E231" s="81">
        <v>22.5</v>
      </c>
      <c r="F231" s="51" t="s">
        <v>180</v>
      </c>
      <c r="G231" s="52" t="s">
        <v>823</v>
      </c>
    </row>
    <row r="232" spans="1:7" x14ac:dyDescent="0.2">
      <c r="A232" s="46" t="s">
        <v>824</v>
      </c>
      <c r="B232" s="71" t="s">
        <v>825</v>
      </c>
      <c r="C232" s="79">
        <v>78224</v>
      </c>
      <c r="D232" s="54" t="s">
        <v>816</v>
      </c>
      <c r="E232" s="81">
        <v>22.5</v>
      </c>
      <c r="F232" s="51" t="s">
        <v>180</v>
      </c>
      <c r="G232" s="52" t="s">
        <v>826</v>
      </c>
    </row>
    <row r="233" spans="1:7" ht="15" x14ac:dyDescent="0.25">
      <c r="A233" s="83"/>
      <c r="B233" s="84" t="s">
        <v>717</v>
      </c>
      <c r="C233" s="64"/>
      <c r="D233" s="65"/>
      <c r="E233" s="64"/>
      <c r="F233" s="64"/>
      <c r="G233" s="85"/>
    </row>
    <row r="234" spans="1:7" x14ac:dyDescent="0.25">
      <c r="A234" s="53"/>
      <c r="B234" s="53" t="s">
        <v>827</v>
      </c>
      <c r="C234" s="55"/>
      <c r="D234" s="54"/>
      <c r="E234" s="81"/>
      <c r="F234" s="51"/>
      <c r="G234" s="52"/>
    </row>
    <row r="235" spans="1:7" x14ac:dyDescent="0.2">
      <c r="A235" s="46" t="s">
        <v>828</v>
      </c>
      <c r="B235" s="71" t="s">
        <v>829</v>
      </c>
      <c r="C235" s="79">
        <v>81078</v>
      </c>
      <c r="D235" s="56" t="s">
        <v>795</v>
      </c>
      <c r="E235" s="72">
        <v>8.6999999999999993</v>
      </c>
      <c r="F235" s="58" t="s">
        <v>180</v>
      </c>
      <c r="G235" s="59" t="s">
        <v>830</v>
      </c>
    </row>
    <row r="236" spans="1:7" x14ac:dyDescent="0.2">
      <c r="A236" s="46" t="s">
        <v>831</v>
      </c>
      <c r="B236" s="71" t="s">
        <v>832</v>
      </c>
      <c r="C236" s="79">
        <v>82888</v>
      </c>
      <c r="D236" s="56" t="s">
        <v>795</v>
      </c>
      <c r="E236" s="72">
        <v>8.6999999999999993</v>
      </c>
      <c r="F236" s="58" t="s">
        <v>180</v>
      </c>
      <c r="G236" s="59" t="s">
        <v>833</v>
      </c>
    </row>
    <row r="237" spans="1:7" x14ac:dyDescent="0.2">
      <c r="A237" s="46" t="s">
        <v>834</v>
      </c>
      <c r="B237" s="71" t="s">
        <v>835</v>
      </c>
      <c r="C237" s="79">
        <v>84847</v>
      </c>
      <c r="D237" s="56" t="s">
        <v>795</v>
      </c>
      <c r="E237" s="72">
        <v>8.9</v>
      </c>
      <c r="F237" s="58" t="s">
        <v>180</v>
      </c>
      <c r="G237" s="59" t="s">
        <v>836</v>
      </c>
    </row>
    <row r="238" spans="1:7" x14ac:dyDescent="0.2">
      <c r="A238" s="46" t="s">
        <v>837</v>
      </c>
      <c r="B238" s="71" t="s">
        <v>838</v>
      </c>
      <c r="C238" s="79">
        <v>89471</v>
      </c>
      <c r="D238" s="56" t="s">
        <v>795</v>
      </c>
      <c r="E238" s="72">
        <v>8.9</v>
      </c>
      <c r="F238" s="58" t="s">
        <v>180</v>
      </c>
      <c r="G238" s="59" t="s">
        <v>839</v>
      </c>
    </row>
    <row r="239" spans="1:7" x14ac:dyDescent="0.2">
      <c r="A239" s="86" t="s">
        <v>840</v>
      </c>
      <c r="B239" s="75" t="s">
        <v>841</v>
      </c>
      <c r="C239" s="48">
        <v>88485</v>
      </c>
      <c r="D239" s="56" t="s">
        <v>795</v>
      </c>
      <c r="E239" s="72">
        <v>8.6999999999999993</v>
      </c>
      <c r="F239" s="58" t="s">
        <v>180</v>
      </c>
      <c r="G239" s="59" t="s">
        <v>842</v>
      </c>
    </row>
    <row r="240" spans="1:7" x14ac:dyDescent="0.2">
      <c r="A240" s="86" t="s">
        <v>843</v>
      </c>
      <c r="B240" s="75" t="s">
        <v>844</v>
      </c>
      <c r="C240" s="48">
        <v>89951</v>
      </c>
      <c r="D240" s="56" t="s">
        <v>795</v>
      </c>
      <c r="E240" s="72">
        <v>8.6999999999999993</v>
      </c>
      <c r="F240" s="58" t="s">
        <v>180</v>
      </c>
      <c r="G240" s="59" t="s">
        <v>845</v>
      </c>
    </row>
    <row r="241" spans="1:7" x14ac:dyDescent="0.2">
      <c r="A241" s="86" t="s">
        <v>846</v>
      </c>
      <c r="B241" s="75" t="s">
        <v>847</v>
      </c>
      <c r="C241" s="48">
        <v>91301</v>
      </c>
      <c r="D241" s="56" t="s">
        <v>795</v>
      </c>
      <c r="E241" s="72">
        <v>8.9</v>
      </c>
      <c r="F241" s="58" t="s">
        <v>180</v>
      </c>
      <c r="G241" s="59" t="s">
        <v>848</v>
      </c>
    </row>
    <row r="242" spans="1:7" x14ac:dyDescent="0.2">
      <c r="A242" s="86" t="s">
        <v>849</v>
      </c>
      <c r="B242" s="75" t="s">
        <v>850</v>
      </c>
      <c r="C242" s="48">
        <v>96420</v>
      </c>
      <c r="D242" s="56" t="s">
        <v>795</v>
      </c>
      <c r="E242" s="72">
        <v>8.9</v>
      </c>
      <c r="F242" s="58" t="s">
        <v>180</v>
      </c>
      <c r="G242" s="59" t="s">
        <v>851</v>
      </c>
    </row>
    <row r="243" spans="1:7" x14ac:dyDescent="0.2">
      <c r="A243" s="86" t="s">
        <v>852</v>
      </c>
      <c r="B243" s="75" t="s">
        <v>853</v>
      </c>
      <c r="C243" s="48">
        <v>91505</v>
      </c>
      <c r="D243" s="56" t="s">
        <v>795</v>
      </c>
      <c r="E243" s="72">
        <v>8.6999999999999993</v>
      </c>
      <c r="F243" s="58" t="s">
        <v>180</v>
      </c>
      <c r="G243" s="59" t="s">
        <v>854</v>
      </c>
    </row>
    <row r="244" spans="1:7" x14ac:dyDescent="0.2">
      <c r="A244" s="86" t="s">
        <v>855</v>
      </c>
      <c r="B244" s="75" t="s">
        <v>856</v>
      </c>
      <c r="C244" s="48">
        <v>92996</v>
      </c>
      <c r="D244" s="56" t="s">
        <v>795</v>
      </c>
      <c r="E244" s="72">
        <v>8.6999999999999993</v>
      </c>
      <c r="F244" s="58" t="s">
        <v>180</v>
      </c>
      <c r="G244" s="59" t="s">
        <v>857</v>
      </c>
    </row>
    <row r="245" spans="1:7" x14ac:dyDescent="0.2">
      <c r="A245" s="86" t="s">
        <v>858</v>
      </c>
      <c r="B245" s="75" t="s">
        <v>859</v>
      </c>
      <c r="C245" s="48">
        <v>94369</v>
      </c>
      <c r="D245" s="56" t="s">
        <v>795</v>
      </c>
      <c r="E245" s="72">
        <v>8.9</v>
      </c>
      <c r="F245" s="58" t="s">
        <v>180</v>
      </c>
      <c r="G245" s="59" t="s">
        <v>860</v>
      </c>
    </row>
    <row r="246" spans="1:7" x14ac:dyDescent="0.2">
      <c r="A246" s="86" t="s">
        <v>861</v>
      </c>
      <c r="B246" s="75" t="s">
        <v>862</v>
      </c>
      <c r="C246" s="48">
        <v>99512</v>
      </c>
      <c r="D246" s="56" t="s">
        <v>795</v>
      </c>
      <c r="E246" s="72">
        <v>8.9</v>
      </c>
      <c r="F246" s="58" t="s">
        <v>180</v>
      </c>
      <c r="G246" s="59" t="s">
        <v>863</v>
      </c>
    </row>
    <row r="247" spans="1:7" x14ac:dyDescent="0.2">
      <c r="A247" s="46" t="s">
        <v>864</v>
      </c>
      <c r="B247" s="71" t="s">
        <v>865</v>
      </c>
      <c r="C247" s="79">
        <v>101644</v>
      </c>
      <c r="D247" s="56" t="s">
        <v>795</v>
      </c>
      <c r="E247" s="72">
        <v>8.9</v>
      </c>
      <c r="F247" s="58" t="s">
        <v>180</v>
      </c>
      <c r="G247" s="59" t="s">
        <v>866</v>
      </c>
    </row>
    <row r="248" spans="1:7" x14ac:dyDescent="0.2">
      <c r="A248" s="46" t="s">
        <v>867</v>
      </c>
      <c r="B248" s="71" t="s">
        <v>868</v>
      </c>
      <c r="C248" s="79">
        <v>105079</v>
      </c>
      <c r="D248" s="56" t="s">
        <v>795</v>
      </c>
      <c r="E248" s="72">
        <v>8.9</v>
      </c>
      <c r="F248" s="58" t="s">
        <v>180</v>
      </c>
      <c r="G248" s="59" t="s">
        <v>869</v>
      </c>
    </row>
    <row r="249" spans="1:7" x14ac:dyDescent="0.2">
      <c r="A249" s="46" t="s">
        <v>870</v>
      </c>
      <c r="B249" s="71" t="s">
        <v>871</v>
      </c>
      <c r="C249" s="79">
        <v>106935</v>
      </c>
      <c r="D249" s="56" t="s">
        <v>795</v>
      </c>
      <c r="E249" s="72">
        <v>9.1</v>
      </c>
      <c r="F249" s="58" t="s">
        <v>180</v>
      </c>
      <c r="G249" s="59" t="s">
        <v>872</v>
      </c>
    </row>
    <row r="250" spans="1:7" x14ac:dyDescent="0.2">
      <c r="A250" s="46" t="s">
        <v>873</v>
      </c>
      <c r="B250" s="71" t="s">
        <v>874</v>
      </c>
      <c r="C250" s="79">
        <v>111908</v>
      </c>
      <c r="D250" s="56" t="s">
        <v>795</v>
      </c>
      <c r="E250" s="72">
        <v>9.1</v>
      </c>
      <c r="F250" s="58" t="s">
        <v>180</v>
      </c>
      <c r="G250" s="59" t="s">
        <v>875</v>
      </c>
    </row>
    <row r="251" spans="1:7" x14ac:dyDescent="0.2">
      <c r="A251" s="86" t="s">
        <v>876</v>
      </c>
      <c r="B251" s="75" t="s">
        <v>877</v>
      </c>
      <c r="C251" s="48">
        <v>109500</v>
      </c>
      <c r="D251" s="56" t="s">
        <v>795</v>
      </c>
      <c r="E251" s="72">
        <v>8.6999999999999993</v>
      </c>
      <c r="F251" s="58" t="s">
        <v>180</v>
      </c>
      <c r="G251" s="59" t="s">
        <v>878</v>
      </c>
    </row>
    <row r="252" spans="1:7" x14ac:dyDescent="0.2">
      <c r="A252" s="86" t="s">
        <v>879</v>
      </c>
      <c r="B252" s="75" t="s">
        <v>880</v>
      </c>
      <c r="C252" s="48">
        <v>112426</v>
      </c>
      <c r="D252" s="56" t="s">
        <v>795</v>
      </c>
      <c r="E252" s="72">
        <v>8.6999999999999993</v>
      </c>
      <c r="F252" s="58" t="s">
        <v>180</v>
      </c>
      <c r="G252" s="59" t="s">
        <v>881</v>
      </c>
    </row>
    <row r="253" spans="1:7" x14ac:dyDescent="0.2">
      <c r="A253" s="86" t="s">
        <v>882</v>
      </c>
      <c r="B253" s="75" t="s">
        <v>883</v>
      </c>
      <c r="C253" s="48">
        <v>113479</v>
      </c>
      <c r="D253" s="56" t="s">
        <v>795</v>
      </c>
      <c r="E253" s="72">
        <v>8.9</v>
      </c>
      <c r="F253" s="58" t="s">
        <v>180</v>
      </c>
      <c r="G253" s="59" t="s">
        <v>884</v>
      </c>
    </row>
    <row r="254" spans="1:7" x14ac:dyDescent="0.2">
      <c r="A254" s="86" t="s">
        <v>885</v>
      </c>
      <c r="B254" s="75" t="s">
        <v>886</v>
      </c>
      <c r="C254" s="48">
        <v>118759</v>
      </c>
      <c r="D254" s="56" t="s">
        <v>795</v>
      </c>
      <c r="E254" s="72">
        <v>8.9</v>
      </c>
      <c r="F254" s="58" t="s">
        <v>180</v>
      </c>
      <c r="G254" s="59" t="s">
        <v>887</v>
      </c>
    </row>
    <row r="255" spans="1:7" x14ac:dyDescent="0.2">
      <c r="A255" s="86" t="s">
        <v>888</v>
      </c>
      <c r="B255" s="75" t="s">
        <v>889</v>
      </c>
      <c r="C255" s="48">
        <v>112521</v>
      </c>
      <c r="D255" s="56" t="s">
        <v>795</v>
      </c>
      <c r="E255" s="72">
        <v>8.6999999999999993</v>
      </c>
      <c r="F255" s="58" t="s">
        <v>180</v>
      </c>
      <c r="G255" s="59" t="s">
        <v>890</v>
      </c>
    </row>
    <row r="256" spans="1:7" x14ac:dyDescent="0.2">
      <c r="A256" s="86" t="s">
        <v>891</v>
      </c>
      <c r="B256" s="75" t="s">
        <v>892</v>
      </c>
      <c r="C256" s="48">
        <v>115470</v>
      </c>
      <c r="D256" s="56" t="s">
        <v>795</v>
      </c>
      <c r="E256" s="72">
        <v>8.6999999999999993</v>
      </c>
      <c r="F256" s="58" t="s">
        <v>180</v>
      </c>
      <c r="G256" s="59" t="s">
        <v>893</v>
      </c>
    </row>
    <row r="257" spans="1:7" x14ac:dyDescent="0.2">
      <c r="A257" s="86" t="s">
        <v>894</v>
      </c>
      <c r="B257" s="75" t="s">
        <v>895</v>
      </c>
      <c r="C257" s="48">
        <v>116547</v>
      </c>
      <c r="D257" s="56" t="s">
        <v>795</v>
      </c>
      <c r="E257" s="72">
        <v>8.9</v>
      </c>
      <c r="F257" s="58" t="s">
        <v>180</v>
      </c>
      <c r="G257" s="59" t="s">
        <v>896</v>
      </c>
    </row>
    <row r="258" spans="1:7" x14ac:dyDescent="0.2">
      <c r="A258" s="86" t="s">
        <v>897</v>
      </c>
      <c r="B258" s="75" t="s">
        <v>898</v>
      </c>
      <c r="C258" s="48">
        <v>121851</v>
      </c>
      <c r="D258" s="56" t="s">
        <v>795</v>
      </c>
      <c r="E258" s="72">
        <v>8.9</v>
      </c>
      <c r="F258" s="58" t="s">
        <v>180</v>
      </c>
      <c r="G258" s="59" t="s">
        <v>899</v>
      </c>
    </row>
    <row r="259" spans="1:7" x14ac:dyDescent="0.2">
      <c r="A259" s="46" t="s">
        <v>900</v>
      </c>
      <c r="B259" s="71" t="s">
        <v>901</v>
      </c>
      <c r="C259" s="79">
        <v>124427</v>
      </c>
      <c r="D259" s="56" t="s">
        <v>902</v>
      </c>
      <c r="E259" s="87">
        <v>10.199999999999999</v>
      </c>
      <c r="F259" s="58" t="s">
        <v>180</v>
      </c>
      <c r="G259" s="59" t="s">
        <v>903</v>
      </c>
    </row>
    <row r="260" spans="1:7" x14ac:dyDescent="0.2">
      <c r="A260" s="46" t="s">
        <v>904</v>
      </c>
      <c r="B260" s="71" t="s">
        <v>905</v>
      </c>
      <c r="C260" s="79">
        <v>127639</v>
      </c>
      <c r="D260" s="56" t="s">
        <v>902</v>
      </c>
      <c r="E260" s="87">
        <v>10.199999999999999</v>
      </c>
      <c r="F260" s="58" t="s">
        <v>180</v>
      </c>
      <c r="G260" s="59" t="s">
        <v>906</v>
      </c>
    </row>
    <row r="261" spans="1:7" x14ac:dyDescent="0.2">
      <c r="A261" s="46" t="s">
        <v>907</v>
      </c>
      <c r="B261" s="71" t="s">
        <v>908</v>
      </c>
      <c r="C261" s="79">
        <v>103567</v>
      </c>
      <c r="D261" s="56" t="s">
        <v>902</v>
      </c>
      <c r="E261" s="87">
        <v>10.4</v>
      </c>
      <c r="F261" s="58" t="s">
        <v>180</v>
      </c>
      <c r="G261" s="59" t="s">
        <v>909</v>
      </c>
    </row>
    <row r="262" spans="1:7" x14ac:dyDescent="0.2">
      <c r="A262" s="46" t="s">
        <v>910</v>
      </c>
      <c r="B262" s="71" t="s">
        <v>911</v>
      </c>
      <c r="C262" s="79">
        <v>106525</v>
      </c>
      <c r="D262" s="56" t="s">
        <v>902</v>
      </c>
      <c r="E262" s="87">
        <v>10.4</v>
      </c>
      <c r="F262" s="58" t="s">
        <v>180</v>
      </c>
      <c r="G262" s="59" t="s">
        <v>912</v>
      </c>
    </row>
    <row r="263" spans="1:7" x14ac:dyDescent="0.2">
      <c r="A263" s="46" t="s">
        <v>913</v>
      </c>
      <c r="B263" s="71" t="s">
        <v>914</v>
      </c>
      <c r="C263" s="79">
        <v>112817</v>
      </c>
      <c r="D263" s="56" t="s">
        <v>902</v>
      </c>
      <c r="E263" s="87">
        <v>10.7</v>
      </c>
      <c r="F263" s="58" t="s">
        <v>180</v>
      </c>
      <c r="G263" s="59" t="s">
        <v>915</v>
      </c>
    </row>
    <row r="264" spans="1:7" x14ac:dyDescent="0.2">
      <c r="A264" s="46" t="s">
        <v>916</v>
      </c>
      <c r="B264" s="71" t="s">
        <v>917</v>
      </c>
      <c r="C264" s="79">
        <v>119899</v>
      </c>
      <c r="D264" s="56" t="s">
        <v>902</v>
      </c>
      <c r="E264" s="87">
        <v>10.7</v>
      </c>
      <c r="F264" s="58" t="s">
        <v>180</v>
      </c>
      <c r="G264" s="59" t="s">
        <v>918</v>
      </c>
    </row>
    <row r="265" spans="1:7" x14ac:dyDescent="0.2">
      <c r="A265" s="46" t="s">
        <v>919</v>
      </c>
      <c r="B265" s="71" t="s">
        <v>920</v>
      </c>
      <c r="C265" s="79">
        <v>129862</v>
      </c>
      <c r="D265" s="56" t="s">
        <v>902</v>
      </c>
      <c r="E265" s="87">
        <v>11.4</v>
      </c>
      <c r="F265" s="58" t="s">
        <v>180</v>
      </c>
      <c r="G265" s="59" t="s">
        <v>921</v>
      </c>
    </row>
    <row r="266" spans="1:7" x14ac:dyDescent="0.2">
      <c r="A266" s="46" t="s">
        <v>922</v>
      </c>
      <c r="B266" s="71" t="s">
        <v>923</v>
      </c>
      <c r="C266" s="79">
        <v>134724</v>
      </c>
      <c r="D266" s="56" t="s">
        <v>902</v>
      </c>
      <c r="E266" s="87">
        <v>11.4</v>
      </c>
      <c r="F266" s="58" t="s">
        <v>180</v>
      </c>
      <c r="G266" s="59" t="s">
        <v>924</v>
      </c>
    </row>
    <row r="267" spans="1:7" x14ac:dyDescent="0.2">
      <c r="A267" s="46" t="s">
        <v>925</v>
      </c>
      <c r="B267" s="71" t="s">
        <v>926</v>
      </c>
      <c r="C267" s="79">
        <v>106979</v>
      </c>
      <c r="D267" s="88" t="s">
        <v>578</v>
      </c>
      <c r="E267" s="89">
        <v>41</v>
      </c>
      <c r="F267" s="58" t="s">
        <v>180</v>
      </c>
      <c r="G267" s="59" t="s">
        <v>927</v>
      </c>
    </row>
    <row r="268" spans="1:7" x14ac:dyDescent="0.2">
      <c r="A268" s="46" t="s">
        <v>928</v>
      </c>
      <c r="B268" s="71" t="s">
        <v>929</v>
      </c>
      <c r="C268" s="79">
        <v>110366</v>
      </c>
      <c r="D268" s="88" t="s">
        <v>578</v>
      </c>
      <c r="E268" s="89">
        <v>41</v>
      </c>
      <c r="F268" s="58" t="s">
        <v>180</v>
      </c>
      <c r="G268" s="59" t="s">
        <v>930</v>
      </c>
    </row>
    <row r="269" spans="1:7" x14ac:dyDescent="0.2">
      <c r="A269" s="46" t="s">
        <v>931</v>
      </c>
      <c r="B269" s="71" t="s">
        <v>932</v>
      </c>
      <c r="C269" s="79">
        <v>113979</v>
      </c>
      <c r="D269" s="88" t="s">
        <v>578</v>
      </c>
      <c r="E269" s="89">
        <v>41</v>
      </c>
      <c r="F269" s="58" t="s">
        <v>180</v>
      </c>
      <c r="G269" s="59" t="s">
        <v>933</v>
      </c>
    </row>
    <row r="270" spans="1:7" x14ac:dyDescent="0.2">
      <c r="A270" s="46" t="s">
        <v>934</v>
      </c>
      <c r="B270" s="71" t="s">
        <v>935</v>
      </c>
      <c r="C270" s="79">
        <v>118601</v>
      </c>
      <c r="D270" s="88" t="s">
        <v>578</v>
      </c>
      <c r="E270" s="89">
        <v>41</v>
      </c>
      <c r="F270" s="58" t="s">
        <v>180</v>
      </c>
      <c r="G270" s="59" t="s">
        <v>936</v>
      </c>
    </row>
    <row r="271" spans="1:7" x14ac:dyDescent="0.2">
      <c r="A271" s="46" t="s">
        <v>937</v>
      </c>
      <c r="B271" s="71" t="s">
        <v>938</v>
      </c>
      <c r="C271" s="79">
        <v>135061</v>
      </c>
      <c r="D271" s="88" t="s">
        <v>578</v>
      </c>
      <c r="E271" s="89">
        <v>43</v>
      </c>
      <c r="F271" s="58" t="s">
        <v>180</v>
      </c>
      <c r="G271" s="59" t="s">
        <v>939</v>
      </c>
    </row>
    <row r="272" spans="1:7" x14ac:dyDescent="0.2">
      <c r="A272" s="46" t="s">
        <v>940</v>
      </c>
      <c r="B272" s="71" t="s">
        <v>941</v>
      </c>
      <c r="C272" s="79">
        <v>141234</v>
      </c>
      <c r="D272" s="88" t="s">
        <v>578</v>
      </c>
      <c r="E272" s="89">
        <v>43</v>
      </c>
      <c r="F272" s="58" t="s">
        <v>180</v>
      </c>
      <c r="G272" s="59" t="s">
        <v>942</v>
      </c>
    </row>
    <row r="273" spans="1:7" x14ac:dyDescent="0.2">
      <c r="A273" s="46" t="s">
        <v>943</v>
      </c>
      <c r="B273" s="71" t="s">
        <v>944</v>
      </c>
      <c r="C273" s="79">
        <v>140607</v>
      </c>
      <c r="D273" s="88" t="s">
        <v>578</v>
      </c>
      <c r="E273" s="89">
        <v>43</v>
      </c>
      <c r="F273" s="58" t="s">
        <v>180</v>
      </c>
      <c r="G273" s="59" t="s">
        <v>945</v>
      </c>
    </row>
    <row r="274" spans="1:7" x14ac:dyDescent="0.2">
      <c r="A274" s="86" t="s">
        <v>946</v>
      </c>
      <c r="B274" s="75" t="s">
        <v>947</v>
      </c>
      <c r="C274" s="48">
        <v>110630</v>
      </c>
      <c r="D274" s="88" t="s">
        <v>578</v>
      </c>
      <c r="E274" s="89">
        <v>41</v>
      </c>
      <c r="F274" s="58" t="s">
        <v>180</v>
      </c>
      <c r="G274" s="59" t="s">
        <v>948</v>
      </c>
    </row>
    <row r="275" spans="1:7" x14ac:dyDescent="0.2">
      <c r="A275" s="86" t="s">
        <v>949</v>
      </c>
      <c r="B275" s="75" t="s">
        <v>950</v>
      </c>
      <c r="C275" s="48">
        <v>113865</v>
      </c>
      <c r="D275" s="88" t="s">
        <v>578</v>
      </c>
      <c r="E275" s="89">
        <v>41</v>
      </c>
      <c r="F275" s="58" t="s">
        <v>180</v>
      </c>
      <c r="G275" s="59" t="s">
        <v>951</v>
      </c>
    </row>
    <row r="276" spans="1:7" x14ac:dyDescent="0.2">
      <c r="A276" s="86" t="s">
        <v>952</v>
      </c>
      <c r="B276" s="75" t="s">
        <v>953</v>
      </c>
      <c r="C276" s="48">
        <v>116154</v>
      </c>
      <c r="D276" s="88" t="s">
        <v>578</v>
      </c>
      <c r="E276" s="89">
        <v>41</v>
      </c>
      <c r="F276" s="58" t="s">
        <v>180</v>
      </c>
      <c r="G276" s="59" t="s">
        <v>954</v>
      </c>
    </row>
    <row r="277" spans="1:7" x14ac:dyDescent="0.2">
      <c r="A277" s="86" t="s">
        <v>955</v>
      </c>
      <c r="B277" s="75" t="s">
        <v>956</v>
      </c>
      <c r="C277" s="48">
        <v>119988</v>
      </c>
      <c r="D277" s="88" t="s">
        <v>578</v>
      </c>
      <c r="E277" s="89">
        <v>41</v>
      </c>
      <c r="F277" s="58" t="s">
        <v>180</v>
      </c>
      <c r="G277" s="59" t="s">
        <v>957</v>
      </c>
    </row>
    <row r="278" spans="1:7" x14ac:dyDescent="0.2">
      <c r="A278" s="86" t="s">
        <v>958</v>
      </c>
      <c r="B278" s="75" t="s">
        <v>959</v>
      </c>
      <c r="C278" s="48">
        <v>136769</v>
      </c>
      <c r="D278" s="88" t="s">
        <v>578</v>
      </c>
      <c r="E278" s="89">
        <v>43</v>
      </c>
      <c r="F278" s="58" t="s">
        <v>180</v>
      </c>
      <c r="G278" s="59" t="s">
        <v>960</v>
      </c>
    </row>
    <row r="279" spans="1:7" x14ac:dyDescent="0.2">
      <c r="A279" s="86" t="s">
        <v>961</v>
      </c>
      <c r="B279" s="75" t="s">
        <v>962</v>
      </c>
      <c r="C279" s="48">
        <v>147382</v>
      </c>
      <c r="D279" s="88" t="s">
        <v>578</v>
      </c>
      <c r="E279" s="89">
        <v>43</v>
      </c>
      <c r="F279" s="58" t="s">
        <v>180</v>
      </c>
      <c r="G279" s="59" t="s">
        <v>963</v>
      </c>
    </row>
    <row r="280" spans="1:7" x14ac:dyDescent="0.2">
      <c r="A280" s="86" t="s">
        <v>964</v>
      </c>
      <c r="B280" s="75" t="s">
        <v>965</v>
      </c>
      <c r="C280" s="48">
        <v>150013</v>
      </c>
      <c r="D280" s="88" t="s">
        <v>578</v>
      </c>
      <c r="E280" s="89">
        <v>43</v>
      </c>
      <c r="F280" s="58" t="s">
        <v>180</v>
      </c>
      <c r="G280" s="59" t="s">
        <v>966</v>
      </c>
    </row>
    <row r="281" spans="1:7" x14ac:dyDescent="0.2">
      <c r="A281" s="86" t="s">
        <v>967</v>
      </c>
      <c r="B281" s="75" t="s">
        <v>968</v>
      </c>
      <c r="C281" s="48">
        <v>113604</v>
      </c>
      <c r="D281" s="88" t="s">
        <v>578</v>
      </c>
      <c r="E281" s="89">
        <v>41</v>
      </c>
      <c r="F281" s="58" t="s">
        <v>180</v>
      </c>
      <c r="G281" s="59" t="s">
        <v>969</v>
      </c>
    </row>
    <row r="282" spans="1:7" x14ac:dyDescent="0.2">
      <c r="A282" s="86" t="s">
        <v>970</v>
      </c>
      <c r="B282" s="75" t="s">
        <v>971</v>
      </c>
      <c r="C282" s="48">
        <v>116838</v>
      </c>
      <c r="D282" s="88" t="s">
        <v>578</v>
      </c>
      <c r="E282" s="89">
        <v>41</v>
      </c>
      <c r="F282" s="58" t="s">
        <v>180</v>
      </c>
      <c r="G282" s="59" t="s">
        <v>972</v>
      </c>
    </row>
    <row r="283" spans="1:7" x14ac:dyDescent="0.2">
      <c r="A283" s="86" t="s">
        <v>973</v>
      </c>
      <c r="B283" s="75" t="s">
        <v>974</v>
      </c>
      <c r="C283" s="48">
        <v>119128</v>
      </c>
      <c r="D283" s="88" t="s">
        <v>578</v>
      </c>
      <c r="E283" s="89">
        <v>41</v>
      </c>
      <c r="F283" s="58" t="s">
        <v>180</v>
      </c>
      <c r="G283" s="59" t="s">
        <v>975</v>
      </c>
    </row>
    <row r="284" spans="1:7" x14ac:dyDescent="0.2">
      <c r="A284" s="86" t="s">
        <v>976</v>
      </c>
      <c r="B284" s="75" t="s">
        <v>977</v>
      </c>
      <c r="C284" s="48">
        <v>122986</v>
      </c>
      <c r="D284" s="88" t="s">
        <v>578</v>
      </c>
      <c r="E284" s="89">
        <v>41</v>
      </c>
      <c r="F284" s="58" t="s">
        <v>180</v>
      </c>
      <c r="G284" s="59" t="s">
        <v>978</v>
      </c>
    </row>
    <row r="285" spans="1:7" x14ac:dyDescent="0.2">
      <c r="A285" s="86" t="s">
        <v>979</v>
      </c>
      <c r="B285" s="75" t="s">
        <v>980</v>
      </c>
      <c r="C285" s="48">
        <v>139766</v>
      </c>
      <c r="D285" s="88" t="s">
        <v>578</v>
      </c>
      <c r="E285" s="89">
        <v>43</v>
      </c>
      <c r="F285" s="58" t="s">
        <v>180</v>
      </c>
      <c r="G285" s="59" t="s">
        <v>981</v>
      </c>
    </row>
    <row r="286" spans="1:7" x14ac:dyDescent="0.2">
      <c r="A286" s="86" t="s">
        <v>982</v>
      </c>
      <c r="B286" s="75" t="s">
        <v>983</v>
      </c>
      <c r="C286" s="48">
        <v>150403</v>
      </c>
      <c r="D286" s="88" t="s">
        <v>578</v>
      </c>
      <c r="E286" s="89">
        <v>43</v>
      </c>
      <c r="F286" s="58" t="s">
        <v>180</v>
      </c>
      <c r="G286" s="59" t="s">
        <v>984</v>
      </c>
    </row>
    <row r="287" spans="1:7" x14ac:dyDescent="0.2">
      <c r="A287" s="86" t="s">
        <v>985</v>
      </c>
      <c r="B287" s="75" t="s">
        <v>986</v>
      </c>
      <c r="C287" s="48">
        <v>153058</v>
      </c>
      <c r="D287" s="88" t="s">
        <v>578</v>
      </c>
      <c r="E287" s="89">
        <v>43</v>
      </c>
      <c r="F287" s="58" t="s">
        <v>180</v>
      </c>
      <c r="G287" s="59" t="s">
        <v>987</v>
      </c>
    </row>
    <row r="288" spans="1:7" x14ac:dyDescent="0.2">
      <c r="A288" s="46" t="s">
        <v>988</v>
      </c>
      <c r="B288" s="71" t="s">
        <v>989</v>
      </c>
      <c r="C288" s="79">
        <v>129829</v>
      </c>
      <c r="D288" s="88" t="s">
        <v>578</v>
      </c>
      <c r="E288" s="89">
        <v>42</v>
      </c>
      <c r="F288" s="58" t="s">
        <v>180</v>
      </c>
      <c r="G288" s="59" t="s">
        <v>990</v>
      </c>
    </row>
    <row r="289" spans="1:7" x14ac:dyDescent="0.2">
      <c r="A289" s="46" t="s">
        <v>991</v>
      </c>
      <c r="B289" s="71" t="s">
        <v>992</v>
      </c>
      <c r="C289" s="79">
        <v>135365</v>
      </c>
      <c r="D289" s="88" t="s">
        <v>578</v>
      </c>
      <c r="E289" s="89">
        <v>42</v>
      </c>
      <c r="F289" s="58" t="s">
        <v>180</v>
      </c>
      <c r="G289" s="59" t="s">
        <v>993</v>
      </c>
    </row>
    <row r="290" spans="1:7" x14ac:dyDescent="0.2">
      <c r="A290" s="46" t="s">
        <v>994</v>
      </c>
      <c r="B290" s="71" t="s">
        <v>995</v>
      </c>
      <c r="C290" s="79">
        <v>137842</v>
      </c>
      <c r="D290" s="88" t="s">
        <v>578</v>
      </c>
      <c r="E290" s="89">
        <v>42</v>
      </c>
      <c r="F290" s="58" t="s">
        <v>180</v>
      </c>
      <c r="G290" s="59" t="s">
        <v>996</v>
      </c>
    </row>
    <row r="291" spans="1:7" x14ac:dyDescent="0.2">
      <c r="A291" s="46" t="s">
        <v>997</v>
      </c>
      <c r="B291" s="71" t="s">
        <v>998</v>
      </c>
      <c r="C291" s="79">
        <v>147691</v>
      </c>
      <c r="D291" s="88" t="s">
        <v>578</v>
      </c>
      <c r="E291" s="89">
        <v>42</v>
      </c>
      <c r="F291" s="58" t="s">
        <v>180</v>
      </c>
      <c r="G291" s="59" t="s">
        <v>999</v>
      </c>
    </row>
    <row r="292" spans="1:7" x14ac:dyDescent="0.2">
      <c r="A292" s="46" t="s">
        <v>1000</v>
      </c>
      <c r="B292" s="71" t="s">
        <v>1001</v>
      </c>
      <c r="C292" s="79">
        <v>169618</v>
      </c>
      <c r="D292" s="88" t="s">
        <v>1002</v>
      </c>
      <c r="E292" s="89">
        <v>51</v>
      </c>
      <c r="F292" s="58" t="s">
        <v>180</v>
      </c>
      <c r="G292" s="59" t="s">
        <v>1003</v>
      </c>
    </row>
    <row r="293" spans="1:7" x14ac:dyDescent="0.2">
      <c r="A293" s="46" t="s">
        <v>1004</v>
      </c>
      <c r="B293" s="71" t="s">
        <v>1005</v>
      </c>
      <c r="C293" s="79">
        <v>169840</v>
      </c>
      <c r="D293" s="88" t="s">
        <v>1002</v>
      </c>
      <c r="E293" s="89">
        <v>51</v>
      </c>
      <c r="F293" s="58" t="s">
        <v>180</v>
      </c>
      <c r="G293" s="59" t="s">
        <v>1006</v>
      </c>
    </row>
    <row r="294" spans="1:7" x14ac:dyDescent="0.2">
      <c r="A294" s="46" t="s">
        <v>1007</v>
      </c>
      <c r="B294" s="71" t="s">
        <v>1008</v>
      </c>
      <c r="C294" s="79">
        <v>178145</v>
      </c>
      <c r="D294" s="88" t="s">
        <v>1002</v>
      </c>
      <c r="E294" s="89">
        <v>51</v>
      </c>
      <c r="F294" s="58" t="s">
        <v>180</v>
      </c>
      <c r="G294" s="59" t="s">
        <v>1009</v>
      </c>
    </row>
    <row r="295" spans="1:7" x14ac:dyDescent="0.2">
      <c r="A295" s="86" t="s">
        <v>1010</v>
      </c>
      <c r="B295" s="75" t="s">
        <v>1011</v>
      </c>
      <c r="C295" s="48">
        <v>138656</v>
      </c>
      <c r="D295" s="88" t="s">
        <v>578</v>
      </c>
      <c r="E295" s="89">
        <v>42</v>
      </c>
      <c r="F295" s="58" t="s">
        <v>180</v>
      </c>
      <c r="G295" s="59" t="s">
        <v>1012</v>
      </c>
    </row>
    <row r="296" spans="1:7" x14ac:dyDescent="0.2">
      <c r="A296" s="86" t="s">
        <v>1013</v>
      </c>
      <c r="B296" s="75" t="s">
        <v>1014</v>
      </c>
      <c r="C296" s="48">
        <v>136154</v>
      </c>
      <c r="D296" s="88" t="s">
        <v>578</v>
      </c>
      <c r="E296" s="89">
        <v>42</v>
      </c>
      <c r="F296" s="58" t="s">
        <v>180</v>
      </c>
      <c r="G296" s="59" t="s">
        <v>1015</v>
      </c>
    </row>
    <row r="297" spans="1:7" x14ac:dyDescent="0.2">
      <c r="A297" s="86" t="s">
        <v>1016</v>
      </c>
      <c r="B297" s="75" t="s">
        <v>1017</v>
      </c>
      <c r="C297" s="48">
        <v>136657</v>
      </c>
      <c r="D297" s="88" t="s">
        <v>578</v>
      </c>
      <c r="E297" s="89">
        <v>42</v>
      </c>
      <c r="F297" s="58" t="s">
        <v>180</v>
      </c>
      <c r="G297" s="59" t="s">
        <v>1018</v>
      </c>
    </row>
    <row r="298" spans="1:7" x14ac:dyDescent="0.2">
      <c r="A298" s="86" t="s">
        <v>1019</v>
      </c>
      <c r="B298" s="75" t="s">
        <v>1020</v>
      </c>
      <c r="C298" s="48">
        <v>145360</v>
      </c>
      <c r="D298" s="88" t="s">
        <v>578</v>
      </c>
      <c r="E298" s="89">
        <v>42</v>
      </c>
      <c r="F298" s="58" t="s">
        <v>180</v>
      </c>
      <c r="G298" s="59" t="s">
        <v>1021</v>
      </c>
    </row>
    <row r="299" spans="1:7" x14ac:dyDescent="0.2">
      <c r="A299" s="86" t="s">
        <v>1022</v>
      </c>
      <c r="B299" s="75" t="s">
        <v>1023</v>
      </c>
      <c r="C299" s="48">
        <v>169735</v>
      </c>
      <c r="D299" s="88" t="s">
        <v>1002</v>
      </c>
      <c r="E299" s="89">
        <v>51</v>
      </c>
      <c r="F299" s="58" t="s">
        <v>180</v>
      </c>
      <c r="G299" s="59" t="s">
        <v>1024</v>
      </c>
    </row>
    <row r="300" spans="1:7" x14ac:dyDescent="0.2">
      <c r="A300" s="86" t="s">
        <v>1025</v>
      </c>
      <c r="B300" s="75" t="s">
        <v>1026</v>
      </c>
      <c r="C300" s="48">
        <v>174261</v>
      </c>
      <c r="D300" s="88" t="s">
        <v>1002</v>
      </c>
      <c r="E300" s="89">
        <v>51</v>
      </c>
      <c r="F300" s="58" t="s">
        <v>180</v>
      </c>
      <c r="G300" s="59" t="s">
        <v>1027</v>
      </c>
    </row>
    <row r="301" spans="1:7" x14ac:dyDescent="0.2">
      <c r="A301" s="86" t="s">
        <v>1028</v>
      </c>
      <c r="B301" s="75" t="s">
        <v>1029</v>
      </c>
      <c r="C301" s="48">
        <v>185913</v>
      </c>
      <c r="D301" s="88" t="s">
        <v>1002</v>
      </c>
      <c r="E301" s="89">
        <v>51</v>
      </c>
      <c r="F301" s="58" t="s">
        <v>180</v>
      </c>
      <c r="G301" s="59" t="s">
        <v>1030</v>
      </c>
    </row>
    <row r="302" spans="1:7" x14ac:dyDescent="0.2">
      <c r="A302" s="86" t="s">
        <v>1031</v>
      </c>
      <c r="B302" s="75" t="s">
        <v>1032</v>
      </c>
      <c r="C302" s="48">
        <v>141630</v>
      </c>
      <c r="D302" s="88" t="s">
        <v>578</v>
      </c>
      <c r="E302" s="89">
        <v>42</v>
      </c>
      <c r="F302" s="58" t="s">
        <v>180</v>
      </c>
      <c r="G302" s="59" t="s">
        <v>1033</v>
      </c>
    </row>
    <row r="303" spans="1:7" x14ac:dyDescent="0.2">
      <c r="A303" s="86" t="s">
        <v>1034</v>
      </c>
      <c r="B303" s="75" t="s">
        <v>1035</v>
      </c>
      <c r="C303" s="48">
        <v>139128</v>
      </c>
      <c r="D303" s="88" t="s">
        <v>578</v>
      </c>
      <c r="E303" s="89">
        <v>42</v>
      </c>
      <c r="F303" s="58" t="s">
        <v>180</v>
      </c>
      <c r="G303" s="59" t="s">
        <v>1036</v>
      </c>
    </row>
    <row r="304" spans="1:7" x14ac:dyDescent="0.2">
      <c r="A304" s="86" t="s">
        <v>1037</v>
      </c>
      <c r="B304" s="75" t="s">
        <v>1038</v>
      </c>
      <c r="C304" s="48">
        <v>139630</v>
      </c>
      <c r="D304" s="88" t="s">
        <v>578</v>
      </c>
      <c r="E304" s="89">
        <v>42</v>
      </c>
      <c r="F304" s="58" t="s">
        <v>180</v>
      </c>
      <c r="G304" s="59" t="s">
        <v>1039</v>
      </c>
    </row>
    <row r="305" spans="1:7" x14ac:dyDescent="0.2">
      <c r="A305" s="86" t="s">
        <v>1040</v>
      </c>
      <c r="B305" s="75" t="s">
        <v>1041</v>
      </c>
      <c r="C305" s="48">
        <v>148358</v>
      </c>
      <c r="D305" s="88" t="s">
        <v>578</v>
      </c>
      <c r="E305" s="89">
        <v>42</v>
      </c>
      <c r="F305" s="58" t="s">
        <v>180</v>
      </c>
      <c r="G305" s="59" t="s">
        <v>1042</v>
      </c>
    </row>
    <row r="306" spans="1:7" x14ac:dyDescent="0.2">
      <c r="A306" s="86" t="s">
        <v>1043</v>
      </c>
      <c r="B306" s="75" t="s">
        <v>1044</v>
      </c>
      <c r="C306" s="48">
        <v>172733</v>
      </c>
      <c r="D306" s="88" t="s">
        <v>1002</v>
      </c>
      <c r="E306" s="89">
        <v>51</v>
      </c>
      <c r="F306" s="58" t="s">
        <v>180</v>
      </c>
      <c r="G306" s="59" t="s">
        <v>1045</v>
      </c>
    </row>
    <row r="307" spans="1:7" x14ac:dyDescent="0.2">
      <c r="A307" s="86" t="s">
        <v>1046</v>
      </c>
      <c r="B307" s="75" t="s">
        <v>1047</v>
      </c>
      <c r="C307" s="48">
        <v>177282</v>
      </c>
      <c r="D307" s="88" t="s">
        <v>1002</v>
      </c>
      <c r="E307" s="89">
        <v>51</v>
      </c>
      <c r="F307" s="58" t="s">
        <v>180</v>
      </c>
      <c r="G307" s="59" t="s">
        <v>1048</v>
      </c>
    </row>
    <row r="308" spans="1:7" x14ac:dyDescent="0.2">
      <c r="A308" s="86" t="s">
        <v>1049</v>
      </c>
      <c r="B308" s="75" t="s">
        <v>1050</v>
      </c>
      <c r="C308" s="48">
        <v>188958</v>
      </c>
      <c r="D308" s="88" t="s">
        <v>1002</v>
      </c>
      <c r="E308" s="89">
        <v>51</v>
      </c>
      <c r="F308" s="58" t="s">
        <v>180</v>
      </c>
      <c r="G308" s="59" t="s">
        <v>1051</v>
      </c>
    </row>
    <row r="309" spans="1:7" x14ac:dyDescent="0.2">
      <c r="A309" s="46" t="s">
        <v>1052</v>
      </c>
      <c r="B309" s="71" t="s">
        <v>1053</v>
      </c>
      <c r="C309" s="79">
        <v>153219</v>
      </c>
      <c r="D309" s="88" t="s">
        <v>578</v>
      </c>
      <c r="E309" s="89">
        <v>43</v>
      </c>
      <c r="F309" s="58" t="s">
        <v>180</v>
      </c>
      <c r="G309" s="59" t="s">
        <v>1054</v>
      </c>
    </row>
    <row r="310" spans="1:7" x14ac:dyDescent="0.2">
      <c r="A310" s="46" t="s">
        <v>1055</v>
      </c>
      <c r="B310" s="71" t="s">
        <v>1056</v>
      </c>
      <c r="C310" s="79">
        <v>157362</v>
      </c>
      <c r="D310" s="88" t="s">
        <v>578</v>
      </c>
      <c r="E310" s="89">
        <v>43</v>
      </c>
      <c r="F310" s="58" t="s">
        <v>180</v>
      </c>
      <c r="G310" s="59" t="s">
        <v>1057</v>
      </c>
    </row>
    <row r="311" spans="1:7" x14ac:dyDescent="0.2">
      <c r="A311" s="46" t="s">
        <v>1058</v>
      </c>
      <c r="B311" s="71" t="s">
        <v>1059</v>
      </c>
      <c r="C311" s="79">
        <v>164943</v>
      </c>
      <c r="D311" s="88" t="s">
        <v>578</v>
      </c>
      <c r="E311" s="89">
        <v>43</v>
      </c>
      <c r="F311" s="58" t="s">
        <v>180</v>
      </c>
      <c r="G311" s="59" t="s">
        <v>1060</v>
      </c>
    </row>
    <row r="312" spans="1:7" x14ac:dyDescent="0.2">
      <c r="A312" s="46" t="s">
        <v>1061</v>
      </c>
      <c r="B312" s="71" t="s">
        <v>1062</v>
      </c>
      <c r="C312" s="79">
        <v>184145</v>
      </c>
      <c r="D312" s="88" t="s">
        <v>1002</v>
      </c>
      <c r="E312" s="89">
        <v>53</v>
      </c>
      <c r="F312" s="58" t="s">
        <v>180</v>
      </c>
      <c r="G312" s="59" t="s">
        <v>1063</v>
      </c>
    </row>
    <row r="313" spans="1:7" x14ac:dyDescent="0.2">
      <c r="A313" s="46" t="s">
        <v>1064</v>
      </c>
      <c r="B313" s="71" t="s">
        <v>1065</v>
      </c>
      <c r="C313" s="79">
        <v>193091</v>
      </c>
      <c r="D313" s="88" t="s">
        <v>1002</v>
      </c>
      <c r="E313" s="89">
        <v>53</v>
      </c>
      <c r="F313" s="58" t="s">
        <v>180</v>
      </c>
      <c r="G313" s="59" t="s">
        <v>1066</v>
      </c>
    </row>
    <row r="314" spans="1:7" x14ac:dyDescent="0.2">
      <c r="A314" s="46" t="s">
        <v>1067</v>
      </c>
      <c r="B314" s="71" t="s">
        <v>1068</v>
      </c>
      <c r="C314" s="79">
        <v>201018</v>
      </c>
      <c r="D314" s="88" t="s">
        <v>1002</v>
      </c>
      <c r="E314" s="89">
        <v>54</v>
      </c>
      <c r="F314" s="58" t="s">
        <v>180</v>
      </c>
      <c r="G314" s="59" t="s">
        <v>1069</v>
      </c>
    </row>
    <row r="315" spans="1:7" x14ac:dyDescent="0.2">
      <c r="A315" s="46" t="s">
        <v>1070</v>
      </c>
      <c r="B315" s="71" t="s">
        <v>1071</v>
      </c>
      <c r="C315" s="79">
        <v>206420</v>
      </c>
      <c r="D315" s="88" t="s">
        <v>1002</v>
      </c>
      <c r="E315" s="89">
        <v>55</v>
      </c>
      <c r="F315" s="58" t="s">
        <v>180</v>
      </c>
      <c r="G315" s="59" t="s">
        <v>1072</v>
      </c>
    </row>
    <row r="316" spans="1:7" x14ac:dyDescent="0.2">
      <c r="A316" s="86" t="s">
        <v>1073</v>
      </c>
      <c r="B316" s="75" t="s">
        <v>1074</v>
      </c>
      <c r="C316" s="48">
        <v>163557</v>
      </c>
      <c r="D316" s="88" t="s">
        <v>578</v>
      </c>
      <c r="E316" s="89">
        <v>43</v>
      </c>
      <c r="F316" s="58" t="s">
        <v>180</v>
      </c>
      <c r="G316" s="59" t="s">
        <v>1075</v>
      </c>
    </row>
    <row r="317" spans="1:7" x14ac:dyDescent="0.2">
      <c r="A317" s="86" t="s">
        <v>1076</v>
      </c>
      <c r="B317" s="75" t="s">
        <v>1077</v>
      </c>
      <c r="C317" s="48">
        <v>160719</v>
      </c>
      <c r="D317" s="88" t="s">
        <v>578</v>
      </c>
      <c r="E317" s="89">
        <v>43</v>
      </c>
      <c r="F317" s="58" t="s">
        <v>180</v>
      </c>
      <c r="G317" s="59" t="s">
        <v>1078</v>
      </c>
    </row>
    <row r="318" spans="1:7" x14ac:dyDescent="0.2">
      <c r="A318" s="86" t="s">
        <v>1079</v>
      </c>
      <c r="B318" s="75" t="s">
        <v>1080</v>
      </c>
      <c r="C318" s="48">
        <v>168255</v>
      </c>
      <c r="D318" s="88" t="s">
        <v>578</v>
      </c>
      <c r="E318" s="89">
        <v>43</v>
      </c>
      <c r="F318" s="58" t="s">
        <v>180</v>
      </c>
      <c r="G318" s="59" t="s">
        <v>1081</v>
      </c>
    </row>
    <row r="319" spans="1:7" x14ac:dyDescent="0.2">
      <c r="A319" s="86" t="s">
        <v>1082</v>
      </c>
      <c r="B319" s="75" t="s">
        <v>1083</v>
      </c>
      <c r="C319" s="48">
        <v>186998</v>
      </c>
      <c r="D319" s="88" t="s">
        <v>1002</v>
      </c>
      <c r="E319" s="89">
        <v>53</v>
      </c>
      <c r="F319" s="58" t="s">
        <v>180</v>
      </c>
      <c r="G319" s="59" t="s">
        <v>1084</v>
      </c>
    </row>
    <row r="320" spans="1:7" x14ac:dyDescent="0.2">
      <c r="A320" s="86" t="s">
        <v>1085</v>
      </c>
      <c r="B320" s="75" t="s">
        <v>1086</v>
      </c>
      <c r="C320" s="48">
        <v>196154</v>
      </c>
      <c r="D320" s="88" t="s">
        <v>1002</v>
      </c>
      <c r="E320" s="89">
        <v>53</v>
      </c>
      <c r="F320" s="58" t="s">
        <v>180</v>
      </c>
      <c r="G320" s="59" t="s">
        <v>1087</v>
      </c>
    </row>
    <row r="321" spans="1:7" x14ac:dyDescent="0.2">
      <c r="A321" s="86" t="s">
        <v>1088</v>
      </c>
      <c r="B321" s="75" t="s">
        <v>1089</v>
      </c>
      <c r="C321" s="48">
        <v>203643</v>
      </c>
      <c r="D321" s="88" t="s">
        <v>1002</v>
      </c>
      <c r="E321" s="89">
        <v>54</v>
      </c>
      <c r="F321" s="58" t="s">
        <v>180</v>
      </c>
      <c r="G321" s="59" t="s">
        <v>1090</v>
      </c>
    </row>
    <row r="322" spans="1:7" x14ac:dyDescent="0.2">
      <c r="A322" s="86" t="s">
        <v>1091</v>
      </c>
      <c r="B322" s="75" t="s">
        <v>1092</v>
      </c>
      <c r="C322" s="48">
        <v>209206</v>
      </c>
      <c r="D322" s="88" t="s">
        <v>1002</v>
      </c>
      <c r="E322" s="89">
        <v>55</v>
      </c>
      <c r="F322" s="58" t="s">
        <v>180</v>
      </c>
      <c r="G322" s="59" t="s">
        <v>1093</v>
      </c>
    </row>
    <row r="323" spans="1:7" x14ac:dyDescent="0.2">
      <c r="A323" s="86" t="s">
        <v>1094</v>
      </c>
      <c r="B323" s="75" t="s">
        <v>1095</v>
      </c>
      <c r="C323" s="48">
        <v>166365</v>
      </c>
      <c r="D323" s="88" t="s">
        <v>578</v>
      </c>
      <c r="E323" s="89">
        <v>43</v>
      </c>
      <c r="F323" s="58" t="s">
        <v>180</v>
      </c>
      <c r="G323" s="59" t="s">
        <v>1096</v>
      </c>
    </row>
    <row r="324" spans="1:7" x14ac:dyDescent="0.2">
      <c r="A324" s="86" t="s">
        <v>1097</v>
      </c>
      <c r="B324" s="75" t="s">
        <v>1098</v>
      </c>
      <c r="C324" s="48">
        <v>163575</v>
      </c>
      <c r="D324" s="88" t="s">
        <v>578</v>
      </c>
      <c r="E324" s="89">
        <v>43</v>
      </c>
      <c r="F324" s="58" t="s">
        <v>180</v>
      </c>
      <c r="G324" s="59" t="s">
        <v>1099</v>
      </c>
    </row>
    <row r="325" spans="1:7" x14ac:dyDescent="0.2">
      <c r="A325" s="86" t="s">
        <v>1100</v>
      </c>
      <c r="B325" s="75" t="s">
        <v>1101</v>
      </c>
      <c r="C325" s="48">
        <v>171158</v>
      </c>
      <c r="D325" s="88" t="s">
        <v>578</v>
      </c>
      <c r="E325" s="89">
        <v>43</v>
      </c>
      <c r="F325" s="58" t="s">
        <v>180</v>
      </c>
      <c r="G325" s="59" t="s">
        <v>1102</v>
      </c>
    </row>
    <row r="326" spans="1:7" x14ac:dyDescent="0.2">
      <c r="A326" s="86" t="s">
        <v>1103</v>
      </c>
      <c r="B326" s="75" t="s">
        <v>1104</v>
      </c>
      <c r="C326" s="48">
        <v>192898</v>
      </c>
      <c r="D326" s="88" t="s">
        <v>1002</v>
      </c>
      <c r="E326" s="89">
        <v>53</v>
      </c>
      <c r="F326" s="58" t="s">
        <v>180</v>
      </c>
      <c r="G326" s="59" t="s">
        <v>1105</v>
      </c>
    </row>
    <row r="327" spans="1:7" x14ac:dyDescent="0.2">
      <c r="A327" s="86" t="s">
        <v>1106</v>
      </c>
      <c r="B327" s="75" t="s">
        <v>1107</v>
      </c>
      <c r="C327" s="48">
        <v>202054</v>
      </c>
      <c r="D327" s="88" t="s">
        <v>1002</v>
      </c>
      <c r="E327" s="89">
        <v>53</v>
      </c>
      <c r="F327" s="58" t="s">
        <v>180</v>
      </c>
      <c r="G327" s="59" t="s">
        <v>1108</v>
      </c>
    </row>
    <row r="328" spans="1:7" x14ac:dyDescent="0.2">
      <c r="A328" s="86" t="s">
        <v>1109</v>
      </c>
      <c r="B328" s="75" t="s">
        <v>1110</v>
      </c>
      <c r="C328" s="48">
        <v>209543</v>
      </c>
      <c r="D328" s="88" t="s">
        <v>1002</v>
      </c>
      <c r="E328" s="89">
        <v>54</v>
      </c>
      <c r="F328" s="58" t="s">
        <v>180</v>
      </c>
      <c r="G328" s="59" t="s">
        <v>1111</v>
      </c>
    </row>
    <row r="329" spans="1:7" x14ac:dyDescent="0.2">
      <c r="A329" s="86" t="s">
        <v>1112</v>
      </c>
      <c r="B329" s="75" t="s">
        <v>1113</v>
      </c>
      <c r="C329" s="48">
        <v>215106</v>
      </c>
      <c r="D329" s="88" t="s">
        <v>1002</v>
      </c>
      <c r="E329" s="89">
        <v>55</v>
      </c>
      <c r="F329" s="58" t="s">
        <v>180</v>
      </c>
      <c r="G329" s="59" t="s">
        <v>1114</v>
      </c>
    </row>
    <row r="330" spans="1:7" x14ac:dyDescent="0.2">
      <c r="A330" s="46" t="s">
        <v>1115</v>
      </c>
      <c r="B330" s="71" t="s">
        <v>1116</v>
      </c>
      <c r="C330" s="79">
        <v>123782</v>
      </c>
      <c r="D330" s="88" t="s">
        <v>578</v>
      </c>
      <c r="E330" s="89">
        <v>44</v>
      </c>
      <c r="F330" s="58" t="s">
        <v>180</v>
      </c>
      <c r="G330" s="59" t="s">
        <v>1117</v>
      </c>
    </row>
    <row r="331" spans="1:7" x14ac:dyDescent="0.2">
      <c r="A331" s="46" t="s">
        <v>1118</v>
      </c>
      <c r="B331" s="71" t="s">
        <v>1119</v>
      </c>
      <c r="C331" s="79">
        <v>128239</v>
      </c>
      <c r="D331" s="88" t="s">
        <v>578</v>
      </c>
      <c r="E331" s="89">
        <v>44</v>
      </c>
      <c r="F331" s="58" t="s">
        <v>180</v>
      </c>
      <c r="G331" s="59" t="s">
        <v>1120</v>
      </c>
    </row>
    <row r="332" spans="1:7" x14ac:dyDescent="0.2">
      <c r="A332" s="46" t="s">
        <v>1121</v>
      </c>
      <c r="B332" s="71" t="s">
        <v>1122</v>
      </c>
      <c r="C332" s="79">
        <v>141189</v>
      </c>
      <c r="D332" s="88" t="s">
        <v>1002</v>
      </c>
      <c r="E332" s="89">
        <v>56</v>
      </c>
      <c r="F332" s="58" t="s">
        <v>180</v>
      </c>
      <c r="G332" s="59" t="s">
        <v>1123</v>
      </c>
    </row>
    <row r="333" spans="1:7" x14ac:dyDescent="0.2">
      <c r="A333" s="46" t="s">
        <v>1124</v>
      </c>
      <c r="B333" s="71" t="s">
        <v>1125</v>
      </c>
      <c r="C333" s="79">
        <v>164327</v>
      </c>
      <c r="D333" s="88" t="s">
        <v>1002</v>
      </c>
      <c r="E333" s="89">
        <v>56</v>
      </c>
      <c r="F333" s="58" t="s">
        <v>180</v>
      </c>
      <c r="G333" s="59" t="s">
        <v>1126</v>
      </c>
    </row>
    <row r="334" spans="1:7" x14ac:dyDescent="0.2">
      <c r="A334" s="46" t="s">
        <v>1127</v>
      </c>
      <c r="B334" s="71" t="s">
        <v>1128</v>
      </c>
      <c r="C334" s="79">
        <v>176461</v>
      </c>
      <c r="D334" s="88" t="s">
        <v>1002</v>
      </c>
      <c r="E334" s="89">
        <v>56</v>
      </c>
      <c r="F334" s="58" t="s">
        <v>180</v>
      </c>
      <c r="G334" s="59" t="s">
        <v>1129</v>
      </c>
    </row>
    <row r="335" spans="1:7" x14ac:dyDescent="0.2">
      <c r="A335" s="46" t="s">
        <v>1130</v>
      </c>
      <c r="B335" s="71" t="s">
        <v>1131</v>
      </c>
      <c r="C335" s="79">
        <v>187332</v>
      </c>
      <c r="D335" s="88" t="s">
        <v>1002</v>
      </c>
      <c r="E335" s="89">
        <v>58</v>
      </c>
      <c r="F335" s="58" t="s">
        <v>180</v>
      </c>
      <c r="G335" s="59" t="s">
        <v>1132</v>
      </c>
    </row>
    <row r="336" spans="1:7" x14ac:dyDescent="0.2">
      <c r="A336" s="46" t="s">
        <v>1133</v>
      </c>
      <c r="B336" s="71" t="s">
        <v>1134</v>
      </c>
      <c r="C336" s="79">
        <v>277938</v>
      </c>
      <c r="D336" s="88" t="s">
        <v>1135</v>
      </c>
      <c r="E336" s="89">
        <v>109</v>
      </c>
      <c r="F336" s="58" t="s">
        <v>180</v>
      </c>
      <c r="G336" s="59" t="s">
        <v>1136</v>
      </c>
    </row>
    <row r="337" spans="1:7" x14ac:dyDescent="0.2">
      <c r="A337" s="46" t="s">
        <v>1137</v>
      </c>
      <c r="B337" s="71" t="s">
        <v>1138</v>
      </c>
      <c r="C337" s="79">
        <v>157778</v>
      </c>
      <c r="D337" s="88" t="s">
        <v>1002</v>
      </c>
      <c r="E337" s="89">
        <v>61</v>
      </c>
      <c r="F337" s="58" t="s">
        <v>180</v>
      </c>
      <c r="G337" s="59" t="s">
        <v>1139</v>
      </c>
    </row>
    <row r="338" spans="1:7" x14ac:dyDescent="0.2">
      <c r="A338" s="46" t="s">
        <v>1140</v>
      </c>
      <c r="B338" s="71" t="s">
        <v>1141</v>
      </c>
      <c r="C338" s="79">
        <v>161916</v>
      </c>
      <c r="D338" s="88" t="s">
        <v>1002</v>
      </c>
      <c r="E338" s="89">
        <v>61</v>
      </c>
      <c r="F338" s="58" t="s">
        <v>180</v>
      </c>
      <c r="G338" s="59" t="s">
        <v>1142</v>
      </c>
    </row>
    <row r="339" spans="1:7" x14ac:dyDescent="0.2">
      <c r="A339" s="46" t="s">
        <v>1143</v>
      </c>
      <c r="B339" s="71" t="s">
        <v>1144</v>
      </c>
      <c r="C339" s="79">
        <v>187514</v>
      </c>
      <c r="D339" s="88" t="s">
        <v>1002</v>
      </c>
      <c r="E339" s="89">
        <v>61</v>
      </c>
      <c r="F339" s="58" t="s">
        <v>180</v>
      </c>
      <c r="G339" s="59" t="s">
        <v>1145</v>
      </c>
    </row>
    <row r="340" spans="1:7" x14ac:dyDescent="0.2">
      <c r="A340" s="46" t="s">
        <v>1146</v>
      </c>
      <c r="B340" s="71" t="s">
        <v>1147</v>
      </c>
      <c r="C340" s="79">
        <v>198048</v>
      </c>
      <c r="D340" s="88" t="s">
        <v>1002</v>
      </c>
      <c r="E340" s="89">
        <v>63</v>
      </c>
      <c r="F340" s="58" t="s">
        <v>180</v>
      </c>
      <c r="G340" s="59" t="s">
        <v>1148</v>
      </c>
    </row>
    <row r="341" spans="1:7" x14ac:dyDescent="0.2">
      <c r="A341" s="46" t="s">
        <v>1149</v>
      </c>
      <c r="B341" s="71" t="s">
        <v>1150</v>
      </c>
      <c r="C341" s="79">
        <v>216166</v>
      </c>
      <c r="D341" s="88" t="s">
        <v>1002</v>
      </c>
      <c r="E341" s="89">
        <v>65</v>
      </c>
      <c r="F341" s="58" t="s">
        <v>180</v>
      </c>
      <c r="G341" s="59" t="s">
        <v>1151</v>
      </c>
    </row>
    <row r="342" spans="1:7" x14ac:dyDescent="0.2">
      <c r="A342" s="46" t="s">
        <v>1152</v>
      </c>
      <c r="B342" s="71" t="s">
        <v>1153</v>
      </c>
      <c r="C342" s="79">
        <v>304803</v>
      </c>
      <c r="D342" s="88" t="s">
        <v>1135</v>
      </c>
      <c r="E342" s="89">
        <v>113</v>
      </c>
      <c r="F342" s="58" t="s">
        <v>180</v>
      </c>
      <c r="G342" s="59" t="s">
        <v>1154</v>
      </c>
    </row>
    <row r="343" spans="1:7" x14ac:dyDescent="0.2">
      <c r="A343" s="46" t="s">
        <v>1155</v>
      </c>
      <c r="B343" s="71" t="s">
        <v>1156</v>
      </c>
      <c r="C343" s="79">
        <v>319319</v>
      </c>
      <c r="D343" s="88" t="s">
        <v>1135</v>
      </c>
      <c r="E343" s="89">
        <v>115</v>
      </c>
      <c r="F343" s="58" t="s">
        <v>180</v>
      </c>
      <c r="G343" s="59" t="s">
        <v>1157</v>
      </c>
    </row>
    <row r="344" spans="1:7" x14ac:dyDescent="0.2">
      <c r="A344" s="46" t="s">
        <v>1158</v>
      </c>
      <c r="B344" s="71" t="s">
        <v>1159</v>
      </c>
      <c r="C344" s="79">
        <v>189011</v>
      </c>
      <c r="D344" s="88" t="s">
        <v>1002</v>
      </c>
      <c r="E344" s="89">
        <v>69</v>
      </c>
      <c r="F344" s="58" t="s">
        <v>180</v>
      </c>
      <c r="G344" s="59" t="s">
        <v>1160</v>
      </c>
    </row>
    <row r="345" spans="1:7" x14ac:dyDescent="0.2">
      <c r="A345" s="46" t="s">
        <v>1161</v>
      </c>
      <c r="B345" s="71" t="s">
        <v>1162</v>
      </c>
      <c r="C345" s="79">
        <v>208553</v>
      </c>
      <c r="D345" s="88" t="s">
        <v>1163</v>
      </c>
      <c r="E345" s="89">
        <v>75</v>
      </c>
      <c r="F345" s="58" t="s">
        <v>180</v>
      </c>
      <c r="G345" s="59" t="s">
        <v>1164</v>
      </c>
    </row>
    <row r="346" spans="1:7" x14ac:dyDescent="0.2">
      <c r="A346" s="46" t="s">
        <v>1165</v>
      </c>
      <c r="B346" s="71" t="s">
        <v>1166</v>
      </c>
      <c r="C346" s="79">
        <v>219636</v>
      </c>
      <c r="D346" s="88" t="s">
        <v>1163</v>
      </c>
      <c r="E346" s="89">
        <v>79</v>
      </c>
      <c r="F346" s="58" t="s">
        <v>180</v>
      </c>
      <c r="G346" s="59" t="s">
        <v>1167</v>
      </c>
    </row>
    <row r="347" spans="1:7" x14ac:dyDescent="0.2">
      <c r="A347" s="46" t="s">
        <v>1168</v>
      </c>
      <c r="B347" s="71" t="s">
        <v>1169</v>
      </c>
      <c r="C347" s="79">
        <v>232207</v>
      </c>
      <c r="D347" s="88" t="s">
        <v>1163</v>
      </c>
      <c r="E347" s="89">
        <v>77</v>
      </c>
      <c r="F347" s="58" t="s">
        <v>180</v>
      </c>
      <c r="G347" s="59" t="s">
        <v>1170</v>
      </c>
    </row>
    <row r="348" spans="1:7" x14ac:dyDescent="0.2">
      <c r="A348" s="46" t="s">
        <v>1171</v>
      </c>
      <c r="B348" s="71" t="s">
        <v>1172</v>
      </c>
      <c r="C348" s="79">
        <v>252683</v>
      </c>
      <c r="D348" s="88" t="s">
        <v>1163</v>
      </c>
      <c r="E348" s="89">
        <v>79</v>
      </c>
      <c r="F348" s="58" t="s">
        <v>180</v>
      </c>
      <c r="G348" s="59" t="s">
        <v>1173</v>
      </c>
    </row>
    <row r="349" spans="1:7" x14ac:dyDescent="0.2">
      <c r="A349" s="46" t="s">
        <v>1174</v>
      </c>
      <c r="B349" s="71" t="s">
        <v>1175</v>
      </c>
      <c r="C349" s="79">
        <v>363331</v>
      </c>
      <c r="D349" s="88" t="s">
        <v>1176</v>
      </c>
      <c r="E349" s="89">
        <v>122</v>
      </c>
      <c r="F349" s="58" t="s">
        <v>180</v>
      </c>
      <c r="G349" s="59" t="s">
        <v>1177</v>
      </c>
    </row>
    <row r="350" spans="1:7" x14ac:dyDescent="0.2">
      <c r="A350" s="46" t="s">
        <v>1178</v>
      </c>
      <c r="B350" s="71" t="s">
        <v>1179</v>
      </c>
      <c r="C350" s="79">
        <v>383588</v>
      </c>
      <c r="D350" s="88" t="s">
        <v>1176</v>
      </c>
      <c r="E350" s="89">
        <v>123</v>
      </c>
      <c r="F350" s="58" t="s">
        <v>180</v>
      </c>
      <c r="G350" s="59" t="s">
        <v>1180</v>
      </c>
    </row>
    <row r="351" spans="1:7" ht="15" x14ac:dyDescent="0.25">
      <c r="A351" s="83"/>
      <c r="B351" s="84" t="s">
        <v>1181</v>
      </c>
      <c r="C351" s="64"/>
      <c r="D351" s="65"/>
      <c r="E351" s="64"/>
      <c r="F351" s="64"/>
      <c r="G351" s="85"/>
    </row>
    <row r="352" spans="1:7" x14ac:dyDescent="0.2">
      <c r="A352" s="46" t="s">
        <v>1182</v>
      </c>
      <c r="B352" s="47" t="s">
        <v>1183</v>
      </c>
      <c r="C352" s="79">
        <v>1415</v>
      </c>
      <c r="D352" s="90" t="s">
        <v>1184</v>
      </c>
      <c r="E352" s="91">
        <v>0.3</v>
      </c>
      <c r="F352" s="92" t="s">
        <v>180</v>
      </c>
      <c r="G352" s="93" t="s">
        <v>1185</v>
      </c>
    </row>
    <row r="353" spans="1:7" x14ac:dyDescent="0.2">
      <c r="A353" s="46" t="s">
        <v>1186</v>
      </c>
      <c r="B353" s="47" t="s">
        <v>1187</v>
      </c>
      <c r="C353" s="79">
        <v>1527</v>
      </c>
      <c r="D353" s="94" t="s">
        <v>1188</v>
      </c>
      <c r="E353" s="91">
        <v>0.42</v>
      </c>
      <c r="F353" s="92" t="s">
        <v>180</v>
      </c>
      <c r="G353" s="93" t="s">
        <v>1189</v>
      </c>
    </row>
    <row r="354" spans="1:7" x14ac:dyDescent="0.2">
      <c r="A354" s="46" t="s">
        <v>1190</v>
      </c>
      <c r="B354" s="47" t="s">
        <v>1191</v>
      </c>
      <c r="C354" s="79">
        <v>2186</v>
      </c>
      <c r="D354" s="94" t="s">
        <v>1192</v>
      </c>
      <c r="E354" s="91">
        <v>0.6</v>
      </c>
      <c r="F354" s="92" t="s">
        <v>180</v>
      </c>
      <c r="G354" s="93" t="s">
        <v>1193</v>
      </c>
    </row>
    <row r="355" spans="1:7" x14ac:dyDescent="0.2">
      <c r="A355" s="46" t="s">
        <v>1194</v>
      </c>
      <c r="B355" s="47" t="s">
        <v>1195</v>
      </c>
      <c r="C355" s="95">
        <v>1896</v>
      </c>
      <c r="D355" s="94" t="s">
        <v>1192</v>
      </c>
      <c r="E355" s="91">
        <v>0.6</v>
      </c>
      <c r="F355" s="92" t="s">
        <v>180</v>
      </c>
      <c r="G355" s="93" t="s">
        <v>1196</v>
      </c>
    </row>
    <row r="356" spans="1:7" s="45" customFormat="1" ht="15" x14ac:dyDescent="0.25">
      <c r="A356" s="64"/>
      <c r="B356" s="64" t="s">
        <v>1197</v>
      </c>
      <c r="C356" s="64"/>
      <c r="D356" s="65"/>
      <c r="E356" s="64"/>
      <c r="F356" s="64"/>
      <c r="G356" s="64"/>
    </row>
    <row r="357" spans="1:7" x14ac:dyDescent="0.2">
      <c r="A357" s="46" t="s">
        <v>1198</v>
      </c>
      <c r="B357" s="47" t="s">
        <v>1199</v>
      </c>
      <c r="C357" s="96">
        <v>10856.220000000001</v>
      </c>
      <c r="D357" s="54" t="s">
        <v>1200</v>
      </c>
      <c r="E357" s="80">
        <v>0.9</v>
      </c>
      <c r="F357" s="51" t="s">
        <v>1201</v>
      </c>
      <c r="G357" s="52" t="s">
        <v>1202</v>
      </c>
    </row>
    <row r="358" spans="1:7" x14ac:dyDescent="0.2">
      <c r="A358" s="46" t="s">
        <v>1203</v>
      </c>
      <c r="B358" s="47" t="s">
        <v>1204</v>
      </c>
      <c r="C358" s="96">
        <v>11294.92</v>
      </c>
      <c r="D358" s="54" t="s">
        <v>1205</v>
      </c>
      <c r="E358" s="80">
        <v>1.04</v>
      </c>
      <c r="F358" s="51" t="s">
        <v>1201</v>
      </c>
      <c r="G358" s="52" t="s">
        <v>1206</v>
      </c>
    </row>
    <row r="359" spans="1:7" x14ac:dyDescent="0.2">
      <c r="A359" s="46" t="s">
        <v>1207</v>
      </c>
      <c r="B359" s="47" t="s">
        <v>1208</v>
      </c>
      <c r="C359" s="96">
        <v>11731.480000000001</v>
      </c>
      <c r="D359" s="54" t="s">
        <v>1209</v>
      </c>
      <c r="E359" s="80">
        <v>1.1399999999999999</v>
      </c>
      <c r="F359" s="51" t="s">
        <v>1201</v>
      </c>
      <c r="G359" s="52" t="s">
        <v>1206</v>
      </c>
    </row>
    <row r="360" spans="1:7" x14ac:dyDescent="0.2">
      <c r="A360" s="46" t="s">
        <v>1210</v>
      </c>
      <c r="B360" s="47" t="s">
        <v>1211</v>
      </c>
      <c r="C360" s="96">
        <v>12498.67</v>
      </c>
      <c r="D360" s="54" t="s">
        <v>1209</v>
      </c>
      <c r="E360" s="80">
        <v>1.1399999999999999</v>
      </c>
      <c r="F360" s="51" t="s">
        <v>1201</v>
      </c>
      <c r="G360" s="52" t="s">
        <v>1206</v>
      </c>
    </row>
    <row r="361" spans="1:7" x14ac:dyDescent="0.2">
      <c r="A361" s="46" t="s">
        <v>1212</v>
      </c>
      <c r="B361" s="47" t="s">
        <v>1213</v>
      </c>
      <c r="C361" s="96">
        <v>16446.97</v>
      </c>
      <c r="D361" s="54" t="s">
        <v>1214</v>
      </c>
      <c r="E361" s="80">
        <v>1.74</v>
      </c>
      <c r="F361" s="51" t="s">
        <v>1201</v>
      </c>
      <c r="G361" s="52" t="s">
        <v>1206</v>
      </c>
    </row>
    <row r="362" spans="1:7" x14ac:dyDescent="0.2">
      <c r="A362" s="46" t="s">
        <v>1215</v>
      </c>
      <c r="B362" s="47" t="s">
        <v>1216</v>
      </c>
      <c r="C362" s="96">
        <v>17979.210000000003</v>
      </c>
      <c r="D362" s="54" t="s">
        <v>1214</v>
      </c>
      <c r="E362" s="80">
        <v>1.79</v>
      </c>
      <c r="F362" s="51" t="s">
        <v>1201</v>
      </c>
      <c r="G362" s="52" t="s">
        <v>1206</v>
      </c>
    </row>
    <row r="363" spans="1:7" x14ac:dyDescent="0.2">
      <c r="A363" s="97" t="s">
        <v>1217</v>
      </c>
      <c r="B363" s="47" t="s">
        <v>1218</v>
      </c>
      <c r="C363" s="96">
        <v>17842.25</v>
      </c>
      <c r="D363" s="54" t="s">
        <v>1219</v>
      </c>
      <c r="E363" s="81">
        <v>1.94</v>
      </c>
      <c r="F363" s="51" t="s">
        <v>1201</v>
      </c>
      <c r="G363" s="52" t="s">
        <v>1220</v>
      </c>
    </row>
    <row r="364" spans="1:7" x14ac:dyDescent="0.2">
      <c r="A364" s="46" t="s">
        <v>1221</v>
      </c>
      <c r="B364" s="47" t="s">
        <v>1222</v>
      </c>
      <c r="C364" s="96">
        <v>20060.36</v>
      </c>
      <c r="D364" s="54" t="s">
        <v>1219</v>
      </c>
      <c r="E364" s="80">
        <v>1.94</v>
      </c>
      <c r="F364" s="51" t="s">
        <v>1201</v>
      </c>
      <c r="G364" s="52" t="s">
        <v>1223</v>
      </c>
    </row>
    <row r="365" spans="1:7" x14ac:dyDescent="0.2">
      <c r="A365" s="46" t="s">
        <v>1224</v>
      </c>
      <c r="B365" s="47" t="s">
        <v>1225</v>
      </c>
      <c r="C365" s="96">
        <v>21727.420000000002</v>
      </c>
      <c r="D365" s="54" t="s">
        <v>1219</v>
      </c>
      <c r="E365" s="81">
        <v>1.95</v>
      </c>
      <c r="F365" s="51" t="s">
        <v>1201</v>
      </c>
      <c r="G365" s="52" t="s">
        <v>1223</v>
      </c>
    </row>
    <row r="366" spans="1:7" x14ac:dyDescent="0.2">
      <c r="A366" s="46" t="s">
        <v>1226</v>
      </c>
      <c r="B366" s="47" t="s">
        <v>1227</v>
      </c>
      <c r="C366" s="96">
        <v>24794.04</v>
      </c>
      <c r="D366" s="54" t="s">
        <v>1228</v>
      </c>
      <c r="E366" s="80">
        <v>3.04</v>
      </c>
      <c r="F366" s="51" t="s">
        <v>1201</v>
      </c>
      <c r="G366" s="52" t="s">
        <v>1223</v>
      </c>
    </row>
    <row r="367" spans="1:7" x14ac:dyDescent="0.2">
      <c r="A367" s="46" t="s">
        <v>1229</v>
      </c>
      <c r="B367" s="47" t="s">
        <v>1230</v>
      </c>
      <c r="C367" s="96">
        <v>27360.97</v>
      </c>
      <c r="D367" s="54" t="s">
        <v>1228</v>
      </c>
      <c r="E367" s="80">
        <v>3.06</v>
      </c>
      <c r="F367" s="51" t="s">
        <v>1201</v>
      </c>
      <c r="G367" s="52" t="s">
        <v>1223</v>
      </c>
    </row>
    <row r="368" spans="1:7" x14ac:dyDescent="0.2">
      <c r="A368" s="46" t="s">
        <v>1231</v>
      </c>
      <c r="B368" s="47" t="s">
        <v>1232</v>
      </c>
      <c r="C368" s="96">
        <v>33658.990000000005</v>
      </c>
      <c r="D368" s="54" t="s">
        <v>1228</v>
      </c>
      <c r="E368" s="80">
        <v>3.04</v>
      </c>
      <c r="F368" s="51" t="s">
        <v>1201</v>
      </c>
      <c r="G368" s="52" t="s">
        <v>1223</v>
      </c>
    </row>
    <row r="369" spans="1:7" x14ac:dyDescent="0.2">
      <c r="A369" s="46" t="s">
        <v>1233</v>
      </c>
      <c r="B369" s="47" t="s">
        <v>1234</v>
      </c>
      <c r="C369" s="96">
        <v>38954.420000000006</v>
      </c>
      <c r="D369" s="49" t="s">
        <v>1235</v>
      </c>
      <c r="E369" s="80">
        <v>6.16</v>
      </c>
      <c r="F369" s="51" t="s">
        <v>1201</v>
      </c>
      <c r="G369" s="52" t="s">
        <v>1223</v>
      </c>
    </row>
    <row r="370" spans="1:7" x14ac:dyDescent="0.2">
      <c r="A370" s="46" t="s">
        <v>1236</v>
      </c>
      <c r="B370" s="47" t="s">
        <v>1237</v>
      </c>
      <c r="C370" s="96">
        <v>50918.090000000004</v>
      </c>
      <c r="D370" s="49" t="s">
        <v>1235</v>
      </c>
      <c r="E370" s="80">
        <v>6.12</v>
      </c>
      <c r="F370" s="51" t="s">
        <v>1201</v>
      </c>
      <c r="G370" s="52" t="s">
        <v>1223</v>
      </c>
    </row>
    <row r="371" spans="1:7" x14ac:dyDescent="0.2">
      <c r="A371" s="46" t="s">
        <v>1238</v>
      </c>
      <c r="B371" s="47" t="s">
        <v>1239</v>
      </c>
      <c r="C371" s="96">
        <v>66875</v>
      </c>
      <c r="D371" s="49" t="s">
        <v>1240</v>
      </c>
      <c r="E371" s="80">
        <v>11.54</v>
      </c>
      <c r="F371" s="51" t="s">
        <v>1201</v>
      </c>
      <c r="G371" s="52" t="s">
        <v>1223</v>
      </c>
    </row>
    <row r="372" spans="1:7" x14ac:dyDescent="0.2">
      <c r="A372" s="46" t="s">
        <v>1241</v>
      </c>
      <c r="B372" s="47" t="s">
        <v>1242</v>
      </c>
      <c r="C372" s="96">
        <v>82788.040000000008</v>
      </c>
      <c r="D372" s="49" t="s">
        <v>1240</v>
      </c>
      <c r="E372" s="80">
        <v>11.59</v>
      </c>
      <c r="F372" s="51" t="s">
        <v>1201</v>
      </c>
      <c r="G372" s="52" t="s">
        <v>1223</v>
      </c>
    </row>
    <row r="373" spans="1:7" x14ac:dyDescent="0.2">
      <c r="A373" s="46" t="s">
        <v>1243</v>
      </c>
      <c r="B373" s="47" t="s">
        <v>1244</v>
      </c>
      <c r="C373" s="96">
        <v>113151.43000000001</v>
      </c>
      <c r="D373" s="49" t="s">
        <v>1240</v>
      </c>
      <c r="E373" s="80">
        <v>11.65</v>
      </c>
      <c r="F373" s="51" t="s">
        <v>1201</v>
      </c>
      <c r="G373" s="52" t="s">
        <v>1245</v>
      </c>
    </row>
    <row r="374" spans="1:7" x14ac:dyDescent="0.2">
      <c r="A374" s="46" t="s">
        <v>1246</v>
      </c>
      <c r="B374" s="47" t="s">
        <v>1247</v>
      </c>
      <c r="C374" s="96">
        <v>144978.58000000002</v>
      </c>
      <c r="D374" s="49" t="s">
        <v>1248</v>
      </c>
      <c r="E374" s="80">
        <v>23.8</v>
      </c>
      <c r="F374" s="51" t="s">
        <v>1201</v>
      </c>
      <c r="G374" s="52" t="s">
        <v>1223</v>
      </c>
    </row>
    <row r="375" spans="1:7" x14ac:dyDescent="0.2">
      <c r="A375" s="46" t="s">
        <v>1249</v>
      </c>
      <c r="B375" s="47" t="s">
        <v>1250</v>
      </c>
      <c r="C375" s="96">
        <v>185645</v>
      </c>
      <c r="D375" s="49" t="s">
        <v>1251</v>
      </c>
      <c r="E375" s="80">
        <v>31</v>
      </c>
      <c r="F375" s="51" t="s">
        <v>1201</v>
      </c>
      <c r="G375" s="52" t="s">
        <v>1223</v>
      </c>
    </row>
    <row r="376" spans="1:7" x14ac:dyDescent="0.2">
      <c r="A376" s="46" t="s">
        <v>1252</v>
      </c>
      <c r="B376" s="47" t="s">
        <v>1253</v>
      </c>
      <c r="C376" s="96">
        <v>224738.52000000002</v>
      </c>
      <c r="D376" s="49" t="s">
        <v>1251</v>
      </c>
      <c r="E376" s="80">
        <v>40</v>
      </c>
      <c r="F376" s="51" t="s">
        <v>1201</v>
      </c>
      <c r="G376" s="52" t="s">
        <v>1223</v>
      </c>
    </row>
    <row r="377" spans="1:7" x14ac:dyDescent="0.2">
      <c r="A377" s="46" t="s">
        <v>1254</v>
      </c>
      <c r="B377" s="47" t="s">
        <v>1255</v>
      </c>
      <c r="C377" s="96">
        <v>269163.85000000003</v>
      </c>
      <c r="D377" s="49" t="s">
        <v>1256</v>
      </c>
      <c r="E377" s="80">
        <v>40</v>
      </c>
      <c r="F377" s="51" t="s">
        <v>1201</v>
      </c>
      <c r="G377" s="52" t="s">
        <v>1223</v>
      </c>
    </row>
    <row r="378" spans="1:7" x14ac:dyDescent="0.2">
      <c r="A378" s="46" t="s">
        <v>1257</v>
      </c>
      <c r="B378" s="47" t="s">
        <v>1258</v>
      </c>
      <c r="C378" s="96">
        <v>315941.04000000004</v>
      </c>
      <c r="D378" s="49" t="s">
        <v>1256</v>
      </c>
      <c r="E378" s="80">
        <v>48</v>
      </c>
      <c r="F378" s="51" t="s">
        <v>1201</v>
      </c>
      <c r="G378" s="52" t="s">
        <v>1223</v>
      </c>
    </row>
    <row r="379" spans="1:7" x14ac:dyDescent="0.25">
      <c r="A379" s="53"/>
      <c r="B379" s="62"/>
      <c r="C379" s="98"/>
      <c r="D379" s="49"/>
      <c r="E379" s="80"/>
      <c r="F379" s="51"/>
      <c r="G379" s="52"/>
    </row>
    <row r="380" spans="1:7" x14ac:dyDescent="0.2">
      <c r="A380" s="46" t="s">
        <v>1259</v>
      </c>
      <c r="B380" s="47" t="s">
        <v>1260</v>
      </c>
      <c r="C380" s="96">
        <v>7535</v>
      </c>
      <c r="D380" s="99" t="s">
        <v>1261</v>
      </c>
      <c r="E380" s="100">
        <v>1.1000000000000001</v>
      </c>
      <c r="F380" s="101" t="s">
        <v>1262</v>
      </c>
      <c r="G380" s="102" t="s">
        <v>1263</v>
      </c>
    </row>
    <row r="381" spans="1:7" x14ac:dyDescent="0.2">
      <c r="A381" s="46" t="s">
        <v>1264</v>
      </c>
      <c r="B381" s="47" t="s">
        <v>1265</v>
      </c>
      <c r="C381" s="96">
        <v>7866</v>
      </c>
      <c r="D381" s="99" t="s">
        <v>1261</v>
      </c>
      <c r="E381" s="100">
        <v>1.1000000000000001</v>
      </c>
      <c r="F381" s="101" t="s">
        <v>1262</v>
      </c>
      <c r="G381" s="102" t="s">
        <v>1263</v>
      </c>
    </row>
    <row r="382" spans="1:7" x14ac:dyDescent="0.2">
      <c r="A382" s="46" t="s">
        <v>1266</v>
      </c>
      <c r="B382" s="47" t="s">
        <v>1267</v>
      </c>
      <c r="C382" s="96">
        <v>9201</v>
      </c>
      <c r="D382" s="99" t="s">
        <v>1261</v>
      </c>
      <c r="E382" s="100">
        <v>1.1000000000000001</v>
      </c>
      <c r="F382" s="101" t="s">
        <v>1262</v>
      </c>
      <c r="G382" s="102" t="s">
        <v>1263</v>
      </c>
    </row>
    <row r="383" spans="1:7" x14ac:dyDescent="0.2">
      <c r="A383" s="46" t="s">
        <v>1268</v>
      </c>
      <c r="B383" s="47" t="s">
        <v>1269</v>
      </c>
      <c r="C383" s="96">
        <v>11216</v>
      </c>
      <c r="D383" s="99" t="s">
        <v>1270</v>
      </c>
      <c r="E383" s="100">
        <v>1.6</v>
      </c>
      <c r="F383" s="101" t="s">
        <v>1262</v>
      </c>
      <c r="G383" s="102" t="s">
        <v>1263</v>
      </c>
    </row>
    <row r="384" spans="1:7" x14ac:dyDescent="0.2">
      <c r="A384" s="46" t="s">
        <v>1271</v>
      </c>
      <c r="B384" s="47" t="s">
        <v>1272</v>
      </c>
      <c r="C384" s="96">
        <v>15059</v>
      </c>
      <c r="D384" s="99" t="s">
        <v>1273</v>
      </c>
      <c r="E384" s="100">
        <v>3</v>
      </c>
      <c r="F384" s="101" t="s">
        <v>1262</v>
      </c>
      <c r="G384" s="102" t="s">
        <v>1263</v>
      </c>
    </row>
    <row r="385" spans="1:7" x14ac:dyDescent="0.2">
      <c r="A385" s="46" t="s">
        <v>1274</v>
      </c>
      <c r="B385" s="47" t="s">
        <v>1275</v>
      </c>
      <c r="C385" s="96">
        <v>12114</v>
      </c>
      <c r="D385" s="99" t="s">
        <v>1261</v>
      </c>
      <c r="E385" s="100">
        <v>1.1000000000000001</v>
      </c>
      <c r="F385" s="101" t="s">
        <v>1262</v>
      </c>
      <c r="G385" s="102" t="s">
        <v>1276</v>
      </c>
    </row>
    <row r="386" spans="1:7" x14ac:dyDescent="0.2">
      <c r="A386" s="46" t="s">
        <v>1277</v>
      </c>
      <c r="B386" s="47" t="s">
        <v>1278</v>
      </c>
      <c r="C386" s="96">
        <v>13502</v>
      </c>
      <c r="D386" s="103" t="s">
        <v>1261</v>
      </c>
      <c r="E386" s="104">
        <v>1.1000000000000001</v>
      </c>
      <c r="F386" s="101" t="s">
        <v>1262</v>
      </c>
      <c r="G386" s="102" t="s">
        <v>1276</v>
      </c>
    </row>
    <row r="387" spans="1:7" x14ac:dyDescent="0.2">
      <c r="A387" s="46" t="s">
        <v>1279</v>
      </c>
      <c r="B387" s="47" t="s">
        <v>1280</v>
      </c>
      <c r="C387" s="96">
        <v>15999</v>
      </c>
      <c r="D387" s="103" t="s">
        <v>1270</v>
      </c>
      <c r="E387" s="104">
        <v>1.6</v>
      </c>
      <c r="F387" s="101" t="s">
        <v>1262</v>
      </c>
      <c r="G387" s="102" t="s">
        <v>1276</v>
      </c>
    </row>
    <row r="388" spans="1:7" x14ac:dyDescent="0.2">
      <c r="A388" s="46" t="s">
        <v>1281</v>
      </c>
      <c r="B388" s="47" t="s">
        <v>1282</v>
      </c>
      <c r="C388" s="96">
        <v>15855</v>
      </c>
      <c r="D388" s="103" t="s">
        <v>1270</v>
      </c>
      <c r="E388" s="104">
        <v>1.6</v>
      </c>
      <c r="F388" s="101" t="s">
        <v>1262</v>
      </c>
      <c r="G388" s="102" t="s">
        <v>1276</v>
      </c>
    </row>
    <row r="389" spans="1:7" x14ac:dyDescent="0.2">
      <c r="A389" s="46" t="s">
        <v>1283</v>
      </c>
      <c r="B389" s="47" t="s">
        <v>1284</v>
      </c>
      <c r="C389" s="96">
        <v>18016</v>
      </c>
      <c r="D389" s="99" t="s">
        <v>1273</v>
      </c>
      <c r="E389" s="100">
        <v>3</v>
      </c>
      <c r="F389" s="101" t="s">
        <v>1262</v>
      </c>
      <c r="G389" s="102" t="s">
        <v>1276</v>
      </c>
    </row>
    <row r="390" spans="1:7" x14ac:dyDescent="0.2">
      <c r="A390" s="46" t="s">
        <v>1285</v>
      </c>
      <c r="B390" s="47" t="s">
        <v>1286</v>
      </c>
      <c r="C390" s="96">
        <v>21044</v>
      </c>
      <c r="D390" s="99" t="s">
        <v>1273</v>
      </c>
      <c r="E390" s="100">
        <v>3</v>
      </c>
      <c r="F390" s="101" t="s">
        <v>1262</v>
      </c>
      <c r="G390" s="102" t="s">
        <v>1276</v>
      </c>
    </row>
    <row r="391" spans="1:7" x14ac:dyDescent="0.2">
      <c r="A391" s="46" t="s">
        <v>1287</v>
      </c>
      <c r="B391" s="47" t="s">
        <v>1288</v>
      </c>
      <c r="C391" s="96">
        <v>26643</v>
      </c>
      <c r="D391" s="99" t="s">
        <v>1273</v>
      </c>
      <c r="E391" s="100">
        <v>3</v>
      </c>
      <c r="F391" s="101" t="s">
        <v>1262</v>
      </c>
      <c r="G391" s="102" t="s">
        <v>1276</v>
      </c>
    </row>
    <row r="392" spans="1:7" x14ac:dyDescent="0.2">
      <c r="A392" s="46" t="s">
        <v>1289</v>
      </c>
      <c r="B392" s="47" t="s">
        <v>1290</v>
      </c>
      <c r="C392" s="96">
        <v>31998</v>
      </c>
      <c r="D392" s="99" t="s">
        <v>1273</v>
      </c>
      <c r="E392" s="100">
        <v>3</v>
      </c>
      <c r="F392" s="101" t="s">
        <v>1262</v>
      </c>
      <c r="G392" s="102" t="s">
        <v>1276</v>
      </c>
    </row>
    <row r="393" spans="1:7" x14ac:dyDescent="0.2">
      <c r="A393" s="46" t="s">
        <v>1291</v>
      </c>
      <c r="B393" s="47" t="s">
        <v>1292</v>
      </c>
      <c r="C393" s="96">
        <v>44316</v>
      </c>
      <c r="D393" s="99" t="s">
        <v>1293</v>
      </c>
      <c r="E393" s="100">
        <v>6</v>
      </c>
      <c r="F393" s="101" t="s">
        <v>1262</v>
      </c>
      <c r="G393" s="102" t="s">
        <v>1276</v>
      </c>
    </row>
    <row r="394" spans="1:7" x14ac:dyDescent="0.2">
      <c r="A394" s="46" t="s">
        <v>1294</v>
      </c>
      <c r="B394" s="47" t="s">
        <v>1295</v>
      </c>
      <c r="C394" s="96">
        <v>53438</v>
      </c>
      <c r="D394" s="99" t="s">
        <v>1293</v>
      </c>
      <c r="E394" s="100">
        <v>6</v>
      </c>
      <c r="F394" s="101" t="s">
        <v>1262</v>
      </c>
      <c r="G394" s="102" t="s">
        <v>1276</v>
      </c>
    </row>
    <row r="395" spans="1:7" x14ac:dyDescent="0.2">
      <c r="A395" s="46" t="s">
        <v>1296</v>
      </c>
      <c r="B395" s="47" t="s">
        <v>1297</v>
      </c>
      <c r="C395" s="96">
        <v>62008</v>
      </c>
      <c r="D395" s="99" t="s">
        <v>1298</v>
      </c>
      <c r="E395" s="100">
        <v>9.5</v>
      </c>
      <c r="F395" s="101" t="s">
        <v>1262</v>
      </c>
      <c r="G395" s="102" t="s">
        <v>1276</v>
      </c>
    </row>
    <row r="396" spans="1:7" x14ac:dyDescent="0.2">
      <c r="A396" s="46" t="s">
        <v>1299</v>
      </c>
      <c r="B396" s="47" t="s">
        <v>1300</v>
      </c>
      <c r="C396" s="96">
        <v>86243</v>
      </c>
      <c r="D396" s="99" t="s">
        <v>1298</v>
      </c>
      <c r="E396" s="100">
        <v>9.5</v>
      </c>
      <c r="F396" s="101" t="s">
        <v>1262</v>
      </c>
      <c r="G396" s="102" t="s">
        <v>1276</v>
      </c>
    </row>
    <row r="397" spans="1:7" x14ac:dyDescent="0.2">
      <c r="A397" s="46" t="s">
        <v>1301</v>
      </c>
      <c r="B397" s="47" t="s">
        <v>1302</v>
      </c>
      <c r="C397" s="96">
        <v>1219</v>
      </c>
      <c r="D397" s="99" t="s">
        <v>1303</v>
      </c>
      <c r="E397" s="100">
        <v>0.2</v>
      </c>
      <c r="F397" s="101" t="s">
        <v>1262</v>
      </c>
      <c r="G397" s="102"/>
    </row>
    <row r="398" spans="1:7" x14ac:dyDescent="0.2">
      <c r="A398" s="46" t="s">
        <v>1304</v>
      </c>
      <c r="B398" s="47" t="s">
        <v>1305</v>
      </c>
      <c r="C398" s="96">
        <v>1688</v>
      </c>
      <c r="D398" s="99" t="s">
        <v>1303</v>
      </c>
      <c r="E398" s="100">
        <v>0.3</v>
      </c>
      <c r="F398" s="101" t="s">
        <v>1262</v>
      </c>
      <c r="G398" s="102"/>
    </row>
    <row r="399" spans="1:7" x14ac:dyDescent="0.25">
      <c r="A399" s="53"/>
      <c r="B399" s="62"/>
      <c r="C399" s="98"/>
      <c r="D399" s="49"/>
      <c r="E399" s="80"/>
      <c r="F399" s="51"/>
      <c r="G399" s="52"/>
    </row>
    <row r="400" spans="1:7" x14ac:dyDescent="0.2">
      <c r="A400" s="46" t="s">
        <v>1306</v>
      </c>
      <c r="B400" s="105" t="s">
        <v>1307</v>
      </c>
      <c r="C400" s="106">
        <v>10828.400000000001</v>
      </c>
      <c r="D400" s="54" t="s">
        <v>1308</v>
      </c>
      <c r="E400" s="80">
        <v>0.7</v>
      </c>
      <c r="F400" s="51" t="s">
        <v>1201</v>
      </c>
      <c r="G400" s="52" t="s">
        <v>1220</v>
      </c>
    </row>
    <row r="401" spans="1:7" x14ac:dyDescent="0.2">
      <c r="A401" s="107" t="s">
        <v>1309</v>
      </c>
      <c r="B401" s="105" t="s">
        <v>1310</v>
      </c>
      <c r="C401" s="106">
        <v>12144.5</v>
      </c>
      <c r="D401" s="54" t="s">
        <v>1308</v>
      </c>
      <c r="E401" s="80">
        <v>1</v>
      </c>
      <c r="F401" s="51" t="s">
        <v>1201</v>
      </c>
      <c r="G401" s="52" t="s">
        <v>1220</v>
      </c>
    </row>
    <row r="402" spans="1:7" x14ac:dyDescent="0.2">
      <c r="A402" s="107" t="s">
        <v>1311</v>
      </c>
      <c r="B402" s="105" t="s">
        <v>1312</v>
      </c>
      <c r="C402" s="108">
        <v>15258.2</v>
      </c>
      <c r="D402" s="49" t="s">
        <v>1313</v>
      </c>
      <c r="E402" s="80">
        <v>1.4</v>
      </c>
      <c r="F402" s="51" t="s">
        <v>1201</v>
      </c>
      <c r="G402" s="52" t="s">
        <v>1220</v>
      </c>
    </row>
    <row r="403" spans="1:7" x14ac:dyDescent="0.2">
      <c r="A403" s="107" t="s">
        <v>1314</v>
      </c>
      <c r="B403" s="105" t="s">
        <v>1315</v>
      </c>
      <c r="C403" s="108">
        <v>16306.800000000001</v>
      </c>
      <c r="D403" s="49" t="s">
        <v>1313</v>
      </c>
      <c r="E403" s="80">
        <v>1.4</v>
      </c>
      <c r="F403" s="51" t="s">
        <v>1201</v>
      </c>
      <c r="G403" s="52" t="s">
        <v>1220</v>
      </c>
    </row>
    <row r="404" spans="1:7" x14ac:dyDescent="0.2">
      <c r="A404" s="107" t="s">
        <v>1316</v>
      </c>
      <c r="B404" s="105" t="s">
        <v>1317</v>
      </c>
      <c r="C404" s="108">
        <v>18628.7</v>
      </c>
      <c r="D404" s="49" t="s">
        <v>1318</v>
      </c>
      <c r="E404" s="80">
        <v>2.2000000000000002</v>
      </c>
      <c r="F404" s="51" t="s">
        <v>1201</v>
      </c>
      <c r="G404" s="52" t="s">
        <v>1220</v>
      </c>
    </row>
    <row r="405" spans="1:7" x14ac:dyDescent="0.2">
      <c r="A405" s="107" t="s">
        <v>1319</v>
      </c>
      <c r="B405" s="105" t="s">
        <v>1320</v>
      </c>
      <c r="C405" s="108">
        <v>20865</v>
      </c>
      <c r="D405" s="49" t="s">
        <v>1318</v>
      </c>
      <c r="E405" s="80">
        <v>2.2000000000000002</v>
      </c>
      <c r="F405" s="51" t="s">
        <v>1201</v>
      </c>
      <c r="G405" s="52" t="s">
        <v>1220</v>
      </c>
    </row>
    <row r="406" spans="1:7" x14ac:dyDescent="0.2">
      <c r="A406" s="107" t="s">
        <v>1321</v>
      </c>
      <c r="B406" s="105" t="s">
        <v>1322</v>
      </c>
      <c r="C406" s="108">
        <v>25540.9</v>
      </c>
      <c r="D406" s="49" t="s">
        <v>1318</v>
      </c>
      <c r="E406" s="80">
        <v>2.2999999999999998</v>
      </c>
      <c r="F406" s="51" t="s">
        <v>1201</v>
      </c>
      <c r="G406" s="52" t="s">
        <v>1220</v>
      </c>
    </row>
    <row r="407" spans="1:7" x14ac:dyDescent="0.2">
      <c r="A407" s="107" t="s">
        <v>1323</v>
      </c>
      <c r="B407" s="105" t="s">
        <v>1324</v>
      </c>
      <c r="C407" s="108">
        <v>29853</v>
      </c>
      <c r="D407" s="49" t="s">
        <v>1325</v>
      </c>
      <c r="E407" s="80">
        <v>4.0999999999999996</v>
      </c>
      <c r="F407" s="51" t="s">
        <v>1201</v>
      </c>
      <c r="G407" s="52" t="s">
        <v>1220</v>
      </c>
    </row>
    <row r="408" spans="1:7" x14ac:dyDescent="0.2">
      <c r="A408" s="107" t="s">
        <v>1326</v>
      </c>
      <c r="B408" s="105" t="s">
        <v>1327</v>
      </c>
      <c r="C408" s="108">
        <v>38348.800000000003</v>
      </c>
      <c r="D408" s="49" t="s">
        <v>1325</v>
      </c>
      <c r="E408" s="80">
        <v>4.2</v>
      </c>
      <c r="F408" s="51" t="s">
        <v>1201</v>
      </c>
      <c r="G408" s="52" t="s">
        <v>1220</v>
      </c>
    </row>
    <row r="409" spans="1:7" s="45" customFormat="1" ht="15" x14ac:dyDescent="0.25">
      <c r="A409" s="64"/>
      <c r="B409" s="64" t="s">
        <v>1328</v>
      </c>
      <c r="C409" s="64"/>
      <c r="D409" s="65"/>
      <c r="E409" s="64"/>
      <c r="F409" s="64"/>
      <c r="G409" s="64"/>
    </row>
    <row r="410" spans="1:7" x14ac:dyDescent="0.2">
      <c r="A410" s="46" t="s">
        <v>1329</v>
      </c>
      <c r="B410" s="47" t="s">
        <v>1330</v>
      </c>
      <c r="C410" s="96">
        <v>2203</v>
      </c>
      <c r="D410" s="54" t="s">
        <v>1331</v>
      </c>
      <c r="E410" s="81">
        <v>0.3</v>
      </c>
      <c r="F410" s="51" t="s">
        <v>1201</v>
      </c>
      <c r="G410" s="52" t="s">
        <v>1332</v>
      </c>
    </row>
    <row r="411" spans="1:7" x14ac:dyDescent="0.2">
      <c r="A411" s="46" t="s">
        <v>1333</v>
      </c>
      <c r="B411" s="47" t="s">
        <v>1334</v>
      </c>
      <c r="C411" s="96">
        <v>2216</v>
      </c>
      <c r="D411" s="54" t="s">
        <v>1331</v>
      </c>
      <c r="E411" s="81">
        <v>0.3</v>
      </c>
      <c r="F411" s="51" t="s">
        <v>1201</v>
      </c>
      <c r="G411" s="52" t="s">
        <v>1335</v>
      </c>
    </row>
    <row r="412" spans="1:7" x14ac:dyDescent="0.2">
      <c r="A412" s="46" t="s">
        <v>1336</v>
      </c>
      <c r="B412" s="47" t="s">
        <v>1337</v>
      </c>
      <c r="C412" s="96">
        <v>2228</v>
      </c>
      <c r="D412" s="54" t="s">
        <v>1331</v>
      </c>
      <c r="E412" s="81">
        <v>0.3</v>
      </c>
      <c r="F412" s="51" t="s">
        <v>1201</v>
      </c>
      <c r="G412" s="52" t="s">
        <v>1338</v>
      </c>
    </row>
    <row r="413" spans="1:7" x14ac:dyDescent="0.2">
      <c r="A413" s="46" t="s">
        <v>1339</v>
      </c>
      <c r="B413" s="47" t="s">
        <v>1340</v>
      </c>
      <c r="C413" s="96">
        <v>2231</v>
      </c>
      <c r="D413" s="54" t="s">
        <v>1331</v>
      </c>
      <c r="E413" s="81">
        <v>0.3</v>
      </c>
      <c r="F413" s="51" t="s">
        <v>1201</v>
      </c>
      <c r="G413" s="52" t="s">
        <v>1341</v>
      </c>
    </row>
    <row r="414" spans="1:7" x14ac:dyDescent="0.2">
      <c r="A414" s="46" t="s">
        <v>1342</v>
      </c>
      <c r="B414" s="47" t="s">
        <v>1343</v>
      </c>
      <c r="C414" s="96">
        <v>2241</v>
      </c>
      <c r="D414" s="54" t="s">
        <v>1331</v>
      </c>
      <c r="E414" s="81">
        <v>0.3</v>
      </c>
      <c r="F414" s="51" t="s">
        <v>1201</v>
      </c>
      <c r="G414" s="52" t="s">
        <v>1344</v>
      </c>
    </row>
    <row r="415" spans="1:7" x14ac:dyDescent="0.2">
      <c r="A415" s="46" t="s">
        <v>1345</v>
      </c>
      <c r="B415" s="47" t="s">
        <v>1346</v>
      </c>
      <c r="C415" s="96">
        <v>2254</v>
      </c>
      <c r="D415" s="54" t="s">
        <v>1331</v>
      </c>
      <c r="E415" s="81">
        <v>0.3</v>
      </c>
      <c r="F415" s="51" t="s">
        <v>1201</v>
      </c>
      <c r="G415" s="52" t="s">
        <v>1347</v>
      </c>
    </row>
    <row r="416" spans="1:7" x14ac:dyDescent="0.2">
      <c r="A416" s="46" t="s">
        <v>1348</v>
      </c>
      <c r="B416" s="47" t="s">
        <v>1349</v>
      </c>
      <c r="C416" s="96">
        <v>2267</v>
      </c>
      <c r="D416" s="54" t="s">
        <v>1331</v>
      </c>
      <c r="E416" s="81">
        <v>0.3</v>
      </c>
      <c r="F416" s="51" t="s">
        <v>1201</v>
      </c>
      <c r="G416" s="52" t="s">
        <v>1350</v>
      </c>
    </row>
    <row r="417" spans="1:7" x14ac:dyDescent="0.2">
      <c r="A417" s="46" t="s">
        <v>1351</v>
      </c>
      <c r="B417" s="47" t="s">
        <v>1352</v>
      </c>
      <c r="C417" s="96">
        <v>2273</v>
      </c>
      <c r="D417" s="54" t="s">
        <v>1331</v>
      </c>
      <c r="E417" s="81">
        <v>0.3</v>
      </c>
      <c r="F417" s="51" t="s">
        <v>1201</v>
      </c>
      <c r="G417" s="52" t="s">
        <v>1353</v>
      </c>
    </row>
    <row r="418" spans="1:7" x14ac:dyDescent="0.2">
      <c r="A418" s="46" t="s">
        <v>1354</v>
      </c>
      <c r="B418" s="47" t="s">
        <v>1355</v>
      </c>
      <c r="C418" s="96">
        <v>2342</v>
      </c>
      <c r="D418" s="54" t="s">
        <v>1331</v>
      </c>
      <c r="E418" s="81">
        <v>0.3</v>
      </c>
      <c r="F418" s="51" t="s">
        <v>1201</v>
      </c>
      <c r="G418" s="52" t="s">
        <v>1356</v>
      </c>
    </row>
    <row r="419" spans="1:7" x14ac:dyDescent="0.2">
      <c r="A419" s="46" t="s">
        <v>1357</v>
      </c>
      <c r="B419" s="47" t="s">
        <v>1358</v>
      </c>
      <c r="C419" s="96">
        <v>2346</v>
      </c>
      <c r="D419" s="54" t="s">
        <v>1331</v>
      </c>
      <c r="E419" s="81">
        <v>0.3</v>
      </c>
      <c r="F419" s="51" t="s">
        <v>1201</v>
      </c>
      <c r="G419" s="52" t="s">
        <v>1359</v>
      </c>
    </row>
    <row r="420" spans="1:7" x14ac:dyDescent="0.2">
      <c r="A420" s="46" t="s">
        <v>1360</v>
      </c>
      <c r="B420" s="47" t="s">
        <v>1361</v>
      </c>
      <c r="C420" s="96">
        <v>2348</v>
      </c>
      <c r="D420" s="54" t="s">
        <v>1331</v>
      </c>
      <c r="E420" s="81">
        <v>0.3</v>
      </c>
      <c r="F420" s="51" t="s">
        <v>1201</v>
      </c>
      <c r="G420" s="52" t="s">
        <v>1362</v>
      </c>
    </row>
    <row r="421" spans="1:7" x14ac:dyDescent="0.2">
      <c r="A421" s="46" t="s">
        <v>1363</v>
      </c>
      <c r="B421" s="47" t="s">
        <v>1364</v>
      </c>
      <c r="C421" s="96">
        <v>2348</v>
      </c>
      <c r="D421" s="54" t="s">
        <v>1331</v>
      </c>
      <c r="E421" s="81">
        <v>0.3</v>
      </c>
      <c r="F421" s="51" t="s">
        <v>1201</v>
      </c>
      <c r="G421" s="52" t="s">
        <v>1365</v>
      </c>
    </row>
    <row r="422" spans="1:7" s="45" customFormat="1" ht="15" x14ac:dyDescent="0.25">
      <c r="A422" s="64"/>
      <c r="B422" s="64" t="s">
        <v>1366</v>
      </c>
      <c r="C422" s="64"/>
      <c r="D422" s="65"/>
      <c r="E422" s="64"/>
      <c r="F422" s="64"/>
      <c r="G422" s="64"/>
    </row>
    <row r="423" spans="1:7" x14ac:dyDescent="0.2">
      <c r="A423" s="46" t="s">
        <v>1367</v>
      </c>
      <c r="B423" s="47" t="s">
        <v>1368</v>
      </c>
      <c r="C423" s="96">
        <v>17987</v>
      </c>
      <c r="D423" s="54" t="s">
        <v>1369</v>
      </c>
      <c r="E423" s="81">
        <v>0.98</v>
      </c>
      <c r="F423" s="51" t="s">
        <v>1201</v>
      </c>
      <c r="G423" s="52" t="s">
        <v>1370</v>
      </c>
    </row>
    <row r="424" spans="1:7" x14ac:dyDescent="0.2">
      <c r="A424" s="46" t="s">
        <v>1371</v>
      </c>
      <c r="B424" s="47" t="s">
        <v>1372</v>
      </c>
      <c r="C424" s="96">
        <v>19799</v>
      </c>
      <c r="D424" s="54" t="s">
        <v>1369</v>
      </c>
      <c r="E424" s="81">
        <v>1.03</v>
      </c>
      <c r="F424" s="51" t="s">
        <v>1201</v>
      </c>
      <c r="G424" s="52" t="s">
        <v>1373</v>
      </c>
    </row>
    <row r="425" spans="1:7" x14ac:dyDescent="0.2">
      <c r="A425" s="46" t="s">
        <v>1374</v>
      </c>
      <c r="B425" s="47" t="s">
        <v>1375</v>
      </c>
      <c r="C425" s="96">
        <v>21138</v>
      </c>
      <c r="D425" s="54" t="s">
        <v>1369</v>
      </c>
      <c r="E425" s="81">
        <v>1.03</v>
      </c>
      <c r="F425" s="51" t="s">
        <v>1201</v>
      </c>
      <c r="G425" s="52" t="s">
        <v>1376</v>
      </c>
    </row>
    <row r="426" spans="1:7" s="45" customFormat="1" ht="15" x14ac:dyDescent="0.25">
      <c r="A426" s="64"/>
      <c r="B426" s="64" t="s">
        <v>1377</v>
      </c>
      <c r="C426" s="64"/>
      <c r="D426" s="65"/>
      <c r="E426" s="64"/>
      <c r="F426" s="64"/>
      <c r="G426" s="64"/>
    </row>
    <row r="427" spans="1:7" x14ac:dyDescent="0.2">
      <c r="A427" s="46" t="s">
        <v>1378</v>
      </c>
      <c r="B427" s="47" t="s">
        <v>1379</v>
      </c>
      <c r="C427" s="96">
        <v>10830</v>
      </c>
      <c r="D427" s="49" t="s">
        <v>1380</v>
      </c>
      <c r="E427" s="80">
        <v>0.53500000000000003</v>
      </c>
      <c r="F427" s="51" t="s">
        <v>1201</v>
      </c>
      <c r="G427" s="52" t="s">
        <v>1381</v>
      </c>
    </row>
    <row r="428" spans="1:7" x14ac:dyDescent="0.2">
      <c r="A428" s="46" t="s">
        <v>1382</v>
      </c>
      <c r="B428" s="47" t="s">
        <v>1383</v>
      </c>
      <c r="C428" s="96">
        <v>11579</v>
      </c>
      <c r="D428" s="49" t="s">
        <v>1380</v>
      </c>
      <c r="E428" s="80">
        <v>0.53500000000000003</v>
      </c>
      <c r="F428" s="51" t="s">
        <v>1201</v>
      </c>
      <c r="G428" s="52" t="s">
        <v>1384</v>
      </c>
    </row>
    <row r="429" spans="1:7" x14ac:dyDescent="0.2">
      <c r="A429" s="46" t="s">
        <v>1385</v>
      </c>
      <c r="B429" s="47" t="s">
        <v>1386</v>
      </c>
      <c r="C429" s="96">
        <v>14843</v>
      </c>
      <c r="D429" s="49" t="s">
        <v>1387</v>
      </c>
      <c r="E429" s="80">
        <v>0.68200000000000005</v>
      </c>
      <c r="F429" s="51" t="s">
        <v>1201</v>
      </c>
      <c r="G429" s="52" t="s">
        <v>1388</v>
      </c>
    </row>
    <row r="430" spans="1:7" x14ac:dyDescent="0.2">
      <c r="A430" s="46" t="s">
        <v>1389</v>
      </c>
      <c r="B430" s="47" t="s">
        <v>1390</v>
      </c>
      <c r="C430" s="96">
        <v>18731</v>
      </c>
      <c r="D430" s="49" t="s">
        <v>1387</v>
      </c>
      <c r="E430" s="80">
        <v>0.69299999999999995</v>
      </c>
      <c r="F430" s="51" t="s">
        <v>1201</v>
      </c>
      <c r="G430" s="52" t="s">
        <v>1391</v>
      </c>
    </row>
    <row r="431" spans="1:7" x14ac:dyDescent="0.2">
      <c r="A431" s="46" t="s">
        <v>1392</v>
      </c>
      <c r="B431" s="47" t="s">
        <v>1393</v>
      </c>
      <c r="C431" s="96">
        <v>46179</v>
      </c>
      <c r="D431" s="49" t="s">
        <v>1394</v>
      </c>
      <c r="E431" s="80">
        <v>5.5</v>
      </c>
      <c r="F431" s="51" t="s">
        <v>1201</v>
      </c>
      <c r="G431" s="52" t="s">
        <v>1395</v>
      </c>
    </row>
    <row r="432" spans="1:7" x14ac:dyDescent="0.2">
      <c r="A432" s="46" t="s">
        <v>1396</v>
      </c>
      <c r="B432" s="47" t="s">
        <v>1397</v>
      </c>
      <c r="C432" s="96">
        <v>53307</v>
      </c>
      <c r="D432" s="49" t="s">
        <v>1398</v>
      </c>
      <c r="E432" s="80">
        <v>8.1859999999999999</v>
      </c>
      <c r="F432" s="51" t="s">
        <v>1201</v>
      </c>
      <c r="G432" s="52" t="s">
        <v>1399</v>
      </c>
    </row>
    <row r="433" spans="1:7" x14ac:dyDescent="0.2">
      <c r="A433" s="46" t="s">
        <v>1400</v>
      </c>
      <c r="B433" s="47" t="s">
        <v>1401</v>
      </c>
      <c r="C433" s="96">
        <v>67015</v>
      </c>
      <c r="D433" s="49" t="s">
        <v>1398</v>
      </c>
      <c r="E433" s="80">
        <v>8.1959999999999997</v>
      </c>
      <c r="F433" s="51" t="s">
        <v>1201</v>
      </c>
      <c r="G433" s="52" t="s">
        <v>1402</v>
      </c>
    </row>
    <row r="434" spans="1:7" x14ac:dyDescent="0.2">
      <c r="A434" s="46" t="s">
        <v>1403</v>
      </c>
      <c r="B434" s="47" t="s">
        <v>1404</v>
      </c>
      <c r="C434" s="96">
        <v>81488</v>
      </c>
      <c r="D434" s="49" t="s">
        <v>1398</v>
      </c>
      <c r="E434" s="80">
        <v>8.4</v>
      </c>
      <c r="F434" s="51" t="s">
        <v>1201</v>
      </c>
      <c r="G434" s="52" t="s">
        <v>1405</v>
      </c>
    </row>
    <row r="435" spans="1:7" s="45" customFormat="1" ht="15" x14ac:dyDescent="0.25">
      <c r="A435" s="64"/>
      <c r="B435" s="64" t="s">
        <v>1406</v>
      </c>
      <c r="C435" s="64"/>
      <c r="D435" s="65"/>
      <c r="E435" s="64"/>
      <c r="F435" s="64"/>
      <c r="G435" s="64"/>
    </row>
    <row r="436" spans="1:7" x14ac:dyDescent="0.2">
      <c r="A436" s="86" t="s">
        <v>1407</v>
      </c>
      <c r="B436" s="109" t="s">
        <v>1408</v>
      </c>
      <c r="C436" s="96">
        <v>3614</v>
      </c>
      <c r="D436" s="56" t="s">
        <v>1409</v>
      </c>
      <c r="E436" s="72">
        <v>0.53500000000000003</v>
      </c>
      <c r="F436" s="101" t="s">
        <v>1201</v>
      </c>
      <c r="G436" s="59" t="s">
        <v>1410</v>
      </c>
    </row>
    <row r="437" spans="1:7" x14ac:dyDescent="0.2">
      <c r="A437" s="86" t="s">
        <v>1411</v>
      </c>
      <c r="B437" s="109" t="s">
        <v>1412</v>
      </c>
      <c r="C437" s="96">
        <v>5475</v>
      </c>
      <c r="D437" s="56" t="s">
        <v>1380</v>
      </c>
      <c r="E437" s="72">
        <v>0.53500000000000003</v>
      </c>
      <c r="F437" s="101" t="s">
        <v>1201</v>
      </c>
      <c r="G437" s="110" t="s">
        <v>1413</v>
      </c>
    </row>
    <row r="438" spans="1:7" x14ac:dyDescent="0.2">
      <c r="A438" s="86" t="s">
        <v>1414</v>
      </c>
      <c r="B438" s="109" t="s">
        <v>1415</v>
      </c>
      <c r="C438" s="96">
        <v>5520</v>
      </c>
      <c r="D438" s="56" t="s">
        <v>1387</v>
      </c>
      <c r="E438" s="72">
        <v>0.68200000000000005</v>
      </c>
      <c r="F438" s="101" t="s">
        <v>1201</v>
      </c>
      <c r="G438" s="59" t="s">
        <v>1416</v>
      </c>
    </row>
    <row r="439" spans="1:7" x14ac:dyDescent="0.2">
      <c r="A439" s="86" t="s">
        <v>1417</v>
      </c>
      <c r="B439" s="109" t="s">
        <v>1418</v>
      </c>
      <c r="C439" s="96">
        <v>12552</v>
      </c>
      <c r="D439" s="56" t="s">
        <v>1419</v>
      </c>
      <c r="E439" s="72">
        <v>0.9</v>
      </c>
      <c r="F439" s="101" t="s">
        <v>1201</v>
      </c>
      <c r="G439" s="59" t="s">
        <v>1420</v>
      </c>
    </row>
    <row r="440" spans="1:7" x14ac:dyDescent="0.2">
      <c r="A440" s="86" t="s">
        <v>1421</v>
      </c>
      <c r="B440" s="109" t="s">
        <v>1422</v>
      </c>
      <c r="C440" s="96">
        <v>12666</v>
      </c>
      <c r="D440" s="56" t="s">
        <v>1419</v>
      </c>
      <c r="E440" s="72">
        <v>0.9</v>
      </c>
      <c r="F440" s="101" t="s">
        <v>1201</v>
      </c>
      <c r="G440" s="59" t="s">
        <v>1423</v>
      </c>
    </row>
    <row r="441" spans="1:7" s="45" customFormat="1" ht="15" x14ac:dyDescent="0.25">
      <c r="A441" s="64"/>
      <c r="B441" s="64" t="s">
        <v>1424</v>
      </c>
      <c r="C441" s="64"/>
      <c r="D441" s="65"/>
      <c r="E441" s="64"/>
      <c r="F441" s="64"/>
      <c r="G441" s="64"/>
    </row>
    <row r="442" spans="1:7" x14ac:dyDescent="0.2">
      <c r="A442" s="46" t="s">
        <v>1425</v>
      </c>
      <c r="B442" s="111" t="s">
        <v>1426</v>
      </c>
      <c r="C442" s="96">
        <v>606</v>
      </c>
      <c r="D442" s="112" t="s">
        <v>1427</v>
      </c>
      <c r="E442" s="104">
        <v>0.125</v>
      </c>
      <c r="F442" s="101" t="s">
        <v>1201</v>
      </c>
      <c r="G442" s="113" t="s">
        <v>1428</v>
      </c>
    </row>
    <row r="443" spans="1:7" x14ac:dyDescent="0.2">
      <c r="A443" s="46" t="s">
        <v>1429</v>
      </c>
      <c r="B443" s="111" t="s">
        <v>1430</v>
      </c>
      <c r="C443" s="96">
        <v>2684</v>
      </c>
      <c r="D443" s="112" t="s">
        <v>1431</v>
      </c>
      <c r="E443" s="104">
        <v>0.05</v>
      </c>
      <c r="F443" s="101" t="s">
        <v>1201</v>
      </c>
      <c r="G443" s="113" t="s">
        <v>1432</v>
      </c>
    </row>
    <row r="444" spans="1:7" x14ac:dyDescent="0.2">
      <c r="A444" s="46" t="s">
        <v>1433</v>
      </c>
      <c r="B444" s="111" t="s">
        <v>1434</v>
      </c>
      <c r="C444" s="96">
        <v>1968</v>
      </c>
      <c r="D444" s="112" t="s">
        <v>1431</v>
      </c>
      <c r="E444" s="104">
        <v>0.05</v>
      </c>
      <c r="F444" s="101" t="s">
        <v>1201</v>
      </c>
      <c r="G444" s="113" t="s">
        <v>1435</v>
      </c>
    </row>
    <row r="445" spans="1:7" x14ac:dyDescent="0.2">
      <c r="A445" s="46" t="s">
        <v>1436</v>
      </c>
      <c r="B445" s="111" t="s">
        <v>1437</v>
      </c>
      <c r="C445" s="96">
        <v>953</v>
      </c>
      <c r="D445" s="112" t="s">
        <v>1438</v>
      </c>
      <c r="E445" s="104">
        <v>0.17499999999999999</v>
      </c>
      <c r="F445" s="101" t="s">
        <v>1201</v>
      </c>
      <c r="G445" s="113" t="s">
        <v>1439</v>
      </c>
    </row>
    <row r="446" spans="1:7" x14ac:dyDescent="0.2">
      <c r="A446" s="46" t="s">
        <v>1440</v>
      </c>
      <c r="B446" s="111" t="s">
        <v>1441</v>
      </c>
      <c r="C446" s="96">
        <v>1452</v>
      </c>
      <c r="D446" s="112" t="s">
        <v>1427</v>
      </c>
      <c r="E446" s="104">
        <v>0.17499999999999999</v>
      </c>
      <c r="F446" s="101" t="s">
        <v>1201</v>
      </c>
      <c r="G446" s="113" t="s">
        <v>1442</v>
      </c>
    </row>
    <row r="447" spans="1:7" x14ac:dyDescent="0.2">
      <c r="A447" s="46" t="s">
        <v>1440</v>
      </c>
      <c r="B447" s="111" t="s">
        <v>1443</v>
      </c>
      <c r="C447" s="96">
        <v>1530</v>
      </c>
      <c r="D447" s="112" t="s">
        <v>1438</v>
      </c>
      <c r="E447" s="104">
        <v>0.17499999999999999</v>
      </c>
      <c r="F447" s="101" t="s">
        <v>1201</v>
      </c>
      <c r="G447" s="113" t="s">
        <v>1444</v>
      </c>
    </row>
    <row r="448" spans="1:7" x14ac:dyDescent="0.2">
      <c r="A448" s="46" t="s">
        <v>1445</v>
      </c>
      <c r="B448" s="111" t="s">
        <v>1446</v>
      </c>
      <c r="C448" s="96">
        <v>1811</v>
      </c>
      <c r="D448" s="112" t="s">
        <v>1447</v>
      </c>
      <c r="E448" s="104">
        <v>0.3</v>
      </c>
      <c r="F448" s="101" t="s">
        <v>180</v>
      </c>
      <c r="G448" s="113" t="s">
        <v>1448</v>
      </c>
    </row>
    <row r="449" spans="1:7" x14ac:dyDescent="0.2">
      <c r="A449" s="46" t="s">
        <v>1449</v>
      </c>
      <c r="B449" s="111" t="s">
        <v>1450</v>
      </c>
      <c r="C449" s="96">
        <v>1811</v>
      </c>
      <c r="D449" s="112" t="s">
        <v>1447</v>
      </c>
      <c r="E449" s="104">
        <v>0.3</v>
      </c>
      <c r="F449" s="101" t="s">
        <v>180</v>
      </c>
      <c r="G449" s="113" t="s">
        <v>1451</v>
      </c>
    </row>
    <row r="450" spans="1:7" x14ac:dyDescent="0.2">
      <c r="A450" s="46" t="s">
        <v>1452</v>
      </c>
      <c r="B450" s="111" t="s">
        <v>1453</v>
      </c>
      <c r="C450" s="96">
        <v>7108</v>
      </c>
      <c r="D450" s="112" t="s">
        <v>1454</v>
      </c>
      <c r="E450" s="104">
        <v>0.13800000000000001</v>
      </c>
      <c r="F450" s="101" t="s">
        <v>1201</v>
      </c>
      <c r="G450" s="113" t="s">
        <v>1455</v>
      </c>
    </row>
    <row r="451" spans="1:7" x14ac:dyDescent="0.2">
      <c r="A451" s="46" t="s">
        <v>1456</v>
      </c>
      <c r="B451" s="111" t="s">
        <v>1457</v>
      </c>
      <c r="C451" s="96">
        <v>12661</v>
      </c>
      <c r="D451" s="112" t="s">
        <v>1458</v>
      </c>
      <c r="E451" s="104">
        <v>0.17</v>
      </c>
      <c r="F451" s="101" t="s">
        <v>1201</v>
      </c>
      <c r="G451" s="113" t="s">
        <v>1459</v>
      </c>
    </row>
    <row r="452" spans="1:7" x14ac:dyDescent="0.2">
      <c r="A452" s="46" t="s">
        <v>1460</v>
      </c>
      <c r="B452" s="111" t="s">
        <v>1461</v>
      </c>
      <c r="C452" s="96">
        <v>2110</v>
      </c>
      <c r="D452" s="112" t="s">
        <v>1462</v>
      </c>
      <c r="E452" s="104">
        <v>0.35</v>
      </c>
      <c r="F452" s="101" t="s">
        <v>1463</v>
      </c>
      <c r="G452" s="113" t="s">
        <v>1464</v>
      </c>
    </row>
    <row r="453" spans="1:7" x14ac:dyDescent="0.2">
      <c r="A453" s="46" t="s">
        <v>1465</v>
      </c>
      <c r="B453" s="111" t="s">
        <v>1466</v>
      </c>
      <c r="C453" s="96">
        <v>2110</v>
      </c>
      <c r="D453" s="112" t="s">
        <v>1462</v>
      </c>
      <c r="E453" s="104">
        <v>0.35</v>
      </c>
      <c r="F453" s="101" t="s">
        <v>1463</v>
      </c>
      <c r="G453" s="113" t="s">
        <v>1467</v>
      </c>
    </row>
    <row r="454" spans="1:7" x14ac:dyDescent="0.2">
      <c r="A454" s="46" t="s">
        <v>1468</v>
      </c>
      <c r="B454" s="111" t="s">
        <v>1469</v>
      </c>
      <c r="C454" s="96">
        <v>6377</v>
      </c>
      <c r="D454" s="112" t="s">
        <v>1470</v>
      </c>
      <c r="E454" s="104">
        <v>0.32</v>
      </c>
      <c r="F454" s="101" t="s">
        <v>1471</v>
      </c>
      <c r="G454" s="113" t="s">
        <v>1472</v>
      </c>
    </row>
    <row r="455" spans="1:7" x14ac:dyDescent="0.2">
      <c r="A455" s="46" t="s">
        <v>1473</v>
      </c>
      <c r="B455" s="111" t="s">
        <v>1474</v>
      </c>
      <c r="C455" s="96">
        <v>506</v>
      </c>
      <c r="D455" s="112" t="s">
        <v>1475</v>
      </c>
      <c r="E455" s="104">
        <v>7.0000000000000007E-2</v>
      </c>
      <c r="F455" s="101" t="s">
        <v>1471</v>
      </c>
      <c r="G455" s="113" t="s">
        <v>1476</v>
      </c>
    </row>
    <row r="456" spans="1:7" x14ac:dyDescent="0.2">
      <c r="A456" s="46" t="s">
        <v>1477</v>
      </c>
      <c r="B456" s="111" t="s">
        <v>1478</v>
      </c>
      <c r="C456" s="96">
        <v>6986</v>
      </c>
      <c r="D456" s="112" t="s">
        <v>1479</v>
      </c>
      <c r="E456" s="104">
        <v>0.3</v>
      </c>
      <c r="F456" s="101" t="s">
        <v>1262</v>
      </c>
      <c r="G456" s="113" t="s">
        <v>1480</v>
      </c>
    </row>
    <row r="457" spans="1:7" s="45" customFormat="1" ht="15" x14ac:dyDescent="0.25">
      <c r="A457" s="64"/>
      <c r="B457" s="64" t="s">
        <v>1481</v>
      </c>
      <c r="C457" s="64"/>
      <c r="D457" s="65"/>
      <c r="E457" s="64"/>
      <c r="F457" s="64"/>
      <c r="G457" s="64"/>
    </row>
    <row r="458" spans="1:7" x14ac:dyDescent="0.2">
      <c r="A458" s="46" t="s">
        <v>1482</v>
      </c>
      <c r="B458" s="114" t="s">
        <v>1483</v>
      </c>
      <c r="C458" s="96">
        <v>10034</v>
      </c>
      <c r="D458" s="49" t="s">
        <v>1484</v>
      </c>
      <c r="E458" s="80">
        <v>0.19</v>
      </c>
      <c r="F458" s="54" t="s">
        <v>1201</v>
      </c>
      <c r="G458" s="52" t="s">
        <v>1485</v>
      </c>
    </row>
    <row r="459" spans="1:7" x14ac:dyDescent="0.2">
      <c r="A459" s="46" t="s">
        <v>1486</v>
      </c>
      <c r="B459" s="114" t="s">
        <v>1487</v>
      </c>
      <c r="C459" s="96">
        <v>12389</v>
      </c>
      <c r="D459" s="49" t="s">
        <v>1484</v>
      </c>
      <c r="E459" s="80">
        <v>0.19</v>
      </c>
      <c r="F459" s="54" t="s">
        <v>1201</v>
      </c>
      <c r="G459" s="52" t="s">
        <v>1488</v>
      </c>
    </row>
    <row r="460" spans="1:7" x14ac:dyDescent="0.2">
      <c r="A460" s="46" t="s">
        <v>1489</v>
      </c>
      <c r="B460" s="114" t="s">
        <v>1490</v>
      </c>
      <c r="C460" s="96">
        <v>11828</v>
      </c>
      <c r="D460" s="49" t="s">
        <v>1484</v>
      </c>
      <c r="E460" s="80">
        <v>0.19</v>
      </c>
      <c r="F460" s="54" t="s">
        <v>1201</v>
      </c>
      <c r="G460" s="52" t="s">
        <v>1491</v>
      </c>
    </row>
    <row r="461" spans="1:7" x14ac:dyDescent="0.2">
      <c r="A461" s="46" t="s">
        <v>1492</v>
      </c>
      <c r="B461" s="114" t="s">
        <v>1493</v>
      </c>
      <c r="C461" s="96">
        <v>14645</v>
      </c>
      <c r="D461" s="49" t="s">
        <v>1484</v>
      </c>
      <c r="E461" s="80">
        <v>0.19</v>
      </c>
      <c r="F461" s="54" t="s">
        <v>1201</v>
      </c>
      <c r="G461" s="52" t="s">
        <v>1488</v>
      </c>
    </row>
    <row r="462" spans="1:7" x14ac:dyDescent="0.2">
      <c r="A462" s="46" t="s">
        <v>1494</v>
      </c>
      <c r="B462" s="114" t="s">
        <v>1495</v>
      </c>
      <c r="C462" s="96">
        <v>14486</v>
      </c>
      <c r="D462" s="49" t="s">
        <v>1484</v>
      </c>
      <c r="E462" s="80">
        <v>0.23499999999999999</v>
      </c>
      <c r="F462" s="54" t="s">
        <v>1201</v>
      </c>
      <c r="G462" s="52" t="s">
        <v>1496</v>
      </c>
    </row>
    <row r="463" spans="1:7" x14ac:dyDescent="0.2">
      <c r="A463" s="46" t="s">
        <v>1497</v>
      </c>
      <c r="B463" s="114" t="s">
        <v>1498</v>
      </c>
      <c r="C463" s="96">
        <v>7705</v>
      </c>
      <c r="D463" s="49" t="s">
        <v>1484</v>
      </c>
      <c r="E463" s="80">
        <v>0.19</v>
      </c>
      <c r="F463" s="54" t="s">
        <v>1201</v>
      </c>
      <c r="G463" s="52" t="s">
        <v>1499</v>
      </c>
    </row>
    <row r="464" spans="1:7" x14ac:dyDescent="0.2">
      <c r="A464" s="46" t="s">
        <v>1500</v>
      </c>
      <c r="B464" s="114" t="s">
        <v>1501</v>
      </c>
      <c r="C464" s="96">
        <v>5011</v>
      </c>
      <c r="D464" s="49" t="s">
        <v>1502</v>
      </c>
      <c r="E464" s="80">
        <v>0.15</v>
      </c>
      <c r="F464" s="54" t="s">
        <v>1201</v>
      </c>
      <c r="G464" s="52" t="s">
        <v>1503</v>
      </c>
    </row>
    <row r="465" spans="1:7" x14ac:dyDescent="0.2">
      <c r="A465" s="46" t="s">
        <v>1504</v>
      </c>
      <c r="B465" s="114" t="s">
        <v>1505</v>
      </c>
      <c r="C465" s="96">
        <v>1288</v>
      </c>
      <c r="D465" s="49" t="s">
        <v>1506</v>
      </c>
      <c r="E465" s="80">
        <v>0.05</v>
      </c>
      <c r="F465" s="54" t="s">
        <v>1201</v>
      </c>
      <c r="G465" s="52" t="s">
        <v>1507</v>
      </c>
    </row>
    <row r="466" spans="1:7" x14ac:dyDescent="0.2">
      <c r="A466" s="46" t="s">
        <v>1508</v>
      </c>
      <c r="B466" s="114" t="s">
        <v>1509</v>
      </c>
      <c r="C466" s="96">
        <v>1140</v>
      </c>
      <c r="D466" s="49" t="s">
        <v>1510</v>
      </c>
      <c r="E466" s="80">
        <v>0.5</v>
      </c>
      <c r="F466" s="54" t="s">
        <v>1201</v>
      </c>
      <c r="G466" s="52" t="s">
        <v>1511</v>
      </c>
    </row>
    <row r="467" spans="1:7" x14ac:dyDescent="0.2">
      <c r="A467" s="46" t="s">
        <v>1512</v>
      </c>
      <c r="B467" s="114" t="s">
        <v>1513</v>
      </c>
      <c r="C467" s="96">
        <v>727</v>
      </c>
      <c r="D467" s="49" t="s">
        <v>1514</v>
      </c>
      <c r="E467" s="80">
        <v>0.08</v>
      </c>
      <c r="F467" s="54" t="s">
        <v>1201</v>
      </c>
      <c r="G467" s="52" t="s">
        <v>1511</v>
      </c>
    </row>
    <row r="468" spans="1:7" x14ac:dyDescent="0.2">
      <c r="A468" s="46" t="s">
        <v>1515</v>
      </c>
      <c r="B468" s="114" t="s">
        <v>1516</v>
      </c>
      <c r="C468" s="96">
        <v>27876</v>
      </c>
      <c r="D468" s="49" t="s">
        <v>1517</v>
      </c>
      <c r="E468" s="80">
        <v>0.38</v>
      </c>
      <c r="F468" s="54" t="s">
        <v>1201</v>
      </c>
      <c r="G468" s="52" t="s">
        <v>1518</v>
      </c>
    </row>
    <row r="469" spans="1:7" x14ac:dyDescent="0.2">
      <c r="A469" s="46" t="s">
        <v>1519</v>
      </c>
      <c r="B469" s="114" t="s">
        <v>1520</v>
      </c>
      <c r="C469" s="96">
        <v>39018</v>
      </c>
      <c r="D469" s="49" t="s">
        <v>1517</v>
      </c>
      <c r="E469" s="80">
        <v>0.39</v>
      </c>
      <c r="F469" s="54" t="s">
        <v>1201</v>
      </c>
      <c r="G469" s="52" t="s">
        <v>1518</v>
      </c>
    </row>
    <row r="470" spans="1:7" x14ac:dyDescent="0.2">
      <c r="A470" s="46" t="s">
        <v>1521</v>
      </c>
      <c r="B470" s="114" t="s">
        <v>1522</v>
      </c>
      <c r="C470" s="96">
        <v>18614</v>
      </c>
      <c r="D470" s="49" t="s">
        <v>1523</v>
      </c>
      <c r="E470" s="80">
        <v>0.17</v>
      </c>
      <c r="F470" s="54" t="s">
        <v>1201</v>
      </c>
      <c r="G470" s="52" t="s">
        <v>1524</v>
      </c>
    </row>
    <row r="471" spans="1:7" x14ac:dyDescent="0.2">
      <c r="A471" s="46" t="s">
        <v>1525</v>
      </c>
      <c r="B471" s="114" t="s">
        <v>1526</v>
      </c>
      <c r="C471" s="96">
        <v>805</v>
      </c>
      <c r="D471" s="49" t="s">
        <v>1527</v>
      </c>
      <c r="E471" s="80">
        <v>6.8000000000000005E-2</v>
      </c>
      <c r="F471" s="54" t="s">
        <v>1201</v>
      </c>
      <c r="G471" s="52" t="s">
        <v>1528</v>
      </c>
    </row>
    <row r="472" spans="1:7" x14ac:dyDescent="0.2">
      <c r="A472" s="46" t="s">
        <v>1529</v>
      </c>
      <c r="B472" s="114" t="s">
        <v>1530</v>
      </c>
      <c r="C472" s="96">
        <v>1431</v>
      </c>
      <c r="D472" s="49" t="s">
        <v>1531</v>
      </c>
      <c r="E472" s="80">
        <v>0.1</v>
      </c>
      <c r="F472" s="54" t="s">
        <v>1201</v>
      </c>
      <c r="G472" s="52" t="s">
        <v>1532</v>
      </c>
    </row>
    <row r="473" spans="1:7" x14ac:dyDescent="0.2">
      <c r="A473" s="46" t="s">
        <v>1533</v>
      </c>
      <c r="B473" s="114" t="s">
        <v>1534</v>
      </c>
      <c r="C473" s="96">
        <v>1678</v>
      </c>
      <c r="D473" s="49" t="s">
        <v>1531</v>
      </c>
      <c r="E473" s="80">
        <v>0.15</v>
      </c>
      <c r="F473" s="54" t="s">
        <v>1201</v>
      </c>
      <c r="G473" s="52" t="s">
        <v>1535</v>
      </c>
    </row>
    <row r="474" spans="1:7" x14ac:dyDescent="0.2">
      <c r="A474" s="46" t="s">
        <v>1536</v>
      </c>
      <c r="B474" s="114" t="s">
        <v>1537</v>
      </c>
      <c r="C474" s="96">
        <v>10102</v>
      </c>
      <c r="D474" s="49" t="s">
        <v>1538</v>
      </c>
      <c r="E474" s="80">
        <v>0.24</v>
      </c>
      <c r="F474" s="54" t="s">
        <v>1201</v>
      </c>
      <c r="G474" s="52" t="s">
        <v>1539</v>
      </c>
    </row>
    <row r="475" spans="1:7" s="45" customFormat="1" ht="15" x14ac:dyDescent="0.25">
      <c r="A475" s="64"/>
      <c r="B475" s="64" t="s">
        <v>1540</v>
      </c>
      <c r="C475" s="64"/>
      <c r="D475" s="65"/>
      <c r="E475" s="64"/>
      <c r="F475" s="64"/>
      <c r="G475" s="64"/>
    </row>
    <row r="476" spans="1:7" x14ac:dyDescent="0.2">
      <c r="A476" s="46" t="s">
        <v>1541</v>
      </c>
      <c r="B476" s="114" t="s">
        <v>1542</v>
      </c>
      <c r="C476" s="96">
        <v>2307</v>
      </c>
      <c r="D476" s="49" t="s">
        <v>1543</v>
      </c>
      <c r="E476" s="80">
        <v>0.13</v>
      </c>
      <c r="F476" s="54" t="s">
        <v>1201</v>
      </c>
      <c r="G476" s="52" t="s">
        <v>1544</v>
      </c>
    </row>
    <row r="477" spans="1:7" x14ac:dyDescent="0.2">
      <c r="A477" s="46" t="s">
        <v>1545</v>
      </c>
      <c r="B477" s="114" t="s">
        <v>1546</v>
      </c>
      <c r="C477" s="96">
        <v>2816</v>
      </c>
      <c r="D477" s="49" t="s">
        <v>1543</v>
      </c>
      <c r="E477" s="80">
        <v>0.13</v>
      </c>
      <c r="F477" s="54" t="s">
        <v>1201</v>
      </c>
      <c r="G477" s="52" t="s">
        <v>1547</v>
      </c>
    </row>
    <row r="478" spans="1:7" x14ac:dyDescent="0.2">
      <c r="A478" s="46" t="s">
        <v>1548</v>
      </c>
      <c r="B478" s="114" t="s">
        <v>1549</v>
      </c>
      <c r="C478" s="96">
        <v>3420</v>
      </c>
      <c r="D478" s="49" t="s">
        <v>1550</v>
      </c>
      <c r="E478" s="80">
        <v>0.23</v>
      </c>
      <c r="F478" s="54" t="s">
        <v>1201</v>
      </c>
      <c r="G478" s="52" t="s">
        <v>1551</v>
      </c>
    </row>
    <row r="479" spans="1:7" x14ac:dyDescent="0.2">
      <c r="A479" s="46" t="s">
        <v>1552</v>
      </c>
      <c r="B479" s="114" t="s">
        <v>1553</v>
      </c>
      <c r="C479" s="96">
        <v>9114</v>
      </c>
      <c r="D479" s="49" t="s">
        <v>1554</v>
      </c>
      <c r="E479" s="80">
        <v>1.18</v>
      </c>
      <c r="F479" s="54" t="s">
        <v>1201</v>
      </c>
      <c r="G479" s="52" t="s">
        <v>1555</v>
      </c>
    </row>
    <row r="480" spans="1:7" x14ac:dyDescent="0.2">
      <c r="A480" s="46" t="s">
        <v>1556</v>
      </c>
      <c r="B480" s="114" t="s">
        <v>1557</v>
      </c>
      <c r="C480" s="96">
        <v>10575</v>
      </c>
      <c r="D480" s="49" t="s">
        <v>1554</v>
      </c>
      <c r="E480" s="80">
        <v>1.3</v>
      </c>
      <c r="F480" s="54" t="s">
        <v>1201</v>
      </c>
      <c r="G480" s="52" t="s">
        <v>1555</v>
      </c>
    </row>
    <row r="481" spans="1:7" s="45" customFormat="1" ht="15" x14ac:dyDescent="0.25">
      <c r="A481" s="64"/>
      <c r="B481" s="64" t="s">
        <v>1558</v>
      </c>
      <c r="C481" s="64"/>
      <c r="D481" s="65"/>
      <c r="E481" s="64"/>
      <c r="F481" s="64"/>
      <c r="G481" s="64"/>
    </row>
    <row r="482" spans="1:7" x14ac:dyDescent="0.25">
      <c r="A482" s="46" t="s">
        <v>1559</v>
      </c>
      <c r="B482" s="114" t="s">
        <v>1560</v>
      </c>
      <c r="C482" s="48">
        <v>29007</v>
      </c>
      <c r="D482" s="49" t="s">
        <v>1561</v>
      </c>
      <c r="E482" s="80">
        <v>0.54</v>
      </c>
      <c r="F482" s="54" t="s">
        <v>1201</v>
      </c>
      <c r="G482" s="52" t="s">
        <v>1562</v>
      </c>
    </row>
    <row r="483" spans="1:7" x14ac:dyDescent="0.25">
      <c r="A483" s="46" t="s">
        <v>1563</v>
      </c>
      <c r="B483" s="114" t="s">
        <v>1564</v>
      </c>
      <c r="C483" s="48">
        <v>35103</v>
      </c>
      <c r="D483" s="49" t="s">
        <v>1565</v>
      </c>
      <c r="E483" s="80">
        <v>0.89</v>
      </c>
      <c r="F483" s="54" t="s">
        <v>1201</v>
      </c>
      <c r="G483" s="52" t="s">
        <v>1562</v>
      </c>
    </row>
    <row r="484" spans="1:7" x14ac:dyDescent="0.25">
      <c r="A484" s="46" t="s">
        <v>1566</v>
      </c>
      <c r="B484" s="114" t="s">
        <v>1567</v>
      </c>
      <c r="C484" s="48">
        <v>32471</v>
      </c>
      <c r="D484" s="49" t="s">
        <v>1568</v>
      </c>
      <c r="E484" s="80">
        <v>0.56000000000000005</v>
      </c>
      <c r="F484" s="54" t="s">
        <v>1201</v>
      </c>
      <c r="G484" s="52" t="s">
        <v>1569</v>
      </c>
    </row>
    <row r="485" spans="1:7" x14ac:dyDescent="0.25">
      <c r="A485" s="46" t="s">
        <v>1570</v>
      </c>
      <c r="B485" s="114" t="s">
        <v>1571</v>
      </c>
      <c r="C485" s="48">
        <v>54235</v>
      </c>
      <c r="D485" s="49" t="s">
        <v>1572</v>
      </c>
      <c r="E485" s="80">
        <v>1.06</v>
      </c>
      <c r="F485" s="54" t="s">
        <v>1201</v>
      </c>
      <c r="G485" s="52" t="s">
        <v>1569</v>
      </c>
    </row>
    <row r="486" spans="1:7" s="45" customFormat="1" ht="15" x14ac:dyDescent="0.25">
      <c r="A486" s="64"/>
      <c r="B486" s="64" t="s">
        <v>1573</v>
      </c>
      <c r="C486" s="64"/>
      <c r="D486" s="65"/>
      <c r="E486" s="64"/>
      <c r="F486" s="64"/>
      <c r="G486" s="64"/>
    </row>
    <row r="487" spans="1:7" x14ac:dyDescent="0.2">
      <c r="A487" s="46" t="s">
        <v>1574</v>
      </c>
      <c r="B487" s="47" t="s">
        <v>1575</v>
      </c>
      <c r="C487" s="48">
        <v>3441</v>
      </c>
      <c r="D487" s="88" t="s">
        <v>1576</v>
      </c>
      <c r="E487" s="87">
        <v>0.2</v>
      </c>
      <c r="F487" s="115" t="s">
        <v>1577</v>
      </c>
      <c r="G487" s="59" t="s">
        <v>1578</v>
      </c>
    </row>
    <row r="488" spans="1:7" x14ac:dyDescent="0.2">
      <c r="A488" s="46" t="s">
        <v>1579</v>
      </c>
      <c r="B488" s="47" t="s">
        <v>1580</v>
      </c>
      <c r="C488" s="48">
        <v>3614</v>
      </c>
      <c r="D488" s="88" t="s">
        <v>1576</v>
      </c>
      <c r="E488" s="87">
        <v>0.2</v>
      </c>
      <c r="F488" s="115" t="s">
        <v>1577</v>
      </c>
      <c r="G488" s="59" t="s">
        <v>1581</v>
      </c>
    </row>
    <row r="489" spans="1:7" x14ac:dyDescent="0.2">
      <c r="A489" s="46" t="s">
        <v>1582</v>
      </c>
      <c r="B489" s="47" t="s">
        <v>1583</v>
      </c>
      <c r="C489" s="48">
        <v>3308</v>
      </c>
      <c r="D489" s="88" t="s">
        <v>1584</v>
      </c>
      <c r="E489" s="87">
        <v>0.15</v>
      </c>
      <c r="F489" s="115" t="s">
        <v>1577</v>
      </c>
      <c r="G489" s="59" t="s">
        <v>1585</v>
      </c>
    </row>
    <row r="490" spans="1:7" x14ac:dyDescent="0.2">
      <c r="A490" s="46" t="s">
        <v>1586</v>
      </c>
      <c r="B490" s="47" t="s">
        <v>1587</v>
      </c>
      <c r="C490" s="48">
        <v>3474</v>
      </c>
      <c r="D490" s="88" t="s">
        <v>1584</v>
      </c>
      <c r="E490" s="87">
        <v>0.15</v>
      </c>
      <c r="F490" s="115" t="s">
        <v>1577</v>
      </c>
      <c r="G490" s="59" t="s">
        <v>1588</v>
      </c>
    </row>
    <row r="491" spans="1:7" x14ac:dyDescent="0.2">
      <c r="A491" s="46" t="s">
        <v>1589</v>
      </c>
      <c r="B491" s="47" t="s">
        <v>1590</v>
      </c>
      <c r="C491" s="48">
        <v>3867</v>
      </c>
      <c r="D491" s="88" t="s">
        <v>1591</v>
      </c>
      <c r="E491" s="87">
        <v>0.2</v>
      </c>
      <c r="F491" s="115" t="s">
        <v>1577</v>
      </c>
      <c r="G491" s="59" t="s">
        <v>1592</v>
      </c>
    </row>
    <row r="492" spans="1:7" x14ac:dyDescent="0.2">
      <c r="A492" s="46" t="s">
        <v>1593</v>
      </c>
      <c r="B492" s="47" t="s">
        <v>1594</v>
      </c>
      <c r="C492" s="48">
        <v>4062</v>
      </c>
      <c r="D492" s="88" t="s">
        <v>1591</v>
      </c>
      <c r="E492" s="87">
        <v>0.2</v>
      </c>
      <c r="F492" s="115" t="s">
        <v>1577</v>
      </c>
      <c r="G492" s="59" t="s">
        <v>1595</v>
      </c>
    </row>
    <row r="493" spans="1:7" x14ac:dyDescent="0.2">
      <c r="A493" s="46" t="s">
        <v>1596</v>
      </c>
      <c r="B493" s="47" t="s">
        <v>1597</v>
      </c>
      <c r="C493" s="48">
        <v>8351</v>
      </c>
      <c r="D493" s="88" t="s">
        <v>1598</v>
      </c>
      <c r="E493" s="87">
        <v>0.4</v>
      </c>
      <c r="F493" s="115" t="s">
        <v>1577</v>
      </c>
      <c r="G493" s="59" t="s">
        <v>1599</v>
      </c>
    </row>
    <row r="494" spans="1:7" x14ac:dyDescent="0.2">
      <c r="A494" s="46" t="s">
        <v>1600</v>
      </c>
      <c r="B494" s="47" t="s">
        <v>1601</v>
      </c>
      <c r="C494" s="48">
        <v>8892</v>
      </c>
      <c r="D494" s="88" t="s">
        <v>1598</v>
      </c>
      <c r="E494" s="87">
        <v>0.4</v>
      </c>
      <c r="F494" s="115" t="s">
        <v>1577</v>
      </c>
      <c r="G494" s="59" t="s">
        <v>1602</v>
      </c>
    </row>
    <row r="495" spans="1:7" x14ac:dyDescent="0.2">
      <c r="A495" s="46" t="s">
        <v>1603</v>
      </c>
      <c r="B495" s="47" t="s">
        <v>1604</v>
      </c>
      <c r="C495" s="48">
        <v>5309</v>
      </c>
      <c r="D495" s="88" t="s">
        <v>1605</v>
      </c>
      <c r="E495" s="87">
        <v>0.16</v>
      </c>
      <c r="F495" s="115" t="s">
        <v>1577</v>
      </c>
      <c r="G495" s="59" t="s">
        <v>1606</v>
      </c>
    </row>
    <row r="496" spans="1:7" x14ac:dyDescent="0.2">
      <c r="A496" s="46" t="s">
        <v>1607</v>
      </c>
      <c r="B496" s="47" t="s">
        <v>1608</v>
      </c>
      <c r="C496" s="48">
        <v>4722</v>
      </c>
      <c r="D496" s="88" t="s">
        <v>1605</v>
      </c>
      <c r="E496" s="87">
        <v>0.2</v>
      </c>
      <c r="F496" s="115" t="s">
        <v>1577</v>
      </c>
      <c r="G496" s="59" t="s">
        <v>1609</v>
      </c>
    </row>
    <row r="497" spans="1:7" x14ac:dyDescent="0.2">
      <c r="A497" s="46" t="s">
        <v>1610</v>
      </c>
      <c r="B497" s="47" t="s">
        <v>1611</v>
      </c>
      <c r="C497" s="48">
        <v>10077</v>
      </c>
      <c r="D497" s="88" t="s">
        <v>1612</v>
      </c>
      <c r="E497" s="87">
        <v>0.6</v>
      </c>
      <c r="F497" s="115" t="s">
        <v>1577</v>
      </c>
      <c r="G497" s="59" t="s">
        <v>1613</v>
      </c>
    </row>
    <row r="498" spans="1:7" x14ac:dyDescent="0.2">
      <c r="A498" s="46" t="s">
        <v>1614</v>
      </c>
      <c r="B498" s="116" t="s">
        <v>1615</v>
      </c>
      <c r="C498" s="48">
        <v>8797</v>
      </c>
      <c r="D498" s="88" t="s">
        <v>1612</v>
      </c>
      <c r="E498" s="87">
        <v>0.6</v>
      </c>
      <c r="F498" s="115" t="s">
        <v>1577</v>
      </c>
      <c r="G498" s="59" t="s">
        <v>1616</v>
      </c>
    </row>
    <row r="499" spans="1:7" x14ac:dyDescent="0.2">
      <c r="A499" s="46" t="s">
        <v>1617</v>
      </c>
      <c r="B499" s="47" t="s">
        <v>1618</v>
      </c>
      <c r="C499" s="48">
        <v>12980</v>
      </c>
      <c r="D499" s="88" t="s">
        <v>1612</v>
      </c>
      <c r="E499" s="87">
        <v>0.6</v>
      </c>
      <c r="F499" s="115" t="s">
        <v>1577</v>
      </c>
      <c r="G499" s="59" t="s">
        <v>1619</v>
      </c>
    </row>
    <row r="500" spans="1:7" x14ac:dyDescent="0.2">
      <c r="A500" s="46" t="s">
        <v>1620</v>
      </c>
      <c r="B500" s="47" t="s">
        <v>1621</v>
      </c>
      <c r="C500" s="48">
        <v>16040</v>
      </c>
      <c r="D500" s="88" t="s">
        <v>1622</v>
      </c>
      <c r="E500" s="87">
        <v>1.4</v>
      </c>
      <c r="F500" s="115" t="s">
        <v>1577</v>
      </c>
      <c r="G500" s="59" t="s">
        <v>1623</v>
      </c>
    </row>
    <row r="501" spans="1:7" x14ac:dyDescent="0.2">
      <c r="A501" s="46" t="s">
        <v>1624</v>
      </c>
      <c r="B501" s="47" t="s">
        <v>1625</v>
      </c>
      <c r="C501" s="48">
        <v>17314</v>
      </c>
      <c r="D501" s="88" t="s">
        <v>1626</v>
      </c>
      <c r="E501" s="87">
        <v>1.8</v>
      </c>
      <c r="F501" s="115" t="s">
        <v>1577</v>
      </c>
      <c r="G501" s="59" t="s">
        <v>1627</v>
      </c>
    </row>
    <row r="502" spans="1:7" x14ac:dyDescent="0.2">
      <c r="A502" s="46" t="s">
        <v>1628</v>
      </c>
      <c r="B502" s="47" t="s">
        <v>1629</v>
      </c>
      <c r="C502" s="48">
        <v>9158</v>
      </c>
      <c r="D502" s="88" t="s">
        <v>1622</v>
      </c>
      <c r="E502" s="87">
        <v>1.1000000000000001</v>
      </c>
      <c r="F502" s="115" t="s">
        <v>1577</v>
      </c>
      <c r="G502" s="59" t="s">
        <v>1630</v>
      </c>
    </row>
    <row r="503" spans="1:7" x14ac:dyDescent="0.2">
      <c r="A503" s="46" t="s">
        <v>1631</v>
      </c>
      <c r="B503" s="47" t="s">
        <v>1632</v>
      </c>
      <c r="C503" s="48">
        <v>10176</v>
      </c>
      <c r="D503" s="88" t="s">
        <v>1626</v>
      </c>
      <c r="E503" s="87">
        <v>1.4</v>
      </c>
      <c r="F503" s="115" t="s">
        <v>1577</v>
      </c>
      <c r="G503" s="59" t="s">
        <v>1633</v>
      </c>
    </row>
    <row r="504" spans="1:7" x14ac:dyDescent="0.2">
      <c r="A504" s="46" t="s">
        <v>1634</v>
      </c>
      <c r="B504" s="47" t="s">
        <v>1635</v>
      </c>
      <c r="C504" s="48">
        <v>1382</v>
      </c>
      <c r="D504" s="88" t="s">
        <v>1636</v>
      </c>
      <c r="E504" s="87">
        <v>0.2</v>
      </c>
      <c r="F504" s="115" t="s">
        <v>1577</v>
      </c>
      <c r="G504" s="59" t="s">
        <v>1637</v>
      </c>
    </row>
    <row r="505" spans="1:7" x14ac:dyDescent="0.2">
      <c r="A505" s="117" t="s">
        <v>1638</v>
      </c>
      <c r="B505" s="47" t="s">
        <v>1639</v>
      </c>
      <c r="C505" s="48">
        <v>1765</v>
      </c>
      <c r="D505" s="88" t="s">
        <v>1636</v>
      </c>
      <c r="E505" s="87">
        <v>0.3</v>
      </c>
      <c r="F505" s="115" t="s">
        <v>1577</v>
      </c>
      <c r="G505" s="59" t="s">
        <v>1640</v>
      </c>
    </row>
    <row r="506" spans="1:7" x14ac:dyDescent="0.2">
      <c r="A506" s="46" t="s">
        <v>1641</v>
      </c>
      <c r="B506" s="47" t="s">
        <v>1642</v>
      </c>
      <c r="C506" s="48">
        <v>4567</v>
      </c>
      <c r="D506" s="88" t="s">
        <v>1576</v>
      </c>
      <c r="E506" s="87">
        <v>0.2</v>
      </c>
      <c r="F506" s="115" t="s">
        <v>1577</v>
      </c>
      <c r="G506" s="59" t="s">
        <v>1643</v>
      </c>
    </row>
    <row r="507" spans="1:7" x14ac:dyDescent="0.2">
      <c r="A507" s="46" t="s">
        <v>1644</v>
      </c>
      <c r="B507" s="47" t="s">
        <v>1645</v>
      </c>
      <c r="C507" s="48">
        <v>4567</v>
      </c>
      <c r="D507" s="88" t="s">
        <v>1584</v>
      </c>
      <c r="E507" s="87">
        <v>0.15</v>
      </c>
      <c r="F507" s="115" t="s">
        <v>1577</v>
      </c>
      <c r="G507" s="59" t="s">
        <v>1646</v>
      </c>
    </row>
    <row r="508" spans="1:7" s="45" customFormat="1" ht="15" x14ac:dyDescent="0.25">
      <c r="A508" s="64"/>
      <c r="B508" s="64" t="s">
        <v>1647</v>
      </c>
      <c r="C508" s="64"/>
      <c r="D508" s="65"/>
      <c r="E508" s="64"/>
      <c r="F508" s="64"/>
      <c r="G508" s="64"/>
    </row>
    <row r="509" spans="1:7" x14ac:dyDescent="0.2">
      <c r="A509" s="46" t="s">
        <v>2538</v>
      </c>
      <c r="B509" s="47" t="s">
        <v>2539</v>
      </c>
      <c r="C509" s="48">
        <v>5459</v>
      </c>
      <c r="D509" s="54" t="s">
        <v>1648</v>
      </c>
      <c r="E509" s="81">
        <v>0.33</v>
      </c>
      <c r="F509" s="54" t="s">
        <v>1649</v>
      </c>
      <c r="G509" s="52" t="s">
        <v>1650</v>
      </c>
    </row>
    <row r="510" spans="1:7" x14ac:dyDescent="0.2">
      <c r="A510" s="46" t="s">
        <v>2540</v>
      </c>
      <c r="B510" s="47" t="s">
        <v>2541</v>
      </c>
      <c r="C510" s="48">
        <v>5459</v>
      </c>
      <c r="D510" s="54" t="s">
        <v>1648</v>
      </c>
      <c r="E510" s="81">
        <v>0.33</v>
      </c>
      <c r="F510" s="54" t="s">
        <v>1649</v>
      </c>
      <c r="G510" s="52" t="s">
        <v>1651</v>
      </c>
    </row>
    <row r="511" spans="1:7" x14ac:dyDescent="0.2">
      <c r="A511" s="46" t="s">
        <v>2542</v>
      </c>
      <c r="B511" s="47" t="s">
        <v>2543</v>
      </c>
      <c r="C511" s="48">
        <v>6064</v>
      </c>
      <c r="D511" s="54" t="s">
        <v>1652</v>
      </c>
      <c r="E511" s="81">
        <v>0.4</v>
      </c>
      <c r="F511" s="54" t="s">
        <v>1649</v>
      </c>
      <c r="G511" s="52" t="s">
        <v>1653</v>
      </c>
    </row>
    <row r="512" spans="1:7" x14ac:dyDescent="0.2">
      <c r="A512" s="46" t="s">
        <v>2544</v>
      </c>
      <c r="B512" s="47" t="s">
        <v>2545</v>
      </c>
      <c r="C512" s="48">
        <v>6962</v>
      </c>
      <c r="D512" s="54" t="s">
        <v>1654</v>
      </c>
      <c r="E512" s="81">
        <v>0.6</v>
      </c>
      <c r="F512" s="54" t="s">
        <v>1649</v>
      </c>
      <c r="G512" s="52" t="s">
        <v>1655</v>
      </c>
    </row>
    <row r="513" spans="1:7" x14ac:dyDescent="0.2">
      <c r="A513" s="46" t="s">
        <v>2546</v>
      </c>
      <c r="B513" s="47" t="s">
        <v>2547</v>
      </c>
      <c r="C513" s="48">
        <v>9323</v>
      </c>
      <c r="D513" s="54" t="s">
        <v>1656</v>
      </c>
      <c r="E513" s="81">
        <v>1.04</v>
      </c>
      <c r="F513" s="54" t="s">
        <v>1649</v>
      </c>
      <c r="G513" s="52" t="s">
        <v>1657</v>
      </c>
    </row>
    <row r="514" spans="1:7" x14ac:dyDescent="0.2">
      <c r="A514" s="46" t="s">
        <v>2548</v>
      </c>
      <c r="B514" s="47" t="s">
        <v>2549</v>
      </c>
      <c r="C514" s="48">
        <v>14549</v>
      </c>
      <c r="D514" s="54" t="s">
        <v>1658</v>
      </c>
      <c r="E514" s="81">
        <v>1.3</v>
      </c>
      <c r="F514" s="54" t="s">
        <v>1649</v>
      </c>
      <c r="G514" s="52" t="s">
        <v>1659</v>
      </c>
    </row>
    <row r="515" spans="1:7" x14ac:dyDescent="0.2">
      <c r="A515" s="46" t="s">
        <v>2550</v>
      </c>
      <c r="B515" s="47" t="s">
        <v>2551</v>
      </c>
      <c r="C515" s="48">
        <v>23498</v>
      </c>
      <c r="D515" s="54" t="s">
        <v>1660</v>
      </c>
      <c r="E515" s="81">
        <v>2.35</v>
      </c>
      <c r="F515" s="54" t="s">
        <v>1649</v>
      </c>
      <c r="G515" s="52" t="s">
        <v>1661</v>
      </c>
    </row>
    <row r="516" spans="1:7" x14ac:dyDescent="0.2">
      <c r="A516" s="46" t="s">
        <v>1662</v>
      </c>
      <c r="B516" s="47" t="s">
        <v>1663</v>
      </c>
      <c r="C516" s="48">
        <v>11522</v>
      </c>
      <c r="D516" s="54" t="s">
        <v>1664</v>
      </c>
      <c r="E516" s="81">
        <v>0.71</v>
      </c>
      <c r="F516" s="54" t="s">
        <v>1649</v>
      </c>
      <c r="G516" s="52" t="s">
        <v>1665</v>
      </c>
    </row>
    <row r="517" spans="1:7" x14ac:dyDescent="0.2">
      <c r="A517" s="46" t="s">
        <v>1666</v>
      </c>
      <c r="B517" s="47" t="s">
        <v>1667</v>
      </c>
      <c r="C517" s="48">
        <v>13883</v>
      </c>
      <c r="D517" s="54" t="s">
        <v>1664</v>
      </c>
      <c r="E517" s="81">
        <v>0.72</v>
      </c>
      <c r="F517" s="54" t="s">
        <v>1649</v>
      </c>
      <c r="G517" s="52" t="s">
        <v>1668</v>
      </c>
    </row>
    <row r="518" spans="1:7" s="45" customFormat="1" ht="15" x14ac:dyDescent="0.25">
      <c r="A518" s="64"/>
      <c r="B518" s="64" t="s">
        <v>1669</v>
      </c>
      <c r="C518" s="64"/>
      <c r="D518" s="65"/>
      <c r="E518" s="64"/>
      <c r="F518" s="64"/>
      <c r="G518" s="64"/>
    </row>
    <row r="519" spans="1:7" x14ac:dyDescent="0.2">
      <c r="A519" s="46" t="s">
        <v>71</v>
      </c>
      <c r="B519" s="47" t="s">
        <v>1670</v>
      </c>
      <c r="C519" s="48">
        <v>8026</v>
      </c>
      <c r="D519" s="118" t="s">
        <v>1671</v>
      </c>
      <c r="E519" s="91">
        <v>2.2000000000000002</v>
      </c>
      <c r="F519" s="58" t="s">
        <v>1672</v>
      </c>
      <c r="G519" s="113" t="s">
        <v>1673</v>
      </c>
    </row>
    <row r="520" spans="1:7" x14ac:dyDescent="0.2">
      <c r="A520" s="46" t="s">
        <v>65</v>
      </c>
      <c r="B520" s="47" t="s">
        <v>1674</v>
      </c>
      <c r="C520" s="48">
        <v>8180</v>
      </c>
      <c r="D520" s="118" t="s">
        <v>1671</v>
      </c>
      <c r="E520" s="91">
        <v>2.4</v>
      </c>
      <c r="F520" s="58" t="s">
        <v>1672</v>
      </c>
      <c r="G520" s="113" t="s">
        <v>1675</v>
      </c>
    </row>
    <row r="521" spans="1:7" x14ac:dyDescent="0.2">
      <c r="A521" s="46" t="s">
        <v>1676</v>
      </c>
      <c r="B521" s="47" t="s">
        <v>1677</v>
      </c>
      <c r="C521" s="48">
        <v>8180</v>
      </c>
      <c r="D521" s="118" t="s">
        <v>1671</v>
      </c>
      <c r="E521" s="91">
        <v>2.4</v>
      </c>
      <c r="F521" s="58" t="s">
        <v>1672</v>
      </c>
      <c r="G521" s="113" t="s">
        <v>1678</v>
      </c>
    </row>
    <row r="522" spans="1:7" x14ac:dyDescent="0.2">
      <c r="A522" s="46" t="s">
        <v>58</v>
      </c>
      <c r="B522" s="47" t="s">
        <v>1679</v>
      </c>
      <c r="C522" s="48">
        <v>11112</v>
      </c>
      <c r="D522" s="118" t="s">
        <v>1680</v>
      </c>
      <c r="E522" s="91">
        <v>3.2</v>
      </c>
      <c r="F522" s="58" t="s">
        <v>1672</v>
      </c>
      <c r="G522" s="113" t="s">
        <v>1681</v>
      </c>
    </row>
    <row r="523" spans="1:7" x14ac:dyDescent="0.2">
      <c r="A523" s="46" t="s">
        <v>53</v>
      </c>
      <c r="B523" s="47" t="s">
        <v>1682</v>
      </c>
      <c r="C523" s="48">
        <v>22335</v>
      </c>
      <c r="D523" s="118" t="s">
        <v>1683</v>
      </c>
      <c r="E523" s="91">
        <v>4.7</v>
      </c>
      <c r="F523" s="58" t="s">
        <v>1672</v>
      </c>
      <c r="G523" s="113" t="s">
        <v>1684</v>
      </c>
    </row>
    <row r="524" spans="1:7" x14ac:dyDescent="0.2">
      <c r="A524" s="46" t="s">
        <v>1685</v>
      </c>
      <c r="B524" s="47" t="s">
        <v>1686</v>
      </c>
      <c r="C524" s="48">
        <v>11112</v>
      </c>
      <c r="D524" s="118" t="s">
        <v>1680</v>
      </c>
      <c r="E524" s="91">
        <v>3.2</v>
      </c>
      <c r="F524" s="58" t="s">
        <v>1672</v>
      </c>
      <c r="G524" s="113" t="s">
        <v>1687</v>
      </c>
    </row>
    <row r="525" spans="1:7" x14ac:dyDescent="0.2">
      <c r="A525" s="46" t="s">
        <v>51</v>
      </c>
      <c r="B525" s="47" t="s">
        <v>1688</v>
      </c>
      <c r="C525" s="48">
        <v>22335</v>
      </c>
      <c r="D525" s="118" t="s">
        <v>1689</v>
      </c>
      <c r="E525" s="91">
        <v>4.8</v>
      </c>
      <c r="F525" s="58" t="s">
        <v>1672</v>
      </c>
      <c r="G525" s="113" t="s">
        <v>1690</v>
      </c>
    </row>
    <row r="526" spans="1:7" x14ac:dyDescent="0.2">
      <c r="A526" s="46" t="s">
        <v>44</v>
      </c>
      <c r="B526" s="47" t="s">
        <v>1691</v>
      </c>
      <c r="C526" s="48">
        <v>22183</v>
      </c>
      <c r="D526" s="118" t="s">
        <v>1692</v>
      </c>
      <c r="E526" s="91">
        <v>5.5</v>
      </c>
      <c r="F526" s="58" t="s">
        <v>1672</v>
      </c>
      <c r="G526" s="113" t="s">
        <v>1693</v>
      </c>
    </row>
    <row r="527" spans="1:7" x14ac:dyDescent="0.2">
      <c r="A527" s="46" t="s">
        <v>38</v>
      </c>
      <c r="B527" s="47" t="s">
        <v>1694</v>
      </c>
      <c r="C527" s="48">
        <v>44365</v>
      </c>
      <c r="D527" s="118" t="s">
        <v>1695</v>
      </c>
      <c r="E527" s="91">
        <v>9.1999999999999993</v>
      </c>
      <c r="F527" s="58" t="s">
        <v>1672</v>
      </c>
      <c r="G527" s="113" t="s">
        <v>1696</v>
      </c>
    </row>
    <row r="528" spans="1:7" x14ac:dyDescent="0.2">
      <c r="A528" s="46" t="s">
        <v>1697</v>
      </c>
      <c r="B528" s="47" t="s">
        <v>1698</v>
      </c>
      <c r="C528" s="48">
        <v>60427</v>
      </c>
      <c r="D528" s="118" t="s">
        <v>1699</v>
      </c>
      <c r="E528" s="91">
        <v>10</v>
      </c>
      <c r="F528" s="58" t="s">
        <v>1672</v>
      </c>
      <c r="G528" s="113" t="s">
        <v>1700</v>
      </c>
    </row>
    <row r="529" spans="1:7" x14ac:dyDescent="0.2">
      <c r="A529" s="46" t="s">
        <v>32</v>
      </c>
      <c r="B529" s="47" t="s">
        <v>1701</v>
      </c>
      <c r="C529" s="48">
        <v>48495</v>
      </c>
      <c r="D529" s="118" t="s">
        <v>1702</v>
      </c>
      <c r="E529" s="91">
        <v>20</v>
      </c>
      <c r="F529" s="58" t="s">
        <v>1672</v>
      </c>
      <c r="G529" s="113" t="s">
        <v>1703</v>
      </c>
    </row>
    <row r="530" spans="1:7" x14ac:dyDescent="0.2">
      <c r="A530" s="46" t="s">
        <v>20</v>
      </c>
      <c r="B530" s="47" t="s">
        <v>1704</v>
      </c>
      <c r="C530" s="48">
        <v>68076</v>
      </c>
      <c r="D530" s="118" t="s">
        <v>1705</v>
      </c>
      <c r="E530" s="91">
        <v>22.5</v>
      </c>
      <c r="F530" s="58" t="s">
        <v>1672</v>
      </c>
      <c r="G530" s="113" t="s">
        <v>1706</v>
      </c>
    </row>
    <row r="531" spans="1:7" x14ac:dyDescent="0.2">
      <c r="A531" s="46" t="s">
        <v>27</v>
      </c>
      <c r="B531" s="47" t="s">
        <v>1707</v>
      </c>
      <c r="C531" s="48">
        <v>52778</v>
      </c>
      <c r="D531" s="118" t="s">
        <v>1708</v>
      </c>
      <c r="E531" s="91">
        <v>23</v>
      </c>
      <c r="F531" s="58" t="s">
        <v>1672</v>
      </c>
      <c r="G531" s="113" t="s">
        <v>1709</v>
      </c>
    </row>
    <row r="532" spans="1:7" x14ac:dyDescent="0.2">
      <c r="A532" s="46" t="s">
        <v>1710</v>
      </c>
      <c r="B532" s="47" t="s">
        <v>1711</v>
      </c>
      <c r="C532" s="48">
        <v>58592</v>
      </c>
      <c r="D532" s="118" t="s">
        <v>1708</v>
      </c>
      <c r="E532" s="91">
        <v>19</v>
      </c>
      <c r="F532" s="58" t="s">
        <v>1672</v>
      </c>
      <c r="G532" s="113" t="s">
        <v>1712</v>
      </c>
    </row>
    <row r="533" spans="1:7" x14ac:dyDescent="0.2">
      <c r="A533" s="46" t="s">
        <v>16</v>
      </c>
      <c r="B533" s="47" t="s">
        <v>1713</v>
      </c>
      <c r="C533" s="48">
        <v>61192</v>
      </c>
      <c r="D533" s="118" t="s">
        <v>1708</v>
      </c>
      <c r="E533" s="91">
        <v>25</v>
      </c>
      <c r="F533" s="58" t="s">
        <v>1672</v>
      </c>
      <c r="G533" s="113" t="s">
        <v>1714</v>
      </c>
    </row>
    <row r="534" spans="1:7" x14ac:dyDescent="0.2">
      <c r="A534" s="46" t="s">
        <v>11</v>
      </c>
      <c r="B534" s="47" t="s">
        <v>1715</v>
      </c>
      <c r="C534" s="48">
        <v>77255</v>
      </c>
      <c r="D534" s="118" t="s">
        <v>1708</v>
      </c>
      <c r="E534" s="91">
        <v>26</v>
      </c>
      <c r="F534" s="58" t="s">
        <v>1672</v>
      </c>
      <c r="G534" s="113" t="s">
        <v>1716</v>
      </c>
    </row>
    <row r="535" spans="1:7" x14ac:dyDescent="0.2">
      <c r="A535" s="46"/>
      <c r="B535" s="47"/>
      <c r="C535" s="48"/>
      <c r="D535" s="118"/>
      <c r="E535" s="91"/>
      <c r="F535" s="58"/>
      <c r="G535" s="113"/>
    </row>
    <row r="536" spans="1:7" x14ac:dyDescent="0.2">
      <c r="A536" s="46" t="s">
        <v>1717</v>
      </c>
      <c r="B536" s="47" t="s">
        <v>1718</v>
      </c>
      <c r="C536" s="48">
        <v>649</v>
      </c>
      <c r="D536" s="118" t="s">
        <v>1719</v>
      </c>
      <c r="E536" s="91">
        <v>0.18</v>
      </c>
      <c r="F536" s="58" t="s">
        <v>1672</v>
      </c>
      <c r="G536" s="113" t="s">
        <v>1720</v>
      </c>
    </row>
    <row r="537" spans="1:7" x14ac:dyDescent="0.2">
      <c r="A537" s="46" t="s">
        <v>1721</v>
      </c>
      <c r="B537" s="47" t="s">
        <v>1722</v>
      </c>
      <c r="C537" s="48">
        <v>726</v>
      </c>
      <c r="D537" s="118" t="s">
        <v>1723</v>
      </c>
      <c r="E537" s="91">
        <v>0.26</v>
      </c>
      <c r="F537" s="58" t="s">
        <v>1672</v>
      </c>
      <c r="G537" s="113" t="s">
        <v>1720</v>
      </c>
    </row>
    <row r="538" spans="1:7" x14ac:dyDescent="0.2">
      <c r="A538" s="46" t="s">
        <v>1724</v>
      </c>
      <c r="B538" s="47" t="s">
        <v>1725</v>
      </c>
      <c r="C538" s="48">
        <v>803</v>
      </c>
      <c r="D538" s="118" t="s">
        <v>1723</v>
      </c>
      <c r="E538" s="91">
        <v>0.26</v>
      </c>
      <c r="F538" s="58" t="s">
        <v>1672</v>
      </c>
      <c r="G538" s="113" t="s">
        <v>1720</v>
      </c>
    </row>
    <row r="539" spans="1:7" s="45" customFormat="1" ht="15" x14ac:dyDescent="0.25">
      <c r="A539" s="64"/>
      <c r="B539" s="64" t="s">
        <v>1726</v>
      </c>
      <c r="C539" s="64"/>
      <c r="D539" s="65"/>
      <c r="E539" s="64"/>
      <c r="F539" s="64"/>
      <c r="G539" s="64"/>
    </row>
    <row r="540" spans="1:7" x14ac:dyDescent="0.2">
      <c r="A540" s="46" t="s">
        <v>1727</v>
      </c>
      <c r="B540" s="47" t="s">
        <v>1728</v>
      </c>
      <c r="C540" s="48">
        <v>30640</v>
      </c>
      <c r="D540" s="118"/>
      <c r="E540" s="91">
        <v>4.8</v>
      </c>
      <c r="F540" s="58" t="s">
        <v>180</v>
      </c>
      <c r="G540" s="113" t="s">
        <v>1729</v>
      </c>
    </row>
    <row r="541" spans="1:7" x14ac:dyDescent="0.2">
      <c r="A541" s="46" t="s">
        <v>1730</v>
      </c>
      <c r="B541" s="47" t="s">
        <v>1731</v>
      </c>
      <c r="C541" s="48">
        <v>30640</v>
      </c>
      <c r="D541" s="118"/>
      <c r="E541" s="91">
        <v>4.8</v>
      </c>
      <c r="F541" s="58" t="s">
        <v>180</v>
      </c>
      <c r="G541" s="113" t="s">
        <v>1732</v>
      </c>
    </row>
    <row r="542" spans="1:7" x14ac:dyDescent="0.2">
      <c r="A542" s="46" t="s">
        <v>1733</v>
      </c>
      <c r="B542" s="47" t="s">
        <v>1734</v>
      </c>
      <c r="C542" s="48">
        <v>33307</v>
      </c>
      <c r="D542" s="118"/>
      <c r="E542" s="91">
        <v>4.8</v>
      </c>
      <c r="F542" s="58" t="s">
        <v>180</v>
      </c>
      <c r="G542" s="113" t="s">
        <v>1735</v>
      </c>
    </row>
    <row r="543" spans="1:7" x14ac:dyDescent="0.2">
      <c r="A543" s="46" t="s">
        <v>1736</v>
      </c>
      <c r="B543" s="47" t="s">
        <v>1737</v>
      </c>
      <c r="C543" s="48">
        <v>34228</v>
      </c>
      <c r="D543" s="118"/>
      <c r="E543" s="91">
        <v>5.6</v>
      </c>
      <c r="F543" s="58" t="s">
        <v>180</v>
      </c>
      <c r="G543" s="113" t="s">
        <v>1738</v>
      </c>
    </row>
    <row r="544" spans="1:7" x14ac:dyDescent="0.2">
      <c r="A544" s="46" t="s">
        <v>1739</v>
      </c>
      <c r="B544" s="47" t="s">
        <v>1740</v>
      </c>
      <c r="C544" s="48">
        <v>37311</v>
      </c>
      <c r="D544" s="118"/>
      <c r="E544" s="91">
        <v>6.1</v>
      </c>
      <c r="F544" s="58" t="s">
        <v>180</v>
      </c>
      <c r="G544" s="113" t="s">
        <v>1741</v>
      </c>
    </row>
    <row r="545" spans="1:7" x14ac:dyDescent="0.2">
      <c r="A545" s="46" t="s">
        <v>1742</v>
      </c>
      <c r="B545" s="47" t="s">
        <v>1743</v>
      </c>
      <c r="C545" s="48">
        <v>41379</v>
      </c>
      <c r="D545" s="118"/>
      <c r="E545" s="91">
        <v>6.4</v>
      </c>
      <c r="F545" s="58" t="s">
        <v>180</v>
      </c>
      <c r="G545" s="113" t="s">
        <v>1744</v>
      </c>
    </row>
    <row r="546" spans="1:7" x14ac:dyDescent="0.2">
      <c r="A546" s="46" t="s">
        <v>1745</v>
      </c>
      <c r="B546" s="47" t="s">
        <v>1746</v>
      </c>
      <c r="C546" s="48">
        <v>52713</v>
      </c>
      <c r="D546" s="118"/>
      <c r="E546" s="91">
        <v>8.3000000000000007</v>
      </c>
      <c r="F546" s="58" t="s">
        <v>180</v>
      </c>
      <c r="G546" s="113" t="s">
        <v>1747</v>
      </c>
    </row>
    <row r="547" spans="1:7" x14ac:dyDescent="0.2">
      <c r="A547" s="46" t="s">
        <v>1748</v>
      </c>
      <c r="B547" s="47" t="s">
        <v>1749</v>
      </c>
      <c r="C547" s="48">
        <v>60806</v>
      </c>
      <c r="D547" s="118"/>
      <c r="E547" s="91">
        <v>10.6</v>
      </c>
      <c r="F547" s="58" t="s">
        <v>180</v>
      </c>
      <c r="G547" s="113" t="s">
        <v>1750</v>
      </c>
    </row>
    <row r="548" spans="1:7" x14ac:dyDescent="0.2">
      <c r="A548" s="46"/>
      <c r="B548" s="47"/>
      <c r="C548" s="48"/>
      <c r="D548" s="118"/>
      <c r="E548" s="91"/>
      <c r="F548" s="58"/>
      <c r="G548" s="113"/>
    </row>
    <row r="549" spans="1:7" x14ac:dyDescent="0.2">
      <c r="A549" s="46" t="s">
        <v>1751</v>
      </c>
      <c r="B549" s="47" t="s">
        <v>1752</v>
      </c>
      <c r="C549" s="48">
        <v>24498</v>
      </c>
      <c r="D549" s="118"/>
      <c r="E549" s="91"/>
      <c r="F549" s="58" t="s">
        <v>180</v>
      </c>
      <c r="G549" s="113" t="s">
        <v>2578</v>
      </c>
    </row>
    <row r="550" spans="1:7" x14ac:dyDescent="0.2">
      <c r="A550" s="46" t="s">
        <v>1753</v>
      </c>
      <c r="B550" s="47" t="s">
        <v>1754</v>
      </c>
      <c r="C550" s="48">
        <v>24498</v>
      </c>
      <c r="D550" s="118"/>
      <c r="E550" s="91"/>
      <c r="F550" s="58" t="s">
        <v>180</v>
      </c>
      <c r="G550" s="113" t="s">
        <v>2579</v>
      </c>
    </row>
    <row r="551" spans="1:7" x14ac:dyDescent="0.2">
      <c r="A551" s="46" t="s">
        <v>1755</v>
      </c>
      <c r="B551" s="47" t="s">
        <v>1756</v>
      </c>
      <c r="C551" s="48">
        <v>26393</v>
      </c>
      <c r="D551" s="118"/>
      <c r="E551" s="91"/>
      <c r="F551" s="58" t="s">
        <v>180</v>
      </c>
      <c r="G551" s="113" t="s">
        <v>2580</v>
      </c>
    </row>
    <row r="552" spans="1:7" x14ac:dyDescent="0.2">
      <c r="A552" s="46" t="s">
        <v>1757</v>
      </c>
      <c r="B552" s="47" t="s">
        <v>1758</v>
      </c>
      <c r="C552" s="48">
        <v>32362</v>
      </c>
      <c r="D552" s="118"/>
      <c r="E552" s="91"/>
      <c r="F552" s="58" t="s">
        <v>180</v>
      </c>
      <c r="G552" s="113" t="s">
        <v>2581</v>
      </c>
    </row>
    <row r="553" spans="1:7" x14ac:dyDescent="0.2">
      <c r="A553" s="46" t="s">
        <v>1759</v>
      </c>
      <c r="B553" s="47" t="s">
        <v>1760</v>
      </c>
      <c r="C553" s="48">
        <v>39772</v>
      </c>
      <c r="D553" s="118"/>
      <c r="E553" s="91"/>
      <c r="F553" s="58" t="s">
        <v>180</v>
      </c>
      <c r="G553" s="113" t="s">
        <v>2582</v>
      </c>
    </row>
    <row r="554" spans="1:7" x14ac:dyDescent="0.2">
      <c r="A554" s="46" t="s">
        <v>1761</v>
      </c>
      <c r="B554" s="47" t="s">
        <v>1762</v>
      </c>
      <c r="C554" s="48">
        <v>49900</v>
      </c>
      <c r="D554" s="118"/>
      <c r="E554" s="91"/>
      <c r="F554" s="58" t="s">
        <v>180</v>
      </c>
      <c r="G554" s="113" t="s">
        <v>2583</v>
      </c>
    </row>
    <row r="555" spans="1:7" x14ac:dyDescent="0.2">
      <c r="A555" s="46" t="s">
        <v>1763</v>
      </c>
      <c r="B555" s="47" t="s">
        <v>1764</v>
      </c>
      <c r="C555" s="48">
        <v>69478</v>
      </c>
      <c r="D555" s="118"/>
      <c r="E555" s="91"/>
      <c r="F555" s="58" t="s">
        <v>180</v>
      </c>
      <c r="G555" s="113" t="s">
        <v>2584</v>
      </c>
    </row>
    <row r="556" spans="1:7" x14ac:dyDescent="0.2">
      <c r="A556" s="46" t="s">
        <v>1765</v>
      </c>
      <c r="B556" s="47" t="s">
        <v>1766</v>
      </c>
      <c r="C556" s="48">
        <v>71911</v>
      </c>
      <c r="D556" s="118"/>
      <c r="E556" s="91"/>
      <c r="F556" s="58" t="s">
        <v>180</v>
      </c>
      <c r="G556" s="113" t="s">
        <v>1767</v>
      </c>
    </row>
    <row r="557" spans="1:7" x14ac:dyDescent="0.2">
      <c r="A557" s="46"/>
      <c r="B557" s="47"/>
      <c r="C557" s="48"/>
      <c r="D557" s="118"/>
      <c r="E557" s="91"/>
      <c r="F557" s="58"/>
      <c r="G557" s="113"/>
    </row>
    <row r="558" spans="1:7" x14ac:dyDescent="0.2">
      <c r="A558" s="46" t="s">
        <v>128</v>
      </c>
      <c r="B558" s="47" t="s">
        <v>1768</v>
      </c>
      <c r="C558" s="48">
        <v>40168</v>
      </c>
      <c r="D558" s="118"/>
      <c r="E558" s="91"/>
      <c r="F558" s="58" t="s">
        <v>180</v>
      </c>
      <c r="G558" s="113" t="s">
        <v>2585</v>
      </c>
    </row>
    <row r="559" spans="1:7" x14ac:dyDescent="0.2">
      <c r="A559" s="46" t="s">
        <v>126</v>
      </c>
      <c r="B559" s="47" t="s">
        <v>1769</v>
      </c>
      <c r="C559" s="48">
        <v>40168</v>
      </c>
      <c r="D559" s="118"/>
      <c r="E559" s="91"/>
      <c r="F559" s="58" t="s">
        <v>180</v>
      </c>
      <c r="G559" s="113" t="s">
        <v>2586</v>
      </c>
    </row>
    <row r="560" spans="1:7" x14ac:dyDescent="0.2">
      <c r="A560" s="46" t="s">
        <v>124</v>
      </c>
      <c r="B560" s="47" t="s">
        <v>1770</v>
      </c>
      <c r="C560" s="48">
        <v>40230</v>
      </c>
      <c r="D560" s="118"/>
      <c r="E560" s="91"/>
      <c r="F560" s="58" t="s">
        <v>180</v>
      </c>
      <c r="G560" s="113" t="s">
        <v>2587</v>
      </c>
    </row>
    <row r="561" spans="1:7" x14ac:dyDescent="0.2">
      <c r="A561" s="46" t="s">
        <v>122</v>
      </c>
      <c r="B561" s="47" t="s">
        <v>1771</v>
      </c>
      <c r="C561" s="48">
        <v>40349</v>
      </c>
      <c r="D561" s="118"/>
      <c r="E561" s="91"/>
      <c r="F561" s="58" t="s">
        <v>180</v>
      </c>
      <c r="G561" s="113" t="s">
        <v>2588</v>
      </c>
    </row>
    <row r="562" spans="1:7" x14ac:dyDescent="0.2">
      <c r="A562" s="46" t="s">
        <v>120</v>
      </c>
      <c r="B562" s="47" t="s">
        <v>1772</v>
      </c>
      <c r="C562" s="48">
        <v>40349</v>
      </c>
      <c r="D562" s="118"/>
      <c r="E562" s="91"/>
      <c r="F562" s="58" t="s">
        <v>180</v>
      </c>
      <c r="G562" s="113" t="s">
        <v>2589</v>
      </c>
    </row>
    <row r="563" spans="1:7" x14ac:dyDescent="0.2">
      <c r="A563" s="46" t="s">
        <v>118</v>
      </c>
      <c r="B563" s="47" t="s">
        <v>1773</v>
      </c>
      <c r="C563" s="48">
        <v>40411</v>
      </c>
      <c r="D563" s="118"/>
      <c r="E563" s="91"/>
      <c r="F563" s="58" t="s">
        <v>180</v>
      </c>
      <c r="G563" s="113" t="s">
        <v>2590</v>
      </c>
    </row>
    <row r="564" spans="1:7" x14ac:dyDescent="0.2">
      <c r="A564" s="46" t="s">
        <v>116</v>
      </c>
      <c r="B564" s="47" t="s">
        <v>1774</v>
      </c>
      <c r="C564" s="48">
        <v>48747</v>
      </c>
      <c r="D564" s="118"/>
      <c r="E564" s="91"/>
      <c r="F564" s="58" t="s">
        <v>180</v>
      </c>
      <c r="G564" s="113" t="s">
        <v>2591</v>
      </c>
    </row>
    <row r="565" spans="1:7" x14ac:dyDescent="0.2">
      <c r="A565" s="46" t="s">
        <v>114</v>
      </c>
      <c r="B565" s="47" t="s">
        <v>1775</v>
      </c>
      <c r="C565" s="48">
        <v>51600</v>
      </c>
      <c r="D565" s="118"/>
      <c r="E565" s="91"/>
      <c r="F565" s="58" t="s">
        <v>180</v>
      </c>
      <c r="G565" s="113" t="s">
        <v>2592</v>
      </c>
    </row>
    <row r="566" spans="1:7" x14ac:dyDescent="0.2">
      <c r="A566" s="46" t="s">
        <v>112</v>
      </c>
      <c r="B566" s="47" t="s">
        <v>1776</v>
      </c>
      <c r="C566" s="48">
        <v>55457</v>
      </c>
      <c r="D566" s="118"/>
      <c r="E566" s="91"/>
      <c r="F566" s="58" t="s">
        <v>180</v>
      </c>
      <c r="G566" s="113" t="s">
        <v>2593</v>
      </c>
    </row>
    <row r="567" spans="1:7" x14ac:dyDescent="0.2">
      <c r="A567" s="46" t="s">
        <v>110</v>
      </c>
      <c r="B567" s="47" t="s">
        <v>1777</v>
      </c>
      <c r="C567" s="48">
        <v>61475</v>
      </c>
      <c r="D567" s="118"/>
      <c r="E567" s="91"/>
      <c r="F567" s="58" t="s">
        <v>180</v>
      </c>
      <c r="G567" s="113" t="s">
        <v>2594</v>
      </c>
    </row>
    <row r="568" spans="1:7" x14ac:dyDescent="0.2">
      <c r="A568" s="46" t="s">
        <v>108</v>
      </c>
      <c r="B568" s="47" t="s">
        <v>1778</v>
      </c>
      <c r="C568" s="48">
        <v>64479</v>
      </c>
      <c r="D568" s="118"/>
      <c r="E568" s="91"/>
      <c r="F568" s="58" t="s">
        <v>180</v>
      </c>
      <c r="G568" s="113" t="s">
        <v>2595</v>
      </c>
    </row>
    <row r="569" spans="1:7" x14ac:dyDescent="0.2">
      <c r="A569" s="46" t="s">
        <v>106</v>
      </c>
      <c r="B569" s="47" t="s">
        <v>1779</v>
      </c>
      <c r="C569" s="48">
        <v>76496</v>
      </c>
      <c r="D569" s="118"/>
      <c r="E569" s="91"/>
      <c r="F569" s="58" t="s">
        <v>180</v>
      </c>
      <c r="G569" s="113" t="s">
        <v>2596</v>
      </c>
    </row>
    <row r="570" spans="1:7" x14ac:dyDescent="0.2">
      <c r="A570" s="46" t="s">
        <v>104</v>
      </c>
      <c r="B570" s="47" t="s">
        <v>1780</v>
      </c>
      <c r="C570" s="48">
        <v>75834</v>
      </c>
      <c r="D570" s="118"/>
      <c r="E570" s="91"/>
      <c r="F570" s="58" t="s">
        <v>180</v>
      </c>
      <c r="G570" s="113" t="s">
        <v>2597</v>
      </c>
    </row>
    <row r="571" spans="1:7" x14ac:dyDescent="0.2">
      <c r="A571" s="46" t="s">
        <v>102</v>
      </c>
      <c r="B571" s="47" t="s">
        <v>1781</v>
      </c>
      <c r="C571" s="48">
        <v>76195</v>
      </c>
      <c r="D571" s="118"/>
      <c r="E571" s="91"/>
      <c r="F571" s="58" t="s">
        <v>180</v>
      </c>
      <c r="G571" s="113" t="s">
        <v>2598</v>
      </c>
    </row>
    <row r="572" spans="1:7" x14ac:dyDescent="0.2">
      <c r="A572" s="46" t="s">
        <v>100</v>
      </c>
      <c r="B572" s="47" t="s">
        <v>1782</v>
      </c>
      <c r="C572" s="48">
        <v>85018</v>
      </c>
      <c r="D572" s="118"/>
      <c r="E572" s="91"/>
      <c r="F572" s="58" t="s">
        <v>180</v>
      </c>
      <c r="G572" s="113" t="s">
        <v>2599</v>
      </c>
    </row>
    <row r="573" spans="1:7" x14ac:dyDescent="0.2">
      <c r="A573" s="46" t="s">
        <v>98</v>
      </c>
      <c r="B573" s="47" t="s">
        <v>1783</v>
      </c>
      <c r="C573" s="48">
        <v>102826</v>
      </c>
      <c r="D573" s="118"/>
      <c r="E573" s="91"/>
      <c r="F573" s="58" t="s">
        <v>180</v>
      </c>
      <c r="G573" s="113" t="s">
        <v>2600</v>
      </c>
    </row>
    <row r="574" spans="1:7" x14ac:dyDescent="0.2">
      <c r="A574" s="46" t="s">
        <v>96</v>
      </c>
      <c r="B574" s="47" t="s">
        <v>1784</v>
      </c>
      <c r="C574" s="48">
        <v>111797</v>
      </c>
      <c r="D574" s="118"/>
      <c r="E574" s="91"/>
      <c r="F574" s="58" t="s">
        <v>180</v>
      </c>
      <c r="G574" s="113" t="s">
        <v>2601</v>
      </c>
    </row>
    <row r="575" spans="1:7" x14ac:dyDescent="0.2">
      <c r="A575" s="46" t="s">
        <v>94</v>
      </c>
      <c r="B575" s="47" t="s">
        <v>1785</v>
      </c>
      <c r="C575" s="48">
        <v>131027</v>
      </c>
      <c r="D575" s="118"/>
      <c r="E575" s="91"/>
      <c r="F575" s="58" t="s">
        <v>180</v>
      </c>
      <c r="G575" s="113" t="s">
        <v>2602</v>
      </c>
    </row>
    <row r="576" spans="1:7" x14ac:dyDescent="0.2">
      <c r="A576" s="46" t="s">
        <v>92</v>
      </c>
      <c r="B576" s="47" t="s">
        <v>1786</v>
      </c>
      <c r="C576" s="48">
        <v>131006</v>
      </c>
      <c r="D576" s="118"/>
      <c r="E576" s="91"/>
      <c r="F576" s="58" t="s">
        <v>180</v>
      </c>
      <c r="G576" s="113" t="s">
        <v>2603</v>
      </c>
    </row>
    <row r="577" spans="1:7" x14ac:dyDescent="0.2">
      <c r="A577" s="46" t="s">
        <v>90</v>
      </c>
      <c r="B577" s="47" t="s">
        <v>1787</v>
      </c>
      <c r="C577" s="48">
        <v>161188</v>
      </c>
      <c r="D577" s="118"/>
      <c r="E577" s="91"/>
      <c r="F577" s="58" t="s">
        <v>180</v>
      </c>
      <c r="G577" s="113" t="s">
        <v>2604</v>
      </c>
    </row>
    <row r="578" spans="1:7" x14ac:dyDescent="0.2">
      <c r="A578" s="46" t="s">
        <v>88</v>
      </c>
      <c r="B578" s="47" t="s">
        <v>1788</v>
      </c>
      <c r="C578" s="48">
        <v>151957</v>
      </c>
      <c r="D578" s="118"/>
      <c r="E578" s="91"/>
      <c r="F578" s="58" t="s">
        <v>180</v>
      </c>
      <c r="G578" s="113" t="s">
        <v>2605</v>
      </c>
    </row>
    <row r="579" spans="1:7" x14ac:dyDescent="0.2">
      <c r="A579" s="46" t="s">
        <v>86</v>
      </c>
      <c r="B579" s="47" t="s">
        <v>1789</v>
      </c>
      <c r="C579" s="48">
        <v>151936</v>
      </c>
      <c r="D579" s="118"/>
      <c r="E579" s="91"/>
      <c r="F579" s="58" t="s">
        <v>180</v>
      </c>
      <c r="G579" s="113" t="s">
        <v>2606</v>
      </c>
    </row>
    <row r="580" spans="1:7" x14ac:dyDescent="0.2">
      <c r="A580" s="46" t="s">
        <v>84</v>
      </c>
      <c r="B580" s="47" t="s">
        <v>1790</v>
      </c>
      <c r="C580" s="48">
        <v>164981</v>
      </c>
      <c r="D580" s="118"/>
      <c r="E580" s="91"/>
      <c r="F580" s="58" t="s">
        <v>180</v>
      </c>
      <c r="G580" s="113" t="s">
        <v>2607</v>
      </c>
    </row>
    <row r="581" spans="1:7" x14ac:dyDescent="0.2">
      <c r="A581" s="46" t="s">
        <v>82</v>
      </c>
      <c r="B581" s="47" t="s">
        <v>1791</v>
      </c>
      <c r="C581" s="48">
        <v>177113</v>
      </c>
      <c r="D581" s="118"/>
      <c r="E581" s="91"/>
      <c r="F581" s="58" t="s">
        <v>180</v>
      </c>
      <c r="G581" s="113" t="s">
        <v>2608</v>
      </c>
    </row>
    <row r="582" spans="1:7" x14ac:dyDescent="0.2">
      <c r="A582" s="46" t="s">
        <v>2471</v>
      </c>
      <c r="B582" s="47" t="s">
        <v>2472</v>
      </c>
      <c r="C582" s="48">
        <v>190667</v>
      </c>
      <c r="D582" s="118"/>
      <c r="E582" s="91"/>
      <c r="F582" s="58" t="s">
        <v>180</v>
      </c>
      <c r="G582" s="113" t="s">
        <v>1792</v>
      </c>
    </row>
    <row r="583" spans="1:7" x14ac:dyDescent="0.2">
      <c r="A583" s="46" t="s">
        <v>79</v>
      </c>
      <c r="B583" s="47" t="s">
        <v>1793</v>
      </c>
      <c r="C583" s="48">
        <v>191218</v>
      </c>
      <c r="D583" s="118"/>
      <c r="E583" s="91"/>
      <c r="F583" s="58" t="s">
        <v>180</v>
      </c>
      <c r="G583" s="113" t="s">
        <v>2609</v>
      </c>
    </row>
    <row r="584" spans="1:7" x14ac:dyDescent="0.2">
      <c r="A584" s="46" t="s">
        <v>2454</v>
      </c>
      <c r="B584" s="47" t="s">
        <v>2455</v>
      </c>
      <c r="C584" s="48">
        <v>210323</v>
      </c>
      <c r="D584" s="118"/>
      <c r="E584" s="91"/>
      <c r="F584" s="58" t="s">
        <v>180</v>
      </c>
      <c r="G584" s="113" t="s">
        <v>2456</v>
      </c>
    </row>
    <row r="585" spans="1:7" x14ac:dyDescent="0.2">
      <c r="A585" s="46"/>
      <c r="B585" s="47"/>
      <c r="C585" s="48"/>
      <c r="D585" s="118"/>
      <c r="E585" s="91"/>
      <c r="F585" s="58"/>
      <c r="G585" s="113"/>
    </row>
    <row r="586" spans="1:7" x14ac:dyDescent="0.2">
      <c r="A586" s="46" t="s">
        <v>77</v>
      </c>
      <c r="B586" s="47" t="s">
        <v>1794</v>
      </c>
      <c r="C586" s="48">
        <v>63213</v>
      </c>
      <c r="D586" s="118"/>
      <c r="E586" s="91"/>
      <c r="F586" s="58" t="s">
        <v>180</v>
      </c>
      <c r="G586" s="113" t="s">
        <v>2610</v>
      </c>
    </row>
    <row r="587" spans="1:7" x14ac:dyDescent="0.2">
      <c r="A587" s="46" t="s">
        <v>73</v>
      </c>
      <c r="B587" s="47" t="s">
        <v>1795</v>
      </c>
      <c r="C587" s="48">
        <v>63213</v>
      </c>
      <c r="D587" s="118"/>
      <c r="E587" s="91"/>
      <c r="F587" s="58" t="s">
        <v>180</v>
      </c>
      <c r="G587" s="113" t="s">
        <v>2611</v>
      </c>
    </row>
    <row r="588" spans="1:7" x14ac:dyDescent="0.2">
      <c r="A588" s="46" t="s">
        <v>72</v>
      </c>
      <c r="B588" s="47" t="s">
        <v>1796</v>
      </c>
      <c r="C588" s="48">
        <v>63421</v>
      </c>
      <c r="D588" s="118"/>
      <c r="E588" s="91"/>
      <c r="F588" s="58" t="s">
        <v>180</v>
      </c>
      <c r="G588" s="113" t="s">
        <v>2612</v>
      </c>
    </row>
    <row r="589" spans="1:7" x14ac:dyDescent="0.2">
      <c r="A589" s="46" t="s">
        <v>70</v>
      </c>
      <c r="B589" s="47" t="s">
        <v>1797</v>
      </c>
      <c r="C589" s="48">
        <v>63575</v>
      </c>
      <c r="D589" s="118"/>
      <c r="E589" s="91"/>
      <c r="F589" s="58" t="s">
        <v>180</v>
      </c>
      <c r="G589" s="113" t="s">
        <v>2613</v>
      </c>
    </row>
    <row r="590" spans="1:7" x14ac:dyDescent="0.2">
      <c r="A590" s="46" t="s">
        <v>67</v>
      </c>
      <c r="B590" s="47" t="s">
        <v>1798</v>
      </c>
      <c r="C590" s="48">
        <v>63575</v>
      </c>
      <c r="D590" s="118"/>
      <c r="E590" s="91"/>
      <c r="F590" s="58" t="s">
        <v>180</v>
      </c>
      <c r="G590" s="113" t="s">
        <v>2614</v>
      </c>
    </row>
    <row r="591" spans="1:7" x14ac:dyDescent="0.2">
      <c r="A591" s="46" t="s">
        <v>66</v>
      </c>
      <c r="B591" s="47" t="s">
        <v>1799</v>
      </c>
      <c r="C591" s="48">
        <v>63783</v>
      </c>
      <c r="D591" s="118"/>
      <c r="E591" s="91"/>
      <c r="F591" s="58" t="s">
        <v>180</v>
      </c>
      <c r="G591" s="113" t="s">
        <v>2615</v>
      </c>
    </row>
    <row r="592" spans="1:7" x14ac:dyDescent="0.2">
      <c r="A592" s="46" t="s">
        <v>64</v>
      </c>
      <c r="B592" s="47" t="s">
        <v>1800</v>
      </c>
      <c r="C592" s="48">
        <v>80620</v>
      </c>
      <c r="D592" s="118"/>
      <c r="E592" s="91"/>
      <c r="F592" s="58" t="s">
        <v>180</v>
      </c>
      <c r="G592" s="113" t="s">
        <v>2616</v>
      </c>
    </row>
    <row r="593" spans="1:7" x14ac:dyDescent="0.2">
      <c r="A593" s="46" t="s">
        <v>60</v>
      </c>
      <c r="B593" s="47" t="s">
        <v>1801</v>
      </c>
      <c r="C593" s="48">
        <v>83624</v>
      </c>
      <c r="D593" s="118"/>
      <c r="E593" s="91"/>
      <c r="F593" s="58" t="s">
        <v>180</v>
      </c>
      <c r="G593" s="113" t="s">
        <v>2617</v>
      </c>
    </row>
    <row r="594" spans="1:7" x14ac:dyDescent="0.2">
      <c r="A594" s="46" t="s">
        <v>59</v>
      </c>
      <c r="B594" s="47" t="s">
        <v>1802</v>
      </c>
      <c r="C594" s="48">
        <v>87480</v>
      </c>
      <c r="D594" s="118"/>
      <c r="E594" s="91"/>
      <c r="F594" s="58" t="s">
        <v>180</v>
      </c>
      <c r="G594" s="113" t="s">
        <v>2618</v>
      </c>
    </row>
    <row r="595" spans="1:7" x14ac:dyDescent="0.2">
      <c r="A595" s="46" t="s">
        <v>57</v>
      </c>
      <c r="B595" s="47" t="s">
        <v>2459</v>
      </c>
      <c r="C595" s="48">
        <v>134230</v>
      </c>
      <c r="D595" s="118"/>
      <c r="E595" s="91"/>
      <c r="F595" s="58" t="s">
        <v>180</v>
      </c>
      <c r="G595" s="113" t="s">
        <v>2619</v>
      </c>
    </row>
    <row r="596" spans="1:7" x14ac:dyDescent="0.2">
      <c r="A596" s="46" t="s">
        <v>54</v>
      </c>
      <c r="B596" s="47" t="s">
        <v>2460</v>
      </c>
      <c r="C596" s="48">
        <v>134448</v>
      </c>
      <c r="D596" s="118"/>
      <c r="E596" s="91"/>
      <c r="F596" s="58" t="s">
        <v>180</v>
      </c>
      <c r="G596" s="113" t="s">
        <v>2620</v>
      </c>
    </row>
    <row r="597" spans="1:7" x14ac:dyDescent="0.2">
      <c r="A597" s="46" t="s">
        <v>52</v>
      </c>
      <c r="B597" s="47" t="s">
        <v>2461</v>
      </c>
      <c r="C597" s="48">
        <v>143272</v>
      </c>
      <c r="D597" s="118"/>
      <c r="E597" s="91"/>
      <c r="F597" s="58" t="s">
        <v>180</v>
      </c>
      <c r="G597" s="113" t="s">
        <v>2621</v>
      </c>
    </row>
    <row r="598" spans="1:7" x14ac:dyDescent="0.2">
      <c r="A598" s="46" t="s">
        <v>50</v>
      </c>
      <c r="B598" s="47" t="s">
        <v>1803</v>
      </c>
      <c r="C598" s="48">
        <v>130039</v>
      </c>
      <c r="D598" s="118"/>
      <c r="E598" s="91"/>
      <c r="F598" s="58" t="s">
        <v>180</v>
      </c>
      <c r="G598" s="113" t="s">
        <v>2622</v>
      </c>
    </row>
    <row r="599" spans="1:7" x14ac:dyDescent="0.2">
      <c r="A599" s="46" t="s">
        <v>46</v>
      </c>
      <c r="B599" s="47" t="s">
        <v>1804</v>
      </c>
      <c r="C599" s="48">
        <v>134599</v>
      </c>
      <c r="D599" s="118"/>
      <c r="E599" s="91"/>
      <c r="F599" s="58" t="s">
        <v>180</v>
      </c>
      <c r="G599" s="113" t="s">
        <v>2597</v>
      </c>
    </row>
    <row r="600" spans="1:7" x14ac:dyDescent="0.2">
      <c r="A600" s="46" t="s">
        <v>45</v>
      </c>
      <c r="B600" s="47" t="s">
        <v>1805</v>
      </c>
      <c r="C600" s="48">
        <v>134816</v>
      </c>
      <c r="D600" s="118"/>
      <c r="E600" s="91"/>
      <c r="F600" s="58" t="s">
        <v>180</v>
      </c>
      <c r="G600" s="113" t="s">
        <v>2598</v>
      </c>
    </row>
    <row r="601" spans="1:7" x14ac:dyDescent="0.2">
      <c r="A601" s="46" t="s">
        <v>43</v>
      </c>
      <c r="B601" s="47" t="s">
        <v>2462</v>
      </c>
      <c r="C601" s="48">
        <v>187189</v>
      </c>
      <c r="D601" s="118"/>
      <c r="E601" s="91"/>
      <c r="F601" s="58" t="s">
        <v>180</v>
      </c>
      <c r="G601" s="113" t="s">
        <v>2623</v>
      </c>
    </row>
    <row r="602" spans="1:7" x14ac:dyDescent="0.2">
      <c r="A602" s="46" t="s">
        <v>39</v>
      </c>
      <c r="B602" s="47" t="s">
        <v>2463</v>
      </c>
      <c r="C602" s="48">
        <v>196012</v>
      </c>
      <c r="D602" s="118"/>
      <c r="E602" s="91"/>
      <c r="F602" s="58" t="s">
        <v>180</v>
      </c>
      <c r="G602" s="113" t="s">
        <v>2624</v>
      </c>
    </row>
    <row r="603" spans="1:7" x14ac:dyDescent="0.2">
      <c r="A603" s="46" t="s">
        <v>34</v>
      </c>
      <c r="B603" s="47" t="s">
        <v>2464</v>
      </c>
      <c r="C603" s="48">
        <v>242193</v>
      </c>
      <c r="D603" s="118"/>
      <c r="E603" s="91"/>
      <c r="F603" s="58" t="s">
        <v>180</v>
      </c>
      <c r="G603" s="113" t="s">
        <v>2625</v>
      </c>
    </row>
    <row r="604" spans="1:7" x14ac:dyDescent="0.2">
      <c r="A604" s="46" t="s">
        <v>33</v>
      </c>
      <c r="B604" s="47" t="s">
        <v>2465</v>
      </c>
      <c r="C604" s="48">
        <v>243276</v>
      </c>
      <c r="D604" s="118"/>
      <c r="E604" s="91"/>
      <c r="F604" s="58" t="s">
        <v>180</v>
      </c>
      <c r="G604" s="113" t="s">
        <v>2626</v>
      </c>
    </row>
    <row r="605" spans="1:7" x14ac:dyDescent="0.2">
      <c r="A605" s="46" t="s">
        <v>28</v>
      </c>
      <c r="B605" s="47" t="s">
        <v>1806</v>
      </c>
      <c r="C605" s="48">
        <v>304063</v>
      </c>
      <c r="D605" s="118"/>
      <c r="E605" s="91"/>
      <c r="F605" s="58" t="s">
        <v>180</v>
      </c>
      <c r="G605" s="113" t="s">
        <v>2627</v>
      </c>
    </row>
    <row r="606" spans="1:7" x14ac:dyDescent="0.2">
      <c r="A606" s="46" t="s">
        <v>1807</v>
      </c>
      <c r="B606" s="47" t="s">
        <v>1808</v>
      </c>
      <c r="C606" s="48">
        <v>329540</v>
      </c>
      <c r="D606" s="118"/>
      <c r="E606" s="91"/>
      <c r="F606" s="58" t="s">
        <v>180</v>
      </c>
      <c r="G606" s="113" t="s">
        <v>2628</v>
      </c>
    </row>
    <row r="607" spans="1:7" x14ac:dyDescent="0.2">
      <c r="A607" s="46" t="s">
        <v>23</v>
      </c>
      <c r="B607" s="47" t="s">
        <v>2466</v>
      </c>
      <c r="C607" s="48">
        <v>283138</v>
      </c>
      <c r="D607" s="118"/>
      <c r="E607" s="91"/>
      <c r="F607" s="58" t="s">
        <v>180</v>
      </c>
      <c r="G607" s="113" t="s">
        <v>2629</v>
      </c>
    </row>
    <row r="608" spans="1:7" x14ac:dyDescent="0.2">
      <c r="A608" s="46" t="s">
        <v>22</v>
      </c>
      <c r="B608" s="47" t="s">
        <v>2467</v>
      </c>
      <c r="C608" s="48">
        <v>284973</v>
      </c>
      <c r="D608" s="118"/>
      <c r="E608" s="91"/>
      <c r="F608" s="58" t="s">
        <v>180</v>
      </c>
      <c r="G608" s="113" t="s">
        <v>2630</v>
      </c>
    </row>
    <row r="609" spans="1:7" x14ac:dyDescent="0.2">
      <c r="A609" s="46" t="s">
        <v>21</v>
      </c>
      <c r="B609" s="47" t="s">
        <v>2468</v>
      </c>
      <c r="C609" s="48">
        <v>298018</v>
      </c>
      <c r="D609" s="118"/>
      <c r="E609" s="91"/>
      <c r="F609" s="58" t="s">
        <v>180</v>
      </c>
      <c r="G609" s="113" t="s">
        <v>2631</v>
      </c>
    </row>
    <row r="610" spans="1:7" x14ac:dyDescent="0.2">
      <c r="A610" s="46" t="s">
        <v>17</v>
      </c>
      <c r="B610" s="47" t="s">
        <v>1809</v>
      </c>
      <c r="C610" s="48">
        <v>333564</v>
      </c>
      <c r="D610" s="118"/>
      <c r="E610" s="91"/>
      <c r="F610" s="58" t="s">
        <v>180</v>
      </c>
      <c r="G610" s="113" t="s">
        <v>1810</v>
      </c>
    </row>
    <row r="611" spans="1:7" x14ac:dyDescent="0.2">
      <c r="A611" s="46" t="s">
        <v>2457</v>
      </c>
      <c r="B611" s="47" t="s">
        <v>2469</v>
      </c>
      <c r="C611" s="48">
        <v>377248</v>
      </c>
      <c r="D611" s="118"/>
      <c r="E611" s="91"/>
      <c r="F611" s="58" t="s">
        <v>180</v>
      </c>
      <c r="G611" s="113" t="s">
        <v>2632</v>
      </c>
    </row>
    <row r="612" spans="1:7" x14ac:dyDescent="0.2">
      <c r="A612" s="46" t="s">
        <v>1811</v>
      </c>
      <c r="B612" s="47" t="s">
        <v>1812</v>
      </c>
      <c r="C612" s="48">
        <v>364122</v>
      </c>
      <c r="D612" s="118"/>
      <c r="E612" s="91"/>
      <c r="F612" s="58" t="s">
        <v>180</v>
      </c>
      <c r="G612" s="113" t="s">
        <v>2633</v>
      </c>
    </row>
    <row r="613" spans="1:7" x14ac:dyDescent="0.2">
      <c r="A613" s="46" t="s">
        <v>12</v>
      </c>
      <c r="B613" s="47" t="s">
        <v>1813</v>
      </c>
      <c r="C613" s="48">
        <v>353792</v>
      </c>
      <c r="D613" s="118"/>
      <c r="E613" s="91"/>
      <c r="F613" s="58" t="s">
        <v>180</v>
      </c>
      <c r="G613" s="113" t="s">
        <v>2634</v>
      </c>
    </row>
    <row r="614" spans="1:7" x14ac:dyDescent="0.2">
      <c r="A614" s="46" t="s">
        <v>2458</v>
      </c>
      <c r="B614" s="47" t="s">
        <v>2470</v>
      </c>
      <c r="C614" s="48">
        <v>416560</v>
      </c>
      <c r="D614" s="118"/>
      <c r="E614" s="91"/>
      <c r="F614" s="58" t="s">
        <v>180</v>
      </c>
      <c r="G614" s="113" t="s">
        <v>2456</v>
      </c>
    </row>
    <row r="615" spans="1:7" x14ac:dyDescent="0.2">
      <c r="A615" s="46"/>
      <c r="B615" s="47"/>
      <c r="C615" s="48"/>
      <c r="D615" s="118"/>
      <c r="E615" s="91"/>
      <c r="F615" s="58"/>
      <c r="G615" s="113"/>
    </row>
    <row r="616" spans="1:7" x14ac:dyDescent="0.2">
      <c r="A616" s="46"/>
      <c r="B616" s="47" t="s">
        <v>1814</v>
      </c>
      <c r="C616" s="48"/>
      <c r="D616" s="118"/>
      <c r="E616" s="91"/>
      <c r="F616" s="58"/>
      <c r="G616" s="113"/>
    </row>
    <row r="617" spans="1:7" x14ac:dyDescent="0.2">
      <c r="A617" s="46" t="s">
        <v>1815</v>
      </c>
      <c r="B617" s="47" t="s">
        <v>1816</v>
      </c>
      <c r="C617" s="48">
        <v>35137</v>
      </c>
      <c r="D617" s="118"/>
      <c r="E617" s="91"/>
      <c r="F617" s="58" t="s">
        <v>180</v>
      </c>
      <c r="G617" s="113" t="s">
        <v>2585</v>
      </c>
    </row>
    <row r="618" spans="1:7" x14ac:dyDescent="0.2">
      <c r="A618" s="46" t="s">
        <v>1817</v>
      </c>
      <c r="B618" s="47" t="s">
        <v>1818</v>
      </c>
      <c r="C618" s="48">
        <v>35662</v>
      </c>
      <c r="D618" s="118"/>
      <c r="E618" s="91"/>
      <c r="F618" s="58" t="s">
        <v>180</v>
      </c>
      <c r="G618" s="113" t="s">
        <v>2586</v>
      </c>
    </row>
    <row r="619" spans="1:7" x14ac:dyDescent="0.2">
      <c r="A619" s="46" t="s">
        <v>1819</v>
      </c>
      <c r="B619" s="47" t="s">
        <v>1820</v>
      </c>
      <c r="C619" s="48">
        <v>35983</v>
      </c>
      <c r="D619" s="118"/>
      <c r="E619" s="91"/>
      <c r="F619" s="58" t="s">
        <v>180</v>
      </c>
      <c r="G619" s="113" t="s">
        <v>2587</v>
      </c>
    </row>
    <row r="620" spans="1:7" x14ac:dyDescent="0.2">
      <c r="A620" s="46" t="s">
        <v>1821</v>
      </c>
      <c r="B620" s="47" t="s">
        <v>1822</v>
      </c>
      <c r="C620" s="48">
        <v>35843</v>
      </c>
      <c r="D620" s="118"/>
      <c r="E620" s="91"/>
      <c r="F620" s="58" t="s">
        <v>180</v>
      </c>
      <c r="G620" s="113" t="s">
        <v>2588</v>
      </c>
    </row>
    <row r="621" spans="1:7" x14ac:dyDescent="0.2">
      <c r="A621" s="46" t="s">
        <v>1823</v>
      </c>
      <c r="B621" s="47" t="s">
        <v>1824</v>
      </c>
      <c r="C621" s="48">
        <v>35843</v>
      </c>
      <c r="D621" s="118"/>
      <c r="E621" s="91"/>
      <c r="F621" s="58" t="s">
        <v>180</v>
      </c>
      <c r="G621" s="113" t="s">
        <v>2589</v>
      </c>
    </row>
    <row r="622" spans="1:7" x14ac:dyDescent="0.2">
      <c r="A622" s="46" t="s">
        <v>1825</v>
      </c>
      <c r="B622" s="47" t="s">
        <v>1826</v>
      </c>
      <c r="C622" s="48">
        <v>36164</v>
      </c>
      <c r="D622" s="118"/>
      <c r="E622" s="91"/>
      <c r="F622" s="58" t="s">
        <v>180</v>
      </c>
      <c r="G622" s="113" t="s">
        <v>2590</v>
      </c>
    </row>
    <row r="623" spans="1:7" x14ac:dyDescent="0.2">
      <c r="A623" s="46" t="s">
        <v>1827</v>
      </c>
      <c r="B623" s="47" t="s">
        <v>1828</v>
      </c>
      <c r="C623" s="48">
        <v>42576</v>
      </c>
      <c r="D623" s="118"/>
      <c r="E623" s="91"/>
      <c r="F623" s="58" t="s">
        <v>180</v>
      </c>
      <c r="G623" s="113" t="s">
        <v>2591</v>
      </c>
    </row>
    <row r="624" spans="1:7" x14ac:dyDescent="0.2">
      <c r="A624" s="46" t="s">
        <v>1829</v>
      </c>
      <c r="B624" s="47" t="s">
        <v>1830</v>
      </c>
      <c r="C624" s="48">
        <v>45636</v>
      </c>
      <c r="D624" s="118"/>
      <c r="E624" s="91"/>
      <c r="F624" s="58" t="s">
        <v>180</v>
      </c>
      <c r="G624" s="113" t="s">
        <v>2592</v>
      </c>
    </row>
    <row r="625" spans="1:7" x14ac:dyDescent="0.2">
      <c r="A625" s="46" t="s">
        <v>1831</v>
      </c>
      <c r="B625" s="47" t="s">
        <v>1832</v>
      </c>
      <c r="C625" s="48">
        <v>49492</v>
      </c>
      <c r="D625" s="118"/>
      <c r="E625" s="91"/>
      <c r="F625" s="58" t="s">
        <v>180</v>
      </c>
      <c r="G625" s="113" t="s">
        <v>2593</v>
      </c>
    </row>
    <row r="626" spans="1:7" x14ac:dyDescent="0.2">
      <c r="A626" s="46" t="s">
        <v>2473</v>
      </c>
      <c r="B626" s="47" t="s">
        <v>2474</v>
      </c>
      <c r="C626" s="48">
        <v>65770</v>
      </c>
      <c r="D626" s="118"/>
      <c r="E626" s="91"/>
      <c r="F626" s="58" t="s">
        <v>180</v>
      </c>
      <c r="G626" s="113" t="s">
        <v>2597</v>
      </c>
    </row>
    <row r="627" spans="1:7" x14ac:dyDescent="0.2">
      <c r="A627" s="46" t="s">
        <v>1833</v>
      </c>
      <c r="B627" s="47" t="s">
        <v>1834</v>
      </c>
      <c r="C627" s="48">
        <v>65988</v>
      </c>
      <c r="D627" s="118"/>
      <c r="E627" s="91"/>
      <c r="F627" s="58" t="s">
        <v>180</v>
      </c>
      <c r="G627" s="113" t="s">
        <v>2598</v>
      </c>
    </row>
    <row r="628" spans="1:7" x14ac:dyDescent="0.2">
      <c r="A628" s="46" t="s">
        <v>1835</v>
      </c>
      <c r="B628" s="47" t="s">
        <v>1836</v>
      </c>
      <c r="C628" s="48">
        <v>55397</v>
      </c>
      <c r="D628" s="118"/>
      <c r="E628" s="91"/>
      <c r="F628" s="58" t="s">
        <v>180</v>
      </c>
      <c r="G628" s="113" t="s">
        <v>2594</v>
      </c>
    </row>
    <row r="629" spans="1:7" x14ac:dyDescent="0.2">
      <c r="A629" s="46" t="s">
        <v>1837</v>
      </c>
      <c r="B629" s="47" t="s">
        <v>1838</v>
      </c>
      <c r="C629" s="48">
        <v>58563</v>
      </c>
      <c r="D629" s="118"/>
      <c r="E629" s="91"/>
      <c r="F629" s="58" t="s">
        <v>180</v>
      </c>
      <c r="G629" s="113" t="s">
        <v>2595</v>
      </c>
    </row>
    <row r="630" spans="1:7" x14ac:dyDescent="0.2">
      <c r="A630" s="46" t="s">
        <v>1839</v>
      </c>
      <c r="B630" s="47" t="s">
        <v>1840</v>
      </c>
      <c r="C630" s="48">
        <v>66470</v>
      </c>
      <c r="D630" s="118"/>
      <c r="E630" s="91"/>
      <c r="F630" s="58" t="s">
        <v>180</v>
      </c>
      <c r="G630" s="113" t="s">
        <v>2596</v>
      </c>
    </row>
    <row r="631" spans="1:7" x14ac:dyDescent="0.2">
      <c r="A631" s="46"/>
      <c r="B631" s="47"/>
      <c r="C631" s="48"/>
      <c r="D631" s="118"/>
      <c r="E631" s="91"/>
      <c r="F631" s="58"/>
      <c r="G631" s="113"/>
    </row>
    <row r="632" spans="1:7" x14ac:dyDescent="0.2">
      <c r="A632" s="73"/>
      <c r="B632" s="73" t="s">
        <v>1841</v>
      </c>
      <c r="C632" s="119"/>
      <c r="D632" s="58"/>
      <c r="E632" s="120"/>
      <c r="F632" s="121"/>
      <c r="G632" s="121"/>
    </row>
    <row r="633" spans="1:7" x14ac:dyDescent="0.2">
      <c r="A633" s="46" t="s">
        <v>1842</v>
      </c>
      <c r="B633" s="47" t="s">
        <v>1843</v>
      </c>
      <c r="C633" s="48">
        <v>36638</v>
      </c>
      <c r="D633" s="118"/>
      <c r="E633" s="91"/>
      <c r="F633" s="58" t="s">
        <v>180</v>
      </c>
      <c r="G633" s="113" t="s">
        <v>2585</v>
      </c>
    </row>
    <row r="634" spans="1:7" x14ac:dyDescent="0.2">
      <c r="A634" s="46" t="s">
        <v>1844</v>
      </c>
      <c r="B634" s="47" t="s">
        <v>1845</v>
      </c>
      <c r="C634" s="48">
        <v>36638</v>
      </c>
      <c r="D634" s="118"/>
      <c r="E634" s="91"/>
      <c r="F634" s="58" t="s">
        <v>180</v>
      </c>
      <c r="G634" s="113" t="s">
        <v>2586</v>
      </c>
    </row>
    <row r="635" spans="1:7" x14ac:dyDescent="0.2">
      <c r="A635" s="46" t="s">
        <v>1846</v>
      </c>
      <c r="B635" s="47" t="s">
        <v>1847</v>
      </c>
      <c r="C635" s="48">
        <v>36959</v>
      </c>
      <c r="D635" s="118"/>
      <c r="E635" s="91"/>
      <c r="F635" s="58" t="s">
        <v>180</v>
      </c>
      <c r="G635" s="113" t="s">
        <v>2587</v>
      </c>
    </row>
    <row r="636" spans="1:7" x14ac:dyDescent="0.2">
      <c r="A636" s="46" t="s">
        <v>1848</v>
      </c>
      <c r="B636" s="47" t="s">
        <v>1849</v>
      </c>
      <c r="C636" s="48">
        <v>36819</v>
      </c>
      <c r="D636" s="118"/>
      <c r="E636" s="91"/>
      <c r="F636" s="58" t="s">
        <v>180</v>
      </c>
      <c r="G636" s="113" t="s">
        <v>2588</v>
      </c>
    </row>
    <row r="637" spans="1:7" x14ac:dyDescent="0.2">
      <c r="A637" s="46" t="s">
        <v>1850</v>
      </c>
      <c r="B637" s="47" t="s">
        <v>1851</v>
      </c>
      <c r="C637" s="48">
        <v>36819</v>
      </c>
      <c r="D637" s="118"/>
      <c r="E637" s="91"/>
      <c r="F637" s="58" t="s">
        <v>180</v>
      </c>
      <c r="G637" s="113" t="s">
        <v>2589</v>
      </c>
    </row>
    <row r="638" spans="1:7" x14ac:dyDescent="0.2">
      <c r="A638" s="46" t="s">
        <v>1852</v>
      </c>
      <c r="B638" s="47" t="s">
        <v>1853</v>
      </c>
      <c r="C638" s="48">
        <v>37140</v>
      </c>
      <c r="D638" s="118"/>
      <c r="E638" s="91"/>
      <c r="F638" s="58" t="s">
        <v>180</v>
      </c>
      <c r="G638" s="113" t="s">
        <v>2590</v>
      </c>
    </row>
    <row r="639" spans="1:7" x14ac:dyDescent="0.2">
      <c r="A639" s="46" t="s">
        <v>1854</v>
      </c>
      <c r="B639" s="47" t="s">
        <v>1855</v>
      </c>
      <c r="C639" s="48">
        <v>44074</v>
      </c>
      <c r="D639" s="118"/>
      <c r="E639" s="91"/>
      <c r="F639" s="58" t="s">
        <v>180</v>
      </c>
      <c r="G639" s="113" t="s">
        <v>2591</v>
      </c>
    </row>
    <row r="640" spans="1:7" x14ac:dyDescent="0.2">
      <c r="A640" s="46" t="s">
        <v>1856</v>
      </c>
      <c r="B640" s="47" t="s">
        <v>1857</v>
      </c>
      <c r="C640" s="48">
        <v>47133</v>
      </c>
      <c r="D640" s="118"/>
      <c r="E640" s="91"/>
      <c r="F640" s="58" t="s">
        <v>180</v>
      </c>
      <c r="G640" s="113" t="s">
        <v>2592</v>
      </c>
    </row>
    <row r="641" spans="1:7" x14ac:dyDescent="0.2">
      <c r="A641" s="46" t="s">
        <v>1858</v>
      </c>
      <c r="B641" s="47" t="s">
        <v>1859</v>
      </c>
      <c r="C641" s="48">
        <v>50990</v>
      </c>
      <c r="D641" s="118"/>
      <c r="E641" s="91"/>
      <c r="F641" s="58" t="s">
        <v>180</v>
      </c>
      <c r="G641" s="113" t="s">
        <v>2593</v>
      </c>
    </row>
    <row r="642" spans="1:7" x14ac:dyDescent="0.2">
      <c r="A642" s="46" t="s">
        <v>1860</v>
      </c>
      <c r="B642" s="47" t="s">
        <v>1861</v>
      </c>
      <c r="C642" s="48">
        <v>56821</v>
      </c>
      <c r="D642" s="118"/>
      <c r="E642" s="91"/>
      <c r="F642" s="58" t="s">
        <v>180</v>
      </c>
      <c r="G642" s="113" t="s">
        <v>2594</v>
      </c>
    </row>
    <row r="643" spans="1:7" x14ac:dyDescent="0.2">
      <c r="A643" s="46" t="s">
        <v>1862</v>
      </c>
      <c r="B643" s="47" t="s">
        <v>1863</v>
      </c>
      <c r="C643" s="48">
        <v>59824</v>
      </c>
      <c r="D643" s="118"/>
      <c r="E643" s="91"/>
      <c r="F643" s="58" t="s">
        <v>180</v>
      </c>
      <c r="G643" s="113" t="s">
        <v>2595</v>
      </c>
    </row>
    <row r="644" spans="1:7" x14ac:dyDescent="0.2">
      <c r="A644" s="46" t="s">
        <v>1864</v>
      </c>
      <c r="B644" s="47" t="s">
        <v>1865</v>
      </c>
      <c r="C644" s="48">
        <v>69197</v>
      </c>
      <c r="D644" s="118"/>
      <c r="E644" s="91"/>
      <c r="F644" s="58" t="s">
        <v>180</v>
      </c>
      <c r="G644" s="113" t="s">
        <v>2596</v>
      </c>
    </row>
    <row r="645" spans="1:7" x14ac:dyDescent="0.2">
      <c r="A645" s="46" t="s">
        <v>1866</v>
      </c>
      <c r="B645" s="47" t="s">
        <v>1867</v>
      </c>
      <c r="C645" s="48">
        <v>68634</v>
      </c>
      <c r="D645" s="118"/>
      <c r="E645" s="91"/>
      <c r="F645" s="58" t="s">
        <v>180</v>
      </c>
      <c r="G645" s="113" t="s">
        <v>2597</v>
      </c>
    </row>
    <row r="646" spans="1:7" x14ac:dyDescent="0.2">
      <c r="A646" s="46" t="s">
        <v>1868</v>
      </c>
      <c r="B646" s="47" t="s">
        <v>1869</v>
      </c>
      <c r="C646" s="48">
        <v>68851</v>
      </c>
      <c r="D646" s="118"/>
      <c r="E646" s="91"/>
      <c r="F646" s="58" t="s">
        <v>180</v>
      </c>
      <c r="G646" s="113" t="s">
        <v>2598</v>
      </c>
    </row>
    <row r="647" spans="1:7" x14ac:dyDescent="0.2">
      <c r="A647" s="46" t="s">
        <v>1870</v>
      </c>
      <c r="B647" s="47" t="s">
        <v>1871</v>
      </c>
      <c r="C647" s="48">
        <v>77675</v>
      </c>
      <c r="D647" s="118"/>
      <c r="E647" s="91"/>
      <c r="F647" s="58" t="s">
        <v>180</v>
      </c>
      <c r="G647" s="113" t="s">
        <v>2599</v>
      </c>
    </row>
    <row r="648" spans="1:7" x14ac:dyDescent="0.2">
      <c r="A648" s="46" t="s">
        <v>1872</v>
      </c>
      <c r="B648" s="47" t="s">
        <v>1873</v>
      </c>
      <c r="C648" s="48">
        <v>95311</v>
      </c>
      <c r="D648" s="118"/>
      <c r="E648" s="91"/>
      <c r="F648" s="58" t="s">
        <v>180</v>
      </c>
      <c r="G648" s="113" t="s">
        <v>2600</v>
      </c>
    </row>
    <row r="649" spans="1:7" x14ac:dyDescent="0.2">
      <c r="A649" s="46" t="s">
        <v>1874</v>
      </c>
      <c r="B649" s="47" t="s">
        <v>1875</v>
      </c>
      <c r="C649" s="48">
        <v>104257</v>
      </c>
      <c r="D649" s="118"/>
      <c r="E649" s="91"/>
      <c r="F649" s="58" t="s">
        <v>180</v>
      </c>
      <c r="G649" s="113" t="s">
        <v>2601</v>
      </c>
    </row>
    <row r="650" spans="1:7" x14ac:dyDescent="0.2">
      <c r="A650" s="46" t="s">
        <v>1876</v>
      </c>
      <c r="B650" s="47" t="s">
        <v>1877</v>
      </c>
      <c r="C650" s="48">
        <v>121269</v>
      </c>
      <c r="D650" s="118"/>
      <c r="E650" s="91"/>
      <c r="F650" s="58" t="s">
        <v>180</v>
      </c>
      <c r="G650" s="113" t="s">
        <v>2602</v>
      </c>
    </row>
    <row r="651" spans="1:7" x14ac:dyDescent="0.2">
      <c r="A651" s="46" t="s">
        <v>1878</v>
      </c>
      <c r="B651" s="47" t="s">
        <v>1879</v>
      </c>
      <c r="C651" s="48">
        <v>121248</v>
      </c>
      <c r="D651" s="118"/>
      <c r="E651" s="91"/>
      <c r="F651" s="58" t="s">
        <v>180</v>
      </c>
      <c r="G651" s="113" t="s">
        <v>2603</v>
      </c>
    </row>
    <row r="652" spans="1:7" x14ac:dyDescent="0.2">
      <c r="A652" s="46" t="s">
        <v>1880</v>
      </c>
      <c r="B652" s="47" t="s">
        <v>1881</v>
      </c>
      <c r="C652" s="48">
        <v>146872</v>
      </c>
      <c r="D652" s="118"/>
      <c r="E652" s="91"/>
      <c r="F652" s="58" t="s">
        <v>180</v>
      </c>
      <c r="G652" s="113" t="s">
        <v>2604</v>
      </c>
    </row>
    <row r="653" spans="1:7" x14ac:dyDescent="0.2">
      <c r="A653" s="46" t="s">
        <v>1882</v>
      </c>
      <c r="B653" s="47" t="s">
        <v>1883</v>
      </c>
      <c r="C653" s="48">
        <v>142199</v>
      </c>
      <c r="D653" s="118"/>
      <c r="E653" s="91"/>
      <c r="F653" s="58" t="s">
        <v>180</v>
      </c>
      <c r="G653" s="113" t="s">
        <v>2605</v>
      </c>
    </row>
    <row r="654" spans="1:7" x14ac:dyDescent="0.2">
      <c r="A654" s="46" t="s">
        <v>1884</v>
      </c>
      <c r="B654" s="47" t="s">
        <v>1885</v>
      </c>
      <c r="C654" s="48">
        <v>146988</v>
      </c>
      <c r="D654" s="118"/>
      <c r="E654" s="91"/>
      <c r="F654" s="58" t="s">
        <v>180</v>
      </c>
      <c r="G654" s="113" t="s">
        <v>2606</v>
      </c>
    </row>
    <row r="655" spans="1:7" x14ac:dyDescent="0.2">
      <c r="A655" s="46" t="s">
        <v>1886</v>
      </c>
      <c r="B655" s="47" t="s">
        <v>1887</v>
      </c>
      <c r="C655" s="48">
        <v>155223</v>
      </c>
      <c r="D655" s="118"/>
      <c r="E655" s="91"/>
      <c r="F655" s="58" t="s">
        <v>180</v>
      </c>
      <c r="G655" s="113" t="s">
        <v>2607</v>
      </c>
    </row>
    <row r="656" spans="1:7" x14ac:dyDescent="0.2">
      <c r="A656" s="46" t="s">
        <v>1888</v>
      </c>
      <c r="B656" s="47" t="s">
        <v>1889</v>
      </c>
      <c r="C656" s="48">
        <v>159610</v>
      </c>
      <c r="D656" s="118"/>
      <c r="E656" s="91"/>
      <c r="F656" s="58" t="s">
        <v>180</v>
      </c>
      <c r="G656" s="113" t="s">
        <v>2608</v>
      </c>
    </row>
    <row r="657" spans="1:7" x14ac:dyDescent="0.2">
      <c r="A657" s="46" t="s">
        <v>1890</v>
      </c>
      <c r="B657" s="47" t="s">
        <v>1891</v>
      </c>
      <c r="C657" s="48">
        <v>160521</v>
      </c>
      <c r="D657" s="118"/>
      <c r="E657" s="91"/>
      <c r="F657" s="58" t="s">
        <v>180</v>
      </c>
      <c r="G657" s="113" t="s">
        <v>2608</v>
      </c>
    </row>
    <row r="658" spans="1:7" x14ac:dyDescent="0.2">
      <c r="A658" s="46" t="s">
        <v>2475</v>
      </c>
      <c r="B658" s="47" t="s">
        <v>2477</v>
      </c>
      <c r="C658" s="48">
        <v>173940</v>
      </c>
      <c r="D658" s="118"/>
      <c r="E658" s="91"/>
      <c r="F658" s="58" t="s">
        <v>180</v>
      </c>
      <c r="G658" s="113" t="s">
        <v>1792</v>
      </c>
    </row>
    <row r="659" spans="1:7" x14ac:dyDescent="0.2">
      <c r="A659" s="46" t="s">
        <v>1894</v>
      </c>
      <c r="B659" s="47" t="s">
        <v>1895</v>
      </c>
      <c r="C659" s="48">
        <v>169382</v>
      </c>
      <c r="D659" s="118"/>
      <c r="E659" s="91"/>
      <c r="F659" s="58" t="s">
        <v>180</v>
      </c>
      <c r="G659" s="113" t="s">
        <v>2635</v>
      </c>
    </row>
    <row r="660" spans="1:7" x14ac:dyDescent="0.2">
      <c r="A660" s="46" t="s">
        <v>1892</v>
      </c>
      <c r="B660" s="47" t="s">
        <v>1893</v>
      </c>
      <c r="C660" s="48">
        <v>176902</v>
      </c>
      <c r="D660" s="118"/>
      <c r="E660" s="91"/>
      <c r="F660" s="58" t="s">
        <v>180</v>
      </c>
      <c r="G660" s="113" t="s">
        <v>2609</v>
      </c>
    </row>
    <row r="661" spans="1:7" x14ac:dyDescent="0.2">
      <c r="A661" s="46" t="s">
        <v>2476</v>
      </c>
      <c r="B661" s="47" t="s">
        <v>2478</v>
      </c>
      <c r="C661" s="48">
        <v>193765</v>
      </c>
      <c r="D661" s="118"/>
      <c r="E661" s="91"/>
      <c r="F661" s="58" t="s">
        <v>180</v>
      </c>
      <c r="G661" s="113" t="s">
        <v>2456</v>
      </c>
    </row>
    <row r="662" spans="1:7" x14ac:dyDescent="0.2">
      <c r="A662" s="46"/>
      <c r="B662" s="47"/>
      <c r="C662" s="48"/>
      <c r="D662" s="118"/>
      <c r="E662" s="91"/>
      <c r="F662" s="58"/>
      <c r="G662" s="113"/>
    </row>
    <row r="663" spans="1:7" x14ac:dyDescent="0.2">
      <c r="A663" s="47" t="s">
        <v>1896</v>
      </c>
      <c r="B663" s="47" t="s">
        <v>1897</v>
      </c>
      <c r="C663" s="48">
        <v>1029</v>
      </c>
      <c r="D663" s="118"/>
      <c r="E663" s="91"/>
      <c r="F663" s="58" t="s">
        <v>180</v>
      </c>
      <c r="G663" s="113" t="s">
        <v>1898</v>
      </c>
    </row>
    <row r="664" spans="1:7" x14ac:dyDescent="0.2">
      <c r="A664" s="47" t="s">
        <v>1899</v>
      </c>
      <c r="B664" s="47" t="s">
        <v>1900</v>
      </c>
      <c r="C664" s="48">
        <v>1489</v>
      </c>
      <c r="D664" s="118"/>
      <c r="E664" s="91"/>
      <c r="F664" s="58" t="s">
        <v>180</v>
      </c>
      <c r="G664" s="113" t="s">
        <v>1901</v>
      </c>
    </row>
    <row r="665" spans="1:7" x14ac:dyDescent="0.2">
      <c r="A665" s="47" t="s">
        <v>1902</v>
      </c>
      <c r="B665" s="47" t="s">
        <v>1903</v>
      </c>
      <c r="C665" s="48">
        <v>1899</v>
      </c>
      <c r="D665" s="118"/>
      <c r="E665" s="91"/>
      <c r="F665" s="58" t="s">
        <v>180</v>
      </c>
      <c r="G665" s="113" t="s">
        <v>1904</v>
      </c>
    </row>
    <row r="666" spans="1:7" x14ac:dyDescent="0.2">
      <c r="A666" s="47" t="s">
        <v>1905</v>
      </c>
      <c r="B666" s="47" t="s">
        <v>1906</v>
      </c>
      <c r="C666" s="48">
        <v>3245</v>
      </c>
      <c r="D666" s="118"/>
      <c r="E666" s="91"/>
      <c r="F666" s="58" t="s">
        <v>180</v>
      </c>
      <c r="G666" s="113" t="s">
        <v>1907</v>
      </c>
    </row>
    <row r="667" spans="1:7" x14ac:dyDescent="0.2">
      <c r="A667" s="47" t="s">
        <v>1908</v>
      </c>
      <c r="B667" s="47" t="s">
        <v>1909</v>
      </c>
      <c r="C667" s="48">
        <v>12531</v>
      </c>
      <c r="D667" s="118"/>
      <c r="E667" s="91"/>
      <c r="F667" s="58" t="s">
        <v>180</v>
      </c>
      <c r="G667" s="113" t="s">
        <v>1910</v>
      </c>
    </row>
    <row r="668" spans="1:7" x14ac:dyDescent="0.2">
      <c r="A668" s="46"/>
      <c r="B668" s="47"/>
      <c r="C668" s="48"/>
      <c r="D668" s="118"/>
      <c r="E668" s="91"/>
      <c r="F668" s="58"/>
      <c r="G668" s="113"/>
    </row>
    <row r="669" spans="1:7" x14ac:dyDescent="0.2">
      <c r="A669" s="47" t="s">
        <v>1911</v>
      </c>
      <c r="B669" s="47" t="s">
        <v>1912</v>
      </c>
      <c r="C669" s="48">
        <v>3670</v>
      </c>
      <c r="D669" s="118"/>
      <c r="E669" s="91"/>
      <c r="F669" s="58" t="s">
        <v>180</v>
      </c>
      <c r="G669" s="113" t="s">
        <v>1913</v>
      </c>
    </row>
    <row r="670" spans="1:7" x14ac:dyDescent="0.2">
      <c r="A670" s="47" t="s">
        <v>1914</v>
      </c>
      <c r="B670" s="47" t="s">
        <v>1915</v>
      </c>
      <c r="C670" s="48">
        <v>11345</v>
      </c>
      <c r="D670" s="118"/>
      <c r="E670" s="91"/>
      <c r="F670" s="58" t="s">
        <v>180</v>
      </c>
      <c r="G670" s="113" t="s">
        <v>1916</v>
      </c>
    </row>
    <row r="671" spans="1:7" x14ac:dyDescent="0.2">
      <c r="A671" s="47" t="s">
        <v>1917</v>
      </c>
      <c r="B671" s="47" t="s">
        <v>1918</v>
      </c>
      <c r="C671" s="48">
        <v>13069</v>
      </c>
      <c r="D671" s="118"/>
      <c r="E671" s="91"/>
      <c r="F671" s="58" t="s">
        <v>180</v>
      </c>
      <c r="G671" s="113" t="s">
        <v>1916</v>
      </c>
    </row>
    <row r="672" spans="1:7" x14ac:dyDescent="0.2">
      <c r="A672" s="47" t="s">
        <v>1919</v>
      </c>
      <c r="B672" s="47" t="s">
        <v>1920</v>
      </c>
      <c r="C672" s="48">
        <v>15091</v>
      </c>
      <c r="D672" s="118"/>
      <c r="E672" s="91"/>
      <c r="F672" s="58" t="s">
        <v>180</v>
      </c>
      <c r="G672" s="113" t="s">
        <v>1916</v>
      </c>
    </row>
    <row r="673" spans="1:7" x14ac:dyDescent="0.2">
      <c r="A673" s="47" t="s">
        <v>1921</v>
      </c>
      <c r="B673" s="47" t="s">
        <v>1922</v>
      </c>
      <c r="C673" s="48">
        <v>21110</v>
      </c>
      <c r="D673" s="118"/>
      <c r="E673" s="91"/>
      <c r="F673" s="58" t="s">
        <v>180</v>
      </c>
      <c r="G673" s="113" t="s">
        <v>1916</v>
      </c>
    </row>
    <row r="674" spans="1:7" x14ac:dyDescent="0.2">
      <c r="A674" s="47" t="s">
        <v>1923</v>
      </c>
      <c r="B674" s="47" t="s">
        <v>1924</v>
      </c>
      <c r="C674" s="48">
        <v>28150</v>
      </c>
      <c r="D674" s="118"/>
      <c r="E674" s="91"/>
      <c r="F674" s="58" t="s">
        <v>180</v>
      </c>
      <c r="G674" s="113" t="s">
        <v>1916</v>
      </c>
    </row>
    <row r="675" spans="1:7" x14ac:dyDescent="0.2">
      <c r="A675" s="47" t="s">
        <v>1925</v>
      </c>
      <c r="B675" s="47" t="s">
        <v>1926</v>
      </c>
      <c r="C675" s="48">
        <v>39145</v>
      </c>
      <c r="D675" s="118"/>
      <c r="E675" s="91"/>
      <c r="F675" s="58" t="s">
        <v>180</v>
      </c>
      <c r="G675" s="113" t="s">
        <v>1916</v>
      </c>
    </row>
    <row r="676" spans="1:7" x14ac:dyDescent="0.2">
      <c r="A676" s="46"/>
      <c r="B676" s="47"/>
      <c r="C676" s="48"/>
      <c r="D676" s="118"/>
      <c r="E676" s="91"/>
      <c r="F676" s="58"/>
      <c r="G676" s="113"/>
    </row>
    <row r="677" spans="1:7" x14ac:dyDescent="0.2">
      <c r="A677" s="47" t="s">
        <v>1927</v>
      </c>
      <c r="B677" s="47" t="s">
        <v>1928</v>
      </c>
      <c r="C677" s="48">
        <v>4996</v>
      </c>
      <c r="D677" s="118"/>
      <c r="E677" s="91"/>
      <c r="F677" s="58" t="s">
        <v>180</v>
      </c>
      <c r="G677" s="113" t="s">
        <v>1929</v>
      </c>
    </row>
    <row r="678" spans="1:7" x14ac:dyDescent="0.2">
      <c r="A678" s="47" t="s">
        <v>1930</v>
      </c>
      <c r="B678" s="47" t="s">
        <v>1931</v>
      </c>
      <c r="C678" s="48">
        <v>5235</v>
      </c>
      <c r="D678" s="118"/>
      <c r="E678" s="91"/>
      <c r="F678" s="58" t="s">
        <v>180</v>
      </c>
      <c r="G678" s="113" t="s">
        <v>1932</v>
      </c>
    </row>
    <row r="679" spans="1:7" x14ac:dyDescent="0.2">
      <c r="A679" s="47" t="s">
        <v>1933</v>
      </c>
      <c r="B679" s="47" t="s">
        <v>1934</v>
      </c>
      <c r="C679" s="48">
        <v>6088</v>
      </c>
      <c r="D679" s="118"/>
      <c r="E679" s="91"/>
      <c r="F679" s="58" t="s">
        <v>180</v>
      </c>
      <c r="G679" s="113" t="s">
        <v>1935</v>
      </c>
    </row>
    <row r="680" spans="1:7" x14ac:dyDescent="0.2">
      <c r="A680" s="47" t="s">
        <v>1936</v>
      </c>
      <c r="B680" s="47" t="s">
        <v>1937</v>
      </c>
      <c r="C680" s="48">
        <v>5138</v>
      </c>
      <c r="D680" s="118"/>
      <c r="E680" s="91"/>
      <c r="F680" s="58" t="s">
        <v>180</v>
      </c>
      <c r="G680" s="113" t="s">
        <v>1938</v>
      </c>
    </row>
    <row r="681" spans="1:7" x14ac:dyDescent="0.2">
      <c r="A681" s="47" t="s">
        <v>1939</v>
      </c>
      <c r="B681" s="47" t="s">
        <v>1940</v>
      </c>
      <c r="C681" s="48">
        <v>6037</v>
      </c>
      <c r="D681" s="118"/>
      <c r="E681" s="91"/>
      <c r="F681" s="58" t="s">
        <v>180</v>
      </c>
      <c r="G681" s="113" t="s">
        <v>1941</v>
      </c>
    </row>
    <row r="682" spans="1:7" x14ac:dyDescent="0.2">
      <c r="A682" s="47" t="s">
        <v>1942</v>
      </c>
      <c r="B682" s="47" t="s">
        <v>1943</v>
      </c>
      <c r="C682" s="48">
        <v>8912</v>
      </c>
      <c r="D682" s="118"/>
      <c r="E682" s="91"/>
      <c r="F682" s="58" t="s">
        <v>180</v>
      </c>
      <c r="G682" s="113" t="s">
        <v>1944</v>
      </c>
    </row>
    <row r="683" spans="1:7" x14ac:dyDescent="0.2">
      <c r="A683" s="47" t="s">
        <v>1945</v>
      </c>
      <c r="B683" s="47" t="s">
        <v>1946</v>
      </c>
      <c r="C683" s="48">
        <v>5890</v>
      </c>
      <c r="D683" s="118"/>
      <c r="E683" s="91"/>
      <c r="F683" s="58" t="s">
        <v>180</v>
      </c>
      <c r="G683" s="113" t="s">
        <v>1947</v>
      </c>
    </row>
    <row r="684" spans="1:7" x14ac:dyDescent="0.2">
      <c r="A684" s="47" t="s">
        <v>1948</v>
      </c>
      <c r="B684" s="47" t="s">
        <v>1949</v>
      </c>
      <c r="C684" s="48">
        <v>9108</v>
      </c>
      <c r="D684" s="118"/>
      <c r="E684" s="91"/>
      <c r="F684" s="58" t="s">
        <v>180</v>
      </c>
      <c r="G684" s="113" t="s">
        <v>1947</v>
      </c>
    </row>
    <row r="685" spans="1:7" x14ac:dyDescent="0.2">
      <c r="A685" s="47" t="s">
        <v>1950</v>
      </c>
      <c r="B685" s="47" t="s">
        <v>1951</v>
      </c>
      <c r="C685" s="48">
        <v>8984</v>
      </c>
      <c r="D685" s="118"/>
      <c r="E685" s="91"/>
      <c r="F685" s="58" t="s">
        <v>180</v>
      </c>
      <c r="G685" s="113" t="s">
        <v>1952</v>
      </c>
    </row>
    <row r="686" spans="1:7" x14ac:dyDescent="0.2">
      <c r="A686" s="47" t="s">
        <v>1953</v>
      </c>
      <c r="B686" s="47" t="s">
        <v>1954</v>
      </c>
      <c r="C686" s="48">
        <v>11285</v>
      </c>
      <c r="D686" s="118"/>
      <c r="E686" s="91"/>
      <c r="F686" s="58" t="s">
        <v>180</v>
      </c>
      <c r="G686" s="113" t="s">
        <v>1955</v>
      </c>
    </row>
    <row r="687" spans="1:7" x14ac:dyDescent="0.2">
      <c r="A687" s="47" t="s">
        <v>1956</v>
      </c>
      <c r="B687" s="47" t="s">
        <v>1957</v>
      </c>
      <c r="C687" s="48">
        <v>10215</v>
      </c>
      <c r="D687" s="118"/>
      <c r="E687" s="91"/>
      <c r="F687" s="58" t="s">
        <v>180</v>
      </c>
      <c r="G687" s="113" t="s">
        <v>1958</v>
      </c>
    </row>
    <row r="688" spans="1:7" x14ac:dyDescent="0.2">
      <c r="A688" s="47" t="s">
        <v>1959</v>
      </c>
      <c r="B688" s="47" t="s">
        <v>1960</v>
      </c>
      <c r="C688" s="48">
        <v>16271</v>
      </c>
      <c r="D688" s="118"/>
      <c r="E688" s="91"/>
      <c r="F688" s="58" t="s">
        <v>180</v>
      </c>
      <c r="G688" s="113" t="s">
        <v>1961</v>
      </c>
    </row>
    <row r="689" spans="1:7" x14ac:dyDescent="0.2">
      <c r="A689" s="47" t="s">
        <v>1962</v>
      </c>
      <c r="B689" s="47" t="s">
        <v>1963</v>
      </c>
      <c r="C689" s="48">
        <v>15097</v>
      </c>
      <c r="D689" s="118"/>
      <c r="E689" s="91"/>
      <c r="F689" s="58" t="s">
        <v>180</v>
      </c>
      <c r="G689" s="113" t="s">
        <v>1964</v>
      </c>
    </row>
    <row r="690" spans="1:7" x14ac:dyDescent="0.2">
      <c r="A690" s="47"/>
      <c r="B690" s="47"/>
      <c r="C690" s="48"/>
      <c r="D690" s="118"/>
      <c r="E690" s="91"/>
      <c r="F690" s="58"/>
      <c r="G690" s="113"/>
    </row>
    <row r="691" spans="1:7" x14ac:dyDescent="0.2">
      <c r="A691" s="47" t="s">
        <v>1965</v>
      </c>
      <c r="B691" s="47" t="s">
        <v>1966</v>
      </c>
      <c r="C691" s="48">
        <v>6432</v>
      </c>
      <c r="D691" s="118"/>
      <c r="E691" s="91"/>
      <c r="F691" s="58" t="s">
        <v>180</v>
      </c>
      <c r="G691" s="113" t="s">
        <v>1967</v>
      </c>
    </row>
    <row r="692" spans="1:7" x14ac:dyDescent="0.2">
      <c r="A692" s="47" t="s">
        <v>1968</v>
      </c>
      <c r="B692" s="47" t="s">
        <v>1969</v>
      </c>
      <c r="C692" s="48">
        <v>7272</v>
      </c>
      <c r="D692" s="118"/>
      <c r="E692" s="91"/>
      <c r="F692" s="58" t="s">
        <v>180</v>
      </c>
      <c r="G692" s="113" t="s">
        <v>1970</v>
      </c>
    </row>
    <row r="693" spans="1:7" x14ac:dyDescent="0.2">
      <c r="A693" s="47" t="s">
        <v>1971</v>
      </c>
      <c r="B693" s="47" t="s">
        <v>1972</v>
      </c>
      <c r="C693" s="48">
        <v>9061</v>
      </c>
      <c r="D693" s="118"/>
      <c r="E693" s="91"/>
      <c r="F693" s="58" t="s">
        <v>180</v>
      </c>
      <c r="G693" s="113" t="s">
        <v>1973</v>
      </c>
    </row>
    <row r="694" spans="1:7" x14ac:dyDescent="0.2">
      <c r="A694" s="47" t="s">
        <v>1974</v>
      </c>
      <c r="B694" s="47" t="s">
        <v>1975</v>
      </c>
      <c r="C694" s="48">
        <v>7175</v>
      </c>
      <c r="D694" s="118"/>
      <c r="E694" s="91"/>
      <c r="F694" s="58" t="s">
        <v>180</v>
      </c>
      <c r="G694" s="113" t="s">
        <v>1976</v>
      </c>
    </row>
    <row r="695" spans="1:7" x14ac:dyDescent="0.2">
      <c r="A695" s="47" t="s">
        <v>1977</v>
      </c>
      <c r="B695" s="47" t="s">
        <v>1978</v>
      </c>
      <c r="C695" s="48">
        <v>9010</v>
      </c>
      <c r="D695" s="118"/>
      <c r="E695" s="91"/>
      <c r="F695" s="58" t="s">
        <v>180</v>
      </c>
      <c r="G695" s="113" t="s">
        <v>1979</v>
      </c>
    </row>
    <row r="696" spans="1:7" x14ac:dyDescent="0.2">
      <c r="A696" s="47" t="s">
        <v>1980</v>
      </c>
      <c r="B696" s="47" t="s">
        <v>1981</v>
      </c>
      <c r="C696" s="48">
        <v>11780</v>
      </c>
      <c r="D696" s="118"/>
      <c r="E696" s="91"/>
      <c r="F696" s="58" t="s">
        <v>180</v>
      </c>
      <c r="G696" s="113" t="s">
        <v>1982</v>
      </c>
    </row>
    <row r="697" spans="1:7" x14ac:dyDescent="0.2">
      <c r="A697" s="47" t="s">
        <v>1983</v>
      </c>
      <c r="B697" s="47" t="s">
        <v>1984</v>
      </c>
      <c r="C697" s="48">
        <v>8862</v>
      </c>
      <c r="D697" s="118"/>
      <c r="E697" s="91"/>
      <c r="F697" s="58" t="s">
        <v>180</v>
      </c>
      <c r="G697" s="113" t="s">
        <v>1985</v>
      </c>
    </row>
    <row r="698" spans="1:7" x14ac:dyDescent="0.2">
      <c r="A698" s="47" t="s">
        <v>1986</v>
      </c>
      <c r="B698" s="47" t="s">
        <v>1987</v>
      </c>
      <c r="C698" s="48">
        <v>11976</v>
      </c>
      <c r="D698" s="118"/>
      <c r="E698" s="91"/>
      <c r="F698" s="58" t="s">
        <v>180</v>
      </c>
      <c r="G698" s="113" t="s">
        <v>1988</v>
      </c>
    </row>
    <row r="699" spans="1:7" x14ac:dyDescent="0.2">
      <c r="A699" s="47" t="s">
        <v>1989</v>
      </c>
      <c r="B699" s="47" t="s">
        <v>1990</v>
      </c>
      <c r="C699" s="48">
        <v>11853</v>
      </c>
      <c r="D699" s="118"/>
      <c r="E699" s="91"/>
      <c r="F699" s="58" t="s">
        <v>180</v>
      </c>
      <c r="G699" s="113" t="s">
        <v>1991</v>
      </c>
    </row>
    <row r="700" spans="1:7" x14ac:dyDescent="0.2">
      <c r="A700" s="47" t="s">
        <v>1992</v>
      </c>
      <c r="B700" s="47" t="s">
        <v>1993</v>
      </c>
      <c r="C700" s="48">
        <v>15068</v>
      </c>
      <c r="D700" s="118"/>
      <c r="E700" s="91"/>
      <c r="F700" s="58" t="s">
        <v>180</v>
      </c>
      <c r="G700" s="113" t="s">
        <v>1994</v>
      </c>
    </row>
    <row r="701" spans="1:7" x14ac:dyDescent="0.2">
      <c r="A701" s="47" t="s">
        <v>1995</v>
      </c>
      <c r="B701" s="47" t="s">
        <v>1996</v>
      </c>
      <c r="C701" s="48">
        <v>13998</v>
      </c>
      <c r="D701" s="118"/>
      <c r="E701" s="91"/>
      <c r="F701" s="58" t="s">
        <v>180</v>
      </c>
      <c r="G701" s="113" t="s">
        <v>1997</v>
      </c>
    </row>
    <row r="702" spans="1:7" x14ac:dyDescent="0.2">
      <c r="A702" s="47" t="s">
        <v>1998</v>
      </c>
      <c r="B702" s="47" t="s">
        <v>1999</v>
      </c>
      <c r="C702" s="48">
        <v>19892</v>
      </c>
      <c r="D702" s="118"/>
      <c r="E702" s="91"/>
      <c r="F702" s="58" t="s">
        <v>180</v>
      </c>
      <c r="G702" s="113" t="s">
        <v>2000</v>
      </c>
    </row>
    <row r="703" spans="1:7" x14ac:dyDescent="0.2">
      <c r="A703" s="47" t="s">
        <v>2001</v>
      </c>
      <c r="B703" s="47" t="s">
        <v>2002</v>
      </c>
      <c r="C703" s="48">
        <v>18717</v>
      </c>
      <c r="D703" s="118"/>
      <c r="E703" s="91"/>
      <c r="F703" s="58" t="s">
        <v>180</v>
      </c>
      <c r="G703" s="113" t="s">
        <v>2003</v>
      </c>
    </row>
    <row r="704" spans="1:7" x14ac:dyDescent="0.2">
      <c r="A704" s="47"/>
      <c r="B704" s="47"/>
      <c r="C704" s="48"/>
      <c r="D704" s="118"/>
      <c r="E704" s="91"/>
      <c r="F704" s="58"/>
      <c r="G704" s="113"/>
    </row>
    <row r="705" spans="1:7" x14ac:dyDescent="0.2">
      <c r="A705" s="47" t="s">
        <v>2004</v>
      </c>
      <c r="B705" s="47" t="s">
        <v>2005</v>
      </c>
      <c r="C705" s="48">
        <v>10059</v>
      </c>
      <c r="D705" s="118"/>
      <c r="E705" s="91"/>
      <c r="F705" s="58" t="s">
        <v>180</v>
      </c>
      <c r="G705" s="113" t="s">
        <v>2006</v>
      </c>
    </row>
    <row r="706" spans="1:7" x14ac:dyDescent="0.2">
      <c r="A706" s="47" t="s">
        <v>2007</v>
      </c>
      <c r="B706" s="47" t="s">
        <v>2008</v>
      </c>
      <c r="C706" s="48">
        <v>10616</v>
      </c>
      <c r="D706" s="118"/>
      <c r="E706" s="91"/>
      <c r="F706" s="58" t="s">
        <v>180</v>
      </c>
      <c r="G706" s="113" t="s">
        <v>2009</v>
      </c>
    </row>
    <row r="707" spans="1:7" x14ac:dyDescent="0.2">
      <c r="A707" s="47" t="s">
        <v>2010</v>
      </c>
      <c r="B707" s="47" t="s">
        <v>2011</v>
      </c>
      <c r="C707" s="48">
        <v>12204</v>
      </c>
      <c r="D707" s="118"/>
      <c r="E707" s="91"/>
      <c r="F707" s="58" t="s">
        <v>180</v>
      </c>
      <c r="G707" s="113" t="s">
        <v>2012</v>
      </c>
    </row>
    <row r="708" spans="1:7" x14ac:dyDescent="0.2">
      <c r="A708" s="47" t="s">
        <v>2013</v>
      </c>
      <c r="B708" s="47" t="s">
        <v>2014</v>
      </c>
      <c r="C708" s="48">
        <v>13937</v>
      </c>
      <c r="D708" s="118"/>
      <c r="E708" s="91"/>
      <c r="F708" s="58" t="s">
        <v>180</v>
      </c>
      <c r="G708" s="113" t="s">
        <v>2015</v>
      </c>
    </row>
    <row r="709" spans="1:7" x14ac:dyDescent="0.2">
      <c r="A709" s="47" t="s">
        <v>2016</v>
      </c>
      <c r="B709" s="47" t="s">
        <v>2017</v>
      </c>
      <c r="C709" s="48">
        <v>16692</v>
      </c>
      <c r="D709" s="118"/>
      <c r="E709" s="91"/>
      <c r="F709" s="58" t="s">
        <v>180</v>
      </c>
      <c r="G709" s="113" t="s">
        <v>2018</v>
      </c>
    </row>
    <row r="711" spans="1:7" x14ac:dyDescent="0.2">
      <c r="A711" s="47" t="s">
        <v>2479</v>
      </c>
      <c r="B711" s="47" t="s">
        <v>2480</v>
      </c>
      <c r="C711" s="37">
        <v>18165</v>
      </c>
    </row>
    <row r="712" spans="1:7" x14ac:dyDescent="0.2">
      <c r="A712" s="47" t="s">
        <v>2481</v>
      </c>
      <c r="B712" s="47" t="s">
        <v>2482</v>
      </c>
      <c r="C712" s="37">
        <v>19110</v>
      </c>
    </row>
    <row r="713" spans="1:7" x14ac:dyDescent="0.2">
      <c r="A713" s="47" t="s">
        <v>2483</v>
      </c>
      <c r="B713" s="47" t="s">
        <v>2484</v>
      </c>
      <c r="C713" s="37">
        <v>21509</v>
      </c>
    </row>
    <row r="714" spans="1:7" x14ac:dyDescent="0.2">
      <c r="A714" s="47" t="s">
        <v>2485</v>
      </c>
      <c r="B714" s="47" t="s">
        <v>2486</v>
      </c>
      <c r="C714" s="37">
        <v>23865</v>
      </c>
    </row>
    <row r="715" spans="1:7" x14ac:dyDescent="0.2">
      <c r="A715" s="47" t="s">
        <v>2487</v>
      </c>
      <c r="B715" s="47" t="s">
        <v>2488</v>
      </c>
      <c r="C715" s="37">
        <v>28381</v>
      </c>
    </row>
  </sheetData>
  <mergeCells count="2">
    <mergeCell ref="A2:A3"/>
    <mergeCell ref="G2:G3"/>
  </mergeCells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54"/>
  <sheetViews>
    <sheetView workbookViewId="0">
      <selection activeCell="A18" sqref="A18"/>
    </sheetView>
  </sheetViews>
  <sheetFormatPr defaultColWidth="9.140625" defaultRowHeight="15" x14ac:dyDescent="0.25"/>
  <cols>
    <col min="1" max="1" width="30.140625" customWidth="1"/>
    <col min="2" max="2" width="77.5703125" customWidth="1"/>
    <col min="3" max="3" width="12.42578125" customWidth="1"/>
    <col min="4" max="4" width="15.42578125" customWidth="1"/>
    <col min="5" max="5" width="8.85546875" customWidth="1"/>
    <col min="6" max="6" width="23.42578125" customWidth="1"/>
    <col min="7" max="7" width="131.7109375" customWidth="1"/>
  </cols>
  <sheetData>
    <row r="1" spans="1:7" s="45" customFormat="1" x14ac:dyDescent="0.25">
      <c r="A1" s="64"/>
      <c r="B1" s="64" t="s">
        <v>1197</v>
      </c>
      <c r="C1" s="64"/>
      <c r="D1" s="65"/>
      <c r="E1" s="64"/>
      <c r="F1" s="64"/>
      <c r="G1" s="64"/>
    </row>
    <row r="2" spans="1:7" s="37" customFormat="1" ht="14.25" x14ac:dyDescent="0.2">
      <c r="A2" s="46" t="s">
        <v>1259</v>
      </c>
      <c r="B2" s="47" t="s">
        <v>1260</v>
      </c>
      <c r="C2" s="96">
        <v>7535</v>
      </c>
      <c r="D2" s="99" t="s">
        <v>1261</v>
      </c>
      <c r="E2" s="100">
        <v>1.1000000000000001</v>
      </c>
      <c r="F2" s="101" t="s">
        <v>1262</v>
      </c>
      <c r="G2" s="102" t="s">
        <v>1263</v>
      </c>
    </row>
    <row r="3" spans="1:7" s="37" customFormat="1" ht="14.25" x14ac:dyDescent="0.2">
      <c r="A3" s="46" t="s">
        <v>1264</v>
      </c>
      <c r="B3" s="47" t="s">
        <v>1265</v>
      </c>
      <c r="C3" s="96">
        <v>7866</v>
      </c>
      <c r="D3" s="99" t="s">
        <v>1261</v>
      </c>
      <c r="E3" s="100">
        <v>1.1000000000000001</v>
      </c>
      <c r="F3" s="101" t="s">
        <v>1262</v>
      </c>
      <c r="G3" s="102" t="s">
        <v>1263</v>
      </c>
    </row>
    <row r="4" spans="1:7" s="37" customFormat="1" ht="14.25" x14ac:dyDescent="0.2">
      <c r="A4" s="46" t="s">
        <v>1266</v>
      </c>
      <c r="B4" s="47" t="s">
        <v>1267</v>
      </c>
      <c r="C4" s="96">
        <v>9201</v>
      </c>
      <c r="D4" s="99" t="s">
        <v>1261</v>
      </c>
      <c r="E4" s="100">
        <v>1.1000000000000001</v>
      </c>
      <c r="F4" s="101" t="s">
        <v>1262</v>
      </c>
      <c r="G4" s="102" t="s">
        <v>1263</v>
      </c>
    </row>
    <row r="5" spans="1:7" s="37" customFormat="1" ht="14.25" x14ac:dyDescent="0.2">
      <c r="A5" s="46" t="s">
        <v>1268</v>
      </c>
      <c r="B5" s="47" t="s">
        <v>1269</v>
      </c>
      <c r="C5" s="96">
        <v>11216</v>
      </c>
      <c r="D5" s="99" t="s">
        <v>1270</v>
      </c>
      <c r="E5" s="100">
        <v>1.6</v>
      </c>
      <c r="F5" s="101" t="s">
        <v>1262</v>
      </c>
      <c r="G5" s="102" t="s">
        <v>1263</v>
      </c>
    </row>
    <row r="6" spans="1:7" s="37" customFormat="1" ht="14.25" x14ac:dyDescent="0.2">
      <c r="A6" s="46" t="s">
        <v>1271</v>
      </c>
      <c r="B6" s="47" t="s">
        <v>1272</v>
      </c>
      <c r="C6" s="96">
        <v>15059</v>
      </c>
      <c r="D6" s="99" t="s">
        <v>1273</v>
      </c>
      <c r="E6" s="100">
        <v>3</v>
      </c>
      <c r="F6" s="101" t="s">
        <v>1262</v>
      </c>
      <c r="G6" s="102" t="s">
        <v>1263</v>
      </c>
    </row>
    <row r="7" spans="1:7" s="37" customFormat="1" ht="14.25" x14ac:dyDescent="0.2">
      <c r="A7" s="46" t="s">
        <v>1274</v>
      </c>
      <c r="B7" s="47" t="s">
        <v>1275</v>
      </c>
      <c r="C7" s="96">
        <v>12114</v>
      </c>
      <c r="D7" s="99" t="s">
        <v>1261</v>
      </c>
      <c r="E7" s="100">
        <v>1.1000000000000001</v>
      </c>
      <c r="F7" s="101" t="s">
        <v>1262</v>
      </c>
      <c r="G7" s="102" t="s">
        <v>1276</v>
      </c>
    </row>
    <row r="8" spans="1:7" s="37" customFormat="1" ht="14.25" x14ac:dyDescent="0.2">
      <c r="A8" s="46" t="s">
        <v>1277</v>
      </c>
      <c r="B8" s="47" t="s">
        <v>1278</v>
      </c>
      <c r="C8" s="96">
        <v>13502</v>
      </c>
      <c r="D8" s="103" t="s">
        <v>1261</v>
      </c>
      <c r="E8" s="104">
        <v>1.1000000000000001</v>
      </c>
      <c r="F8" s="101" t="s">
        <v>1262</v>
      </c>
      <c r="G8" s="102" t="s">
        <v>1276</v>
      </c>
    </row>
    <row r="9" spans="1:7" s="37" customFormat="1" ht="14.25" x14ac:dyDescent="0.2">
      <c r="A9" s="46" t="s">
        <v>1279</v>
      </c>
      <c r="B9" s="47" t="s">
        <v>1280</v>
      </c>
      <c r="C9" s="96">
        <v>15999</v>
      </c>
      <c r="D9" s="103" t="s">
        <v>1270</v>
      </c>
      <c r="E9" s="104">
        <v>1.6</v>
      </c>
      <c r="F9" s="101" t="s">
        <v>1262</v>
      </c>
      <c r="G9" s="102" t="s">
        <v>1276</v>
      </c>
    </row>
    <row r="10" spans="1:7" s="37" customFormat="1" ht="14.25" x14ac:dyDescent="0.2">
      <c r="A10" s="46" t="s">
        <v>1281</v>
      </c>
      <c r="B10" s="47" t="s">
        <v>1282</v>
      </c>
      <c r="C10" s="96">
        <v>15855</v>
      </c>
      <c r="D10" s="103" t="s">
        <v>1270</v>
      </c>
      <c r="E10" s="104">
        <v>1.6</v>
      </c>
      <c r="F10" s="101" t="s">
        <v>1262</v>
      </c>
      <c r="G10" s="102" t="s">
        <v>1276</v>
      </c>
    </row>
    <row r="11" spans="1:7" s="37" customFormat="1" ht="14.25" x14ac:dyDescent="0.2">
      <c r="A11" s="46" t="s">
        <v>1283</v>
      </c>
      <c r="B11" s="47" t="s">
        <v>1284</v>
      </c>
      <c r="C11" s="96">
        <v>18016</v>
      </c>
      <c r="D11" s="99" t="s">
        <v>1273</v>
      </c>
      <c r="E11" s="100">
        <v>3</v>
      </c>
      <c r="F11" s="101" t="s">
        <v>1262</v>
      </c>
      <c r="G11" s="102" t="s">
        <v>1276</v>
      </c>
    </row>
    <row r="12" spans="1:7" s="37" customFormat="1" ht="14.25" x14ac:dyDescent="0.2">
      <c r="A12" s="46" t="s">
        <v>1285</v>
      </c>
      <c r="B12" s="47" t="s">
        <v>1286</v>
      </c>
      <c r="C12" s="96">
        <v>21044</v>
      </c>
      <c r="D12" s="99" t="s">
        <v>1273</v>
      </c>
      <c r="E12" s="100">
        <v>3</v>
      </c>
      <c r="F12" s="101" t="s">
        <v>1262</v>
      </c>
      <c r="G12" s="102" t="s">
        <v>1276</v>
      </c>
    </row>
    <row r="13" spans="1:7" s="37" customFormat="1" ht="14.25" x14ac:dyDescent="0.2">
      <c r="A13" s="46" t="s">
        <v>1287</v>
      </c>
      <c r="B13" s="47" t="s">
        <v>1288</v>
      </c>
      <c r="C13" s="96">
        <v>26643</v>
      </c>
      <c r="D13" s="99" t="s">
        <v>1273</v>
      </c>
      <c r="E13" s="100">
        <v>3</v>
      </c>
      <c r="F13" s="101" t="s">
        <v>1262</v>
      </c>
      <c r="G13" s="102" t="s">
        <v>1276</v>
      </c>
    </row>
    <row r="14" spans="1:7" s="37" customFormat="1" ht="14.25" x14ac:dyDescent="0.2">
      <c r="A14" s="46" t="s">
        <v>1289</v>
      </c>
      <c r="B14" s="47" t="s">
        <v>1290</v>
      </c>
      <c r="C14" s="96">
        <v>31998</v>
      </c>
      <c r="D14" s="99" t="s">
        <v>1273</v>
      </c>
      <c r="E14" s="100">
        <v>3</v>
      </c>
      <c r="F14" s="101" t="s">
        <v>1262</v>
      </c>
      <c r="G14" s="102" t="s">
        <v>1276</v>
      </c>
    </row>
    <row r="15" spans="1:7" s="37" customFormat="1" ht="14.25" x14ac:dyDescent="0.2">
      <c r="A15" s="46" t="s">
        <v>1291</v>
      </c>
      <c r="B15" s="47" t="s">
        <v>1292</v>
      </c>
      <c r="C15" s="96">
        <v>44316</v>
      </c>
      <c r="D15" s="99" t="s">
        <v>1293</v>
      </c>
      <c r="E15" s="100">
        <v>6</v>
      </c>
      <c r="F15" s="101" t="s">
        <v>1262</v>
      </c>
      <c r="G15" s="102" t="s">
        <v>1276</v>
      </c>
    </row>
    <row r="16" spans="1:7" s="37" customFormat="1" ht="14.25" x14ac:dyDescent="0.2">
      <c r="A16" s="46" t="s">
        <v>1294</v>
      </c>
      <c r="B16" s="47" t="s">
        <v>1295</v>
      </c>
      <c r="C16" s="96">
        <v>53438</v>
      </c>
      <c r="D16" s="99" t="s">
        <v>1293</v>
      </c>
      <c r="E16" s="100">
        <v>6</v>
      </c>
      <c r="F16" s="101" t="s">
        <v>1262</v>
      </c>
      <c r="G16" s="102" t="s">
        <v>1276</v>
      </c>
    </row>
    <row r="17" spans="1:7" s="37" customFormat="1" ht="14.25" x14ac:dyDescent="0.2">
      <c r="A17" s="46" t="s">
        <v>1296</v>
      </c>
      <c r="B17" s="47" t="s">
        <v>2437</v>
      </c>
      <c r="C17" s="96">
        <v>62008</v>
      </c>
      <c r="D17" s="99" t="s">
        <v>1298</v>
      </c>
      <c r="E17" s="100">
        <v>9.5</v>
      </c>
      <c r="F17" s="101" t="s">
        <v>1262</v>
      </c>
      <c r="G17" s="102" t="s">
        <v>1276</v>
      </c>
    </row>
    <row r="18" spans="1:7" s="37" customFormat="1" ht="14.25" x14ac:dyDescent="0.2">
      <c r="A18" s="46" t="s">
        <v>1299</v>
      </c>
      <c r="B18" s="47" t="s">
        <v>1300</v>
      </c>
      <c r="C18" s="96">
        <v>86243</v>
      </c>
      <c r="D18" s="99" t="s">
        <v>1298</v>
      </c>
      <c r="E18" s="100">
        <v>9.5</v>
      </c>
      <c r="F18" s="101" t="s">
        <v>1262</v>
      </c>
      <c r="G18" s="102" t="s">
        <v>1276</v>
      </c>
    </row>
    <row r="19" spans="1:7" s="37" customFormat="1" ht="14.25" x14ac:dyDescent="0.2">
      <c r="A19" s="46" t="s">
        <v>1301</v>
      </c>
      <c r="B19" s="47" t="s">
        <v>1302</v>
      </c>
      <c r="C19" s="96">
        <v>1219</v>
      </c>
      <c r="D19" s="99" t="s">
        <v>1303</v>
      </c>
      <c r="E19" s="100">
        <v>0.2</v>
      </c>
      <c r="F19" s="101" t="s">
        <v>1262</v>
      </c>
      <c r="G19" s="102"/>
    </row>
    <row r="20" spans="1:7" s="37" customFormat="1" ht="14.25" x14ac:dyDescent="0.2">
      <c r="A20" s="46" t="s">
        <v>1304</v>
      </c>
      <c r="B20" s="47" t="s">
        <v>1305</v>
      </c>
      <c r="C20" s="96">
        <v>1688</v>
      </c>
      <c r="D20" s="99" t="s">
        <v>1303</v>
      </c>
      <c r="E20" s="100">
        <v>0.3</v>
      </c>
      <c r="F20" s="101" t="s">
        <v>1262</v>
      </c>
      <c r="G20" s="102"/>
    </row>
    <row r="21" spans="1:7" s="37" customFormat="1" ht="14.25" x14ac:dyDescent="0.2">
      <c r="A21" s="46"/>
      <c r="B21" s="47"/>
      <c r="C21" s="96"/>
      <c r="D21" s="99"/>
      <c r="E21" s="100"/>
      <c r="F21" s="101"/>
      <c r="G21" s="102"/>
    </row>
    <row r="22" spans="1:7" s="37" customFormat="1" ht="14.25" x14ac:dyDescent="0.2">
      <c r="A22" s="46" t="s">
        <v>1306</v>
      </c>
      <c r="B22" s="105" t="s">
        <v>2063</v>
      </c>
      <c r="C22" s="106">
        <v>10120</v>
      </c>
      <c r="D22" s="54" t="s">
        <v>1308</v>
      </c>
      <c r="E22" s="80">
        <v>0.7</v>
      </c>
      <c r="F22" s="51" t="s">
        <v>1201</v>
      </c>
      <c r="G22" s="52" t="s">
        <v>1220</v>
      </c>
    </row>
    <row r="23" spans="1:7" s="37" customFormat="1" ht="14.25" x14ac:dyDescent="0.2">
      <c r="A23" s="107" t="s">
        <v>1309</v>
      </c>
      <c r="B23" s="105" t="s">
        <v>2064</v>
      </c>
      <c r="C23" s="106">
        <v>11350</v>
      </c>
      <c r="D23" s="54" t="s">
        <v>1308</v>
      </c>
      <c r="E23" s="80">
        <v>1</v>
      </c>
      <c r="F23" s="51" t="s">
        <v>1201</v>
      </c>
      <c r="G23" s="52" t="s">
        <v>1220</v>
      </c>
    </row>
    <row r="24" spans="1:7" s="37" customFormat="1" ht="14.25" x14ac:dyDescent="0.2">
      <c r="A24" s="107" t="s">
        <v>1311</v>
      </c>
      <c r="B24" s="105" t="s">
        <v>2065</v>
      </c>
      <c r="C24" s="108">
        <v>14260</v>
      </c>
      <c r="D24" s="49" t="s">
        <v>1313</v>
      </c>
      <c r="E24" s="80">
        <v>1.4</v>
      </c>
      <c r="F24" s="51" t="s">
        <v>1201</v>
      </c>
      <c r="G24" s="52" t="s">
        <v>1220</v>
      </c>
    </row>
    <row r="25" spans="1:7" s="37" customFormat="1" ht="14.25" x14ac:dyDescent="0.2">
      <c r="A25" s="107" t="s">
        <v>1314</v>
      </c>
      <c r="B25" s="105" t="s">
        <v>2066</v>
      </c>
      <c r="C25" s="108">
        <v>15240</v>
      </c>
      <c r="D25" s="49" t="s">
        <v>1313</v>
      </c>
      <c r="E25" s="80">
        <v>1.4</v>
      </c>
      <c r="F25" s="51" t="s">
        <v>1201</v>
      </c>
      <c r="G25" s="52" t="s">
        <v>1220</v>
      </c>
    </row>
    <row r="26" spans="1:7" s="37" customFormat="1" ht="14.25" x14ac:dyDescent="0.2">
      <c r="A26" s="107" t="s">
        <v>1316</v>
      </c>
      <c r="B26" s="105" t="s">
        <v>2067</v>
      </c>
      <c r="C26" s="108">
        <v>17410</v>
      </c>
      <c r="D26" s="49" t="s">
        <v>1318</v>
      </c>
      <c r="E26" s="80">
        <v>2.2000000000000002</v>
      </c>
      <c r="F26" s="51" t="s">
        <v>1201</v>
      </c>
      <c r="G26" s="52" t="s">
        <v>1220</v>
      </c>
    </row>
    <row r="27" spans="1:7" s="37" customFormat="1" ht="14.25" x14ac:dyDescent="0.2">
      <c r="A27" s="107" t="s">
        <v>1319</v>
      </c>
      <c r="B27" s="105" t="s">
        <v>2068</v>
      </c>
      <c r="C27" s="108">
        <v>19500</v>
      </c>
      <c r="D27" s="49" t="s">
        <v>1318</v>
      </c>
      <c r="E27" s="80">
        <v>2.2000000000000002</v>
      </c>
      <c r="F27" s="51" t="s">
        <v>1201</v>
      </c>
      <c r="G27" s="52" t="s">
        <v>1220</v>
      </c>
    </row>
    <row r="28" spans="1:7" s="37" customFormat="1" ht="14.25" x14ac:dyDescent="0.2">
      <c r="A28" s="107" t="s">
        <v>1321</v>
      </c>
      <c r="B28" s="105" t="s">
        <v>2069</v>
      </c>
      <c r="C28" s="108">
        <v>23870</v>
      </c>
      <c r="D28" s="49" t="s">
        <v>1318</v>
      </c>
      <c r="E28" s="80">
        <v>2.2999999999999998</v>
      </c>
      <c r="F28" s="51" t="s">
        <v>1201</v>
      </c>
      <c r="G28" s="52" t="s">
        <v>1220</v>
      </c>
    </row>
    <row r="29" spans="1:7" s="37" customFormat="1" ht="14.25" x14ac:dyDescent="0.2">
      <c r="A29" s="107" t="s">
        <v>1323</v>
      </c>
      <c r="B29" s="105" t="s">
        <v>2070</v>
      </c>
      <c r="C29" s="108">
        <v>27900</v>
      </c>
      <c r="D29" s="49" t="s">
        <v>1325</v>
      </c>
      <c r="E29" s="80">
        <v>4.0999999999999996</v>
      </c>
      <c r="F29" s="51" t="s">
        <v>1201</v>
      </c>
      <c r="G29" s="52" t="s">
        <v>1220</v>
      </c>
    </row>
    <row r="30" spans="1:7" s="37" customFormat="1" ht="14.25" x14ac:dyDescent="0.2">
      <c r="A30" s="107" t="s">
        <v>1326</v>
      </c>
      <c r="B30" s="105" t="s">
        <v>2071</v>
      </c>
      <c r="C30" s="108">
        <v>35840</v>
      </c>
      <c r="D30" s="49" t="s">
        <v>1325</v>
      </c>
      <c r="E30" s="80">
        <v>4.2</v>
      </c>
      <c r="F30" s="51" t="s">
        <v>1201</v>
      </c>
      <c r="G30" s="52" t="s">
        <v>1220</v>
      </c>
    </row>
    <row r="31" spans="1:7" s="37" customFormat="1" ht="14.25" x14ac:dyDescent="0.2">
      <c r="A31" s="46"/>
      <c r="B31" s="47"/>
      <c r="C31" s="96"/>
      <c r="D31" s="99"/>
      <c r="E31" s="100"/>
      <c r="F31" s="101"/>
      <c r="G31" s="102"/>
    </row>
    <row r="32" spans="1:7" s="37" customFormat="1" ht="14.25" x14ac:dyDescent="0.2">
      <c r="A32" s="97" t="s">
        <v>1217</v>
      </c>
      <c r="B32" s="47" t="s">
        <v>1218</v>
      </c>
      <c r="C32" s="96">
        <v>16675</v>
      </c>
      <c r="D32" s="54" t="s">
        <v>1219</v>
      </c>
      <c r="E32" s="81">
        <v>1.94</v>
      </c>
      <c r="F32" s="51" t="s">
        <v>1201</v>
      </c>
      <c r="G32" s="52" t="s">
        <v>1220</v>
      </c>
    </row>
    <row r="33" spans="1:7" s="37" customFormat="1" ht="14.25" x14ac:dyDescent="0.2">
      <c r="A33" s="46" t="s">
        <v>1221</v>
      </c>
      <c r="B33" s="47" t="s">
        <v>1222</v>
      </c>
      <c r="C33" s="96">
        <v>18748</v>
      </c>
      <c r="D33" s="54" t="s">
        <v>1219</v>
      </c>
      <c r="E33" s="80">
        <v>1.94</v>
      </c>
      <c r="F33" s="51" t="s">
        <v>1201</v>
      </c>
      <c r="G33" s="52" t="s">
        <v>1223</v>
      </c>
    </row>
    <row r="34" spans="1:7" s="37" customFormat="1" ht="14.25" x14ac:dyDescent="0.2">
      <c r="A34" s="46" t="s">
        <v>1224</v>
      </c>
      <c r="B34" s="47" t="s">
        <v>1225</v>
      </c>
      <c r="C34" s="96">
        <v>20306</v>
      </c>
      <c r="D34" s="54" t="s">
        <v>1219</v>
      </c>
      <c r="E34" s="81">
        <v>1.95</v>
      </c>
      <c r="F34" s="51" t="s">
        <v>1201</v>
      </c>
      <c r="G34" s="52" t="s">
        <v>1223</v>
      </c>
    </row>
    <row r="35" spans="1:7" s="37" customFormat="1" ht="14.25" x14ac:dyDescent="0.2">
      <c r="A35" s="46" t="s">
        <v>1226</v>
      </c>
      <c r="B35" s="47" t="s">
        <v>1227</v>
      </c>
      <c r="C35" s="96">
        <v>23172</v>
      </c>
      <c r="D35" s="54" t="s">
        <v>1228</v>
      </c>
      <c r="E35" s="80">
        <v>3.04</v>
      </c>
      <c r="F35" s="51" t="s">
        <v>1201</v>
      </c>
      <c r="G35" s="52" t="s">
        <v>1223</v>
      </c>
    </row>
    <row r="36" spans="1:7" s="37" customFormat="1" ht="14.25" x14ac:dyDescent="0.2">
      <c r="A36" s="46" t="s">
        <v>1229</v>
      </c>
      <c r="B36" s="47" t="s">
        <v>1230</v>
      </c>
      <c r="C36" s="96">
        <v>25571</v>
      </c>
      <c r="D36" s="54" t="s">
        <v>1228</v>
      </c>
      <c r="E36" s="80">
        <v>3.06</v>
      </c>
      <c r="F36" s="51" t="s">
        <v>1201</v>
      </c>
      <c r="G36" s="52" t="s">
        <v>1223</v>
      </c>
    </row>
    <row r="37" spans="1:7" s="37" customFormat="1" ht="14.25" x14ac:dyDescent="0.2">
      <c r="A37" s="46" t="s">
        <v>1231</v>
      </c>
      <c r="B37" s="47" t="s">
        <v>1232</v>
      </c>
      <c r="C37" s="96">
        <v>31457</v>
      </c>
      <c r="D37" s="54" t="s">
        <v>1228</v>
      </c>
      <c r="E37" s="80">
        <v>3.04</v>
      </c>
      <c r="F37" s="51" t="s">
        <v>1201</v>
      </c>
      <c r="G37" s="52" t="s">
        <v>1223</v>
      </c>
    </row>
    <row r="38" spans="1:7" s="37" customFormat="1" ht="14.25" x14ac:dyDescent="0.2">
      <c r="A38" s="46" t="s">
        <v>1233</v>
      </c>
      <c r="B38" s="47" t="s">
        <v>1234</v>
      </c>
      <c r="C38" s="96">
        <v>36406</v>
      </c>
      <c r="D38" s="49" t="s">
        <v>1235</v>
      </c>
      <c r="E38" s="80">
        <v>6.16</v>
      </c>
      <c r="F38" s="51" t="s">
        <v>1201</v>
      </c>
      <c r="G38" s="52" t="s">
        <v>1223</v>
      </c>
    </row>
    <row r="39" spans="1:7" s="37" customFormat="1" ht="14.25" x14ac:dyDescent="0.2">
      <c r="A39" s="46" t="s">
        <v>1236</v>
      </c>
      <c r="B39" s="47" t="s">
        <v>1237</v>
      </c>
      <c r="C39" s="96">
        <v>47587</v>
      </c>
      <c r="D39" s="49" t="s">
        <v>1235</v>
      </c>
      <c r="E39" s="80">
        <v>6.12</v>
      </c>
      <c r="F39" s="51" t="s">
        <v>1201</v>
      </c>
      <c r="G39" s="52" t="s">
        <v>1223</v>
      </c>
    </row>
    <row r="40" spans="1:7" s="37" customFormat="1" ht="14.25" x14ac:dyDescent="0.2">
      <c r="A40" s="46" t="s">
        <v>1238</v>
      </c>
      <c r="B40" s="47" t="s">
        <v>1239</v>
      </c>
      <c r="C40" s="96">
        <v>62500</v>
      </c>
      <c r="D40" s="49" t="s">
        <v>1240</v>
      </c>
      <c r="E40" s="80">
        <v>11.54</v>
      </c>
      <c r="F40" s="51" t="s">
        <v>1201</v>
      </c>
      <c r="G40" s="52" t="s">
        <v>1223</v>
      </c>
    </row>
    <row r="41" spans="1:7" s="37" customFormat="1" ht="14.25" x14ac:dyDescent="0.2">
      <c r="A41" s="46" t="s">
        <v>1241</v>
      </c>
      <c r="B41" s="47" t="s">
        <v>2436</v>
      </c>
      <c r="C41" s="96">
        <v>77372</v>
      </c>
      <c r="D41" s="49" t="s">
        <v>1240</v>
      </c>
      <c r="E41" s="80">
        <v>11.59</v>
      </c>
      <c r="F41" s="51" t="s">
        <v>1201</v>
      </c>
      <c r="G41" s="52" t="s">
        <v>1223</v>
      </c>
    </row>
    <row r="42" spans="1:7" s="37" customFormat="1" ht="14.25" x14ac:dyDescent="0.2">
      <c r="A42" s="46" t="s">
        <v>1243</v>
      </c>
      <c r="B42" s="47" t="s">
        <v>1244</v>
      </c>
      <c r="C42" s="96">
        <v>105749</v>
      </c>
      <c r="D42" s="49" t="s">
        <v>1240</v>
      </c>
      <c r="E42" s="80">
        <v>11.65</v>
      </c>
      <c r="F42" s="51" t="s">
        <v>1201</v>
      </c>
      <c r="G42" s="52" t="s">
        <v>1245</v>
      </c>
    </row>
    <row r="43" spans="1:7" s="37" customFormat="1" ht="14.25" x14ac:dyDescent="0.2">
      <c r="A43" s="46" t="s">
        <v>1246</v>
      </c>
      <c r="B43" s="47" t="s">
        <v>1247</v>
      </c>
      <c r="C43" s="96">
        <v>135494</v>
      </c>
      <c r="D43" s="49" t="s">
        <v>1248</v>
      </c>
      <c r="E43" s="80">
        <v>23.8</v>
      </c>
      <c r="F43" s="51" t="s">
        <v>1201</v>
      </c>
      <c r="G43" s="52" t="s">
        <v>1223</v>
      </c>
    </row>
    <row r="44" spans="1:7" s="37" customFormat="1" ht="14.25" x14ac:dyDescent="0.2">
      <c r="A44" s="46" t="s">
        <v>1249</v>
      </c>
      <c r="B44" s="47" t="s">
        <v>1250</v>
      </c>
      <c r="C44" s="96">
        <v>173500</v>
      </c>
      <c r="D44" s="49" t="s">
        <v>1251</v>
      </c>
      <c r="E44" s="80">
        <v>31</v>
      </c>
      <c r="F44" s="51" t="s">
        <v>1201</v>
      </c>
      <c r="G44" s="52" t="s">
        <v>1223</v>
      </c>
    </row>
    <row r="45" spans="1:7" s="37" customFormat="1" ht="14.25" x14ac:dyDescent="0.2">
      <c r="A45" s="46" t="s">
        <v>1252</v>
      </c>
      <c r="B45" s="47" t="s">
        <v>1253</v>
      </c>
      <c r="C45" s="96">
        <v>210036</v>
      </c>
      <c r="D45" s="49" t="s">
        <v>1251</v>
      </c>
      <c r="E45" s="80">
        <v>40</v>
      </c>
      <c r="F45" s="51" t="s">
        <v>1201</v>
      </c>
      <c r="G45" s="52" t="s">
        <v>1223</v>
      </c>
    </row>
    <row r="46" spans="1:7" s="37" customFormat="1" ht="14.25" x14ac:dyDescent="0.2">
      <c r="A46" s="46" t="s">
        <v>1254</v>
      </c>
      <c r="B46" s="47" t="s">
        <v>1255</v>
      </c>
      <c r="C46" s="96">
        <v>251555</v>
      </c>
      <c r="D46" s="49" t="s">
        <v>1256</v>
      </c>
      <c r="E46" s="80">
        <v>40</v>
      </c>
      <c r="F46" s="51" t="s">
        <v>1201</v>
      </c>
      <c r="G46" s="52" t="s">
        <v>1223</v>
      </c>
    </row>
    <row r="47" spans="1:7" s="37" customFormat="1" ht="14.25" x14ac:dyDescent="0.2">
      <c r="A47" s="46" t="s">
        <v>1257</v>
      </c>
      <c r="B47" s="47" t="s">
        <v>1258</v>
      </c>
      <c r="C47" s="96">
        <v>295272</v>
      </c>
      <c r="D47" s="49" t="s">
        <v>1256</v>
      </c>
      <c r="E47" s="80">
        <v>48</v>
      </c>
      <c r="F47" s="51" t="s">
        <v>1201</v>
      </c>
      <c r="G47" s="52" t="s">
        <v>1223</v>
      </c>
    </row>
    <row r="48" spans="1:7" s="37" customFormat="1" ht="14.25" x14ac:dyDescent="0.25">
      <c r="A48" s="53"/>
      <c r="B48" s="62"/>
      <c r="C48" s="98"/>
      <c r="D48" s="49"/>
      <c r="E48" s="80"/>
      <c r="F48" s="51"/>
      <c r="G48" s="52"/>
    </row>
    <row r="49" spans="1:7" s="37" customFormat="1" ht="14.25" x14ac:dyDescent="0.2">
      <c r="A49" s="46" t="s">
        <v>1198</v>
      </c>
      <c r="B49" s="47" t="s">
        <v>1199</v>
      </c>
      <c r="C49" s="96">
        <v>10146</v>
      </c>
      <c r="D49" s="54" t="s">
        <v>1200</v>
      </c>
      <c r="E49" s="80">
        <v>0.9</v>
      </c>
      <c r="F49" s="51" t="s">
        <v>1201</v>
      </c>
      <c r="G49" s="52" t="s">
        <v>1202</v>
      </c>
    </row>
    <row r="50" spans="1:7" s="37" customFormat="1" ht="14.25" x14ac:dyDescent="0.2">
      <c r="A50" s="46" t="s">
        <v>1203</v>
      </c>
      <c r="B50" s="47" t="s">
        <v>1204</v>
      </c>
      <c r="C50" s="96">
        <v>10556</v>
      </c>
      <c r="D50" s="54" t="s">
        <v>1205</v>
      </c>
      <c r="E50" s="80">
        <v>1.04</v>
      </c>
      <c r="F50" s="51" t="s">
        <v>1201</v>
      </c>
      <c r="G50" s="52" t="s">
        <v>1206</v>
      </c>
    </row>
    <row r="51" spans="1:7" s="37" customFormat="1" ht="14.25" x14ac:dyDescent="0.2">
      <c r="A51" s="46" t="s">
        <v>1207</v>
      </c>
      <c r="B51" s="47" t="s">
        <v>1208</v>
      </c>
      <c r="C51" s="96">
        <v>10964</v>
      </c>
      <c r="D51" s="54" t="s">
        <v>1209</v>
      </c>
      <c r="E51" s="80">
        <v>1.1399999999999999</v>
      </c>
      <c r="F51" s="51" t="s">
        <v>1201</v>
      </c>
      <c r="G51" s="52" t="s">
        <v>1206</v>
      </c>
    </row>
    <row r="52" spans="1:7" s="37" customFormat="1" ht="14.25" x14ac:dyDescent="0.2">
      <c r="A52" s="46" t="s">
        <v>1210</v>
      </c>
      <c r="B52" s="47" t="s">
        <v>1211</v>
      </c>
      <c r="C52" s="96">
        <v>11681</v>
      </c>
      <c r="D52" s="54" t="s">
        <v>1209</v>
      </c>
      <c r="E52" s="80">
        <v>1.1399999999999999</v>
      </c>
      <c r="F52" s="51" t="s">
        <v>1201</v>
      </c>
      <c r="G52" s="52" t="s">
        <v>1206</v>
      </c>
    </row>
    <row r="53" spans="1:7" s="37" customFormat="1" ht="14.25" x14ac:dyDescent="0.2">
      <c r="A53" s="46" t="s">
        <v>1212</v>
      </c>
      <c r="B53" s="47" t="s">
        <v>1213</v>
      </c>
      <c r="C53" s="96">
        <v>15371</v>
      </c>
      <c r="D53" s="54" t="s">
        <v>1214</v>
      </c>
      <c r="E53" s="80">
        <v>1.74</v>
      </c>
      <c r="F53" s="51" t="s">
        <v>1201</v>
      </c>
      <c r="G53" s="52" t="s">
        <v>1206</v>
      </c>
    </row>
    <row r="54" spans="1:7" s="37" customFormat="1" ht="14.25" x14ac:dyDescent="0.2">
      <c r="A54" s="46" t="s">
        <v>1215</v>
      </c>
      <c r="B54" s="47" t="s">
        <v>1216</v>
      </c>
      <c r="C54" s="96">
        <v>16803</v>
      </c>
      <c r="D54" s="54" t="s">
        <v>1214</v>
      </c>
      <c r="E54" s="80">
        <v>1.79</v>
      </c>
      <c r="F54" s="51" t="s">
        <v>1201</v>
      </c>
      <c r="G54" s="52" t="s">
        <v>1206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16"/>
  <sheetViews>
    <sheetView workbookViewId="0">
      <selection activeCell="A10" sqref="A10"/>
    </sheetView>
  </sheetViews>
  <sheetFormatPr defaultRowHeight="15" x14ac:dyDescent="0.25"/>
  <cols>
    <col min="1" max="1" width="52.5703125" customWidth="1"/>
    <col min="2" max="3" width="10.42578125" customWidth="1"/>
    <col min="4" max="4" width="6.5703125" customWidth="1"/>
    <col min="5" max="5" width="51.42578125" customWidth="1"/>
    <col min="6" max="8" width="12.85546875" customWidth="1"/>
    <col min="9" max="9" width="50.7109375" customWidth="1"/>
    <col min="10" max="10" width="16.42578125" customWidth="1"/>
    <col min="11" max="12" width="12.85546875" customWidth="1"/>
    <col min="13" max="13" width="54.85546875" customWidth="1"/>
  </cols>
  <sheetData>
    <row r="1" spans="1:16" x14ac:dyDescent="0.25">
      <c r="A1" t="s">
        <v>2043</v>
      </c>
      <c r="B1">
        <v>11926</v>
      </c>
      <c r="C1">
        <v>1</v>
      </c>
      <c r="D1">
        <v>4.2</v>
      </c>
      <c r="E1" t="s">
        <v>2509</v>
      </c>
      <c r="F1" s="141">
        <v>5224</v>
      </c>
      <c r="G1">
        <v>0.4</v>
      </c>
      <c r="H1">
        <v>2.5</v>
      </c>
      <c r="I1" t="s">
        <v>2047</v>
      </c>
      <c r="J1">
        <v>6308</v>
      </c>
      <c r="K1">
        <v>0.8</v>
      </c>
      <c r="L1">
        <v>2.5</v>
      </c>
      <c r="M1" t="s">
        <v>2441</v>
      </c>
      <c r="N1" s="141">
        <v>14981</v>
      </c>
      <c r="O1">
        <v>1</v>
      </c>
      <c r="P1">
        <v>4.2</v>
      </c>
    </row>
    <row r="2" spans="1:16" x14ac:dyDescent="0.25">
      <c r="A2" t="s">
        <v>2044</v>
      </c>
      <c r="B2">
        <v>15868</v>
      </c>
      <c r="C2">
        <v>2</v>
      </c>
      <c r="D2">
        <v>6</v>
      </c>
      <c r="E2" t="s">
        <v>2510</v>
      </c>
      <c r="F2" s="141">
        <v>7688</v>
      </c>
      <c r="G2">
        <v>0.8</v>
      </c>
      <c r="H2">
        <v>2.5</v>
      </c>
      <c r="I2" t="s">
        <v>2048</v>
      </c>
      <c r="J2">
        <v>8378</v>
      </c>
      <c r="K2">
        <v>1.6</v>
      </c>
      <c r="L2">
        <v>4.8</v>
      </c>
      <c r="M2" t="s">
        <v>2442</v>
      </c>
      <c r="N2" s="141">
        <v>20698</v>
      </c>
      <c r="O2">
        <v>2</v>
      </c>
      <c r="P2">
        <v>6</v>
      </c>
    </row>
    <row r="3" spans="1:16" x14ac:dyDescent="0.25">
      <c r="A3" t="s">
        <v>2045</v>
      </c>
      <c r="B3">
        <v>20106</v>
      </c>
      <c r="C3">
        <v>3</v>
      </c>
      <c r="D3">
        <v>6.5</v>
      </c>
      <c r="E3" t="s">
        <v>2511</v>
      </c>
      <c r="F3" s="141">
        <v>9462</v>
      </c>
      <c r="G3">
        <v>1.6</v>
      </c>
      <c r="H3">
        <v>4.8</v>
      </c>
      <c r="I3" t="s">
        <v>2049</v>
      </c>
      <c r="J3">
        <v>10053</v>
      </c>
      <c r="K3">
        <v>3.2</v>
      </c>
      <c r="L3">
        <v>4.8</v>
      </c>
      <c r="M3" t="s">
        <v>2443</v>
      </c>
      <c r="N3" s="141">
        <v>21880</v>
      </c>
      <c r="O3">
        <v>3</v>
      </c>
      <c r="P3">
        <v>6.5</v>
      </c>
    </row>
    <row r="4" spans="1:16" x14ac:dyDescent="0.25">
      <c r="A4" s="259" t="s">
        <v>2729</v>
      </c>
      <c r="B4" s="347">
        <v>49897</v>
      </c>
      <c r="C4">
        <v>7</v>
      </c>
      <c r="E4" t="s">
        <v>2512</v>
      </c>
      <c r="F4" s="141">
        <v>11433</v>
      </c>
      <c r="G4">
        <v>3.2</v>
      </c>
      <c r="H4">
        <v>4.8</v>
      </c>
      <c r="I4" t="s">
        <v>2050</v>
      </c>
      <c r="J4">
        <v>12123</v>
      </c>
      <c r="K4">
        <v>4.8</v>
      </c>
      <c r="L4">
        <v>4.8</v>
      </c>
      <c r="M4" s="259" t="s">
        <v>2728</v>
      </c>
      <c r="N4" s="347">
        <v>58312</v>
      </c>
      <c r="O4">
        <v>7</v>
      </c>
    </row>
    <row r="5" spans="1:16" x14ac:dyDescent="0.25">
      <c r="E5" t="s">
        <v>2513</v>
      </c>
      <c r="F5" s="141">
        <v>13798</v>
      </c>
      <c r="G5">
        <v>4.8</v>
      </c>
      <c r="H5">
        <v>4.8</v>
      </c>
      <c r="I5" t="s">
        <v>2051</v>
      </c>
      <c r="J5">
        <v>13108</v>
      </c>
      <c r="K5">
        <v>6.2</v>
      </c>
      <c r="L5">
        <v>4.8</v>
      </c>
    </row>
    <row r="6" spans="1:16" x14ac:dyDescent="0.25">
      <c r="E6" t="s">
        <v>2514</v>
      </c>
      <c r="F6" s="141">
        <v>15967</v>
      </c>
      <c r="G6">
        <v>6.3</v>
      </c>
      <c r="H6">
        <v>4.8</v>
      </c>
    </row>
    <row r="9" spans="1:16" x14ac:dyDescent="0.25">
      <c r="C9" t="s">
        <v>2041</v>
      </c>
      <c r="D9" t="s">
        <v>2503</v>
      </c>
      <c r="G9" t="s">
        <v>2041</v>
      </c>
      <c r="H9" t="s">
        <v>2503</v>
      </c>
      <c r="K9" t="s">
        <v>2041</v>
      </c>
      <c r="L9" t="s">
        <v>2503</v>
      </c>
      <c r="P9" t="s">
        <v>2503</v>
      </c>
    </row>
    <row r="10" spans="1:16" x14ac:dyDescent="0.25">
      <c r="C10" t="s">
        <v>2042</v>
      </c>
      <c r="G10" t="s">
        <v>2042</v>
      </c>
      <c r="K10" t="s">
        <v>2042</v>
      </c>
    </row>
    <row r="15" spans="1:16" x14ac:dyDescent="0.25">
      <c r="A15" s="259"/>
      <c r="B15" s="259"/>
      <c r="C15" s="237"/>
      <c r="D15" s="237"/>
      <c r="E15" s="237"/>
      <c r="F15" s="237"/>
      <c r="G15" s="346"/>
    </row>
    <row r="16" spans="1:16" x14ac:dyDescent="0.25">
      <c r="A16" s="259"/>
      <c r="B16" s="259"/>
      <c r="C16" s="237"/>
      <c r="D16" s="237"/>
      <c r="E16" s="237"/>
      <c r="F16" s="237"/>
      <c r="G16" s="34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6"/>
  <sheetViews>
    <sheetView workbookViewId="0">
      <selection activeCell="C14" sqref="C14"/>
    </sheetView>
  </sheetViews>
  <sheetFormatPr defaultRowHeight="15" x14ac:dyDescent="0.25"/>
  <cols>
    <col min="1" max="1" width="17.5703125" customWidth="1"/>
    <col min="2" max="2" width="31" customWidth="1"/>
    <col min="3" max="4" width="17.5703125" customWidth="1"/>
  </cols>
  <sheetData>
    <row r="1" spans="1:4" x14ac:dyDescent="0.25">
      <c r="A1" t="s">
        <v>1407</v>
      </c>
      <c r="B1" t="s">
        <v>2353</v>
      </c>
      <c r="C1">
        <v>3285</v>
      </c>
      <c r="D1">
        <v>11</v>
      </c>
    </row>
    <row r="2" spans="1:4" x14ac:dyDescent="0.25">
      <c r="A2" t="s">
        <v>1411</v>
      </c>
      <c r="B2" t="s">
        <v>2354</v>
      </c>
      <c r="C2">
        <v>4977</v>
      </c>
      <c r="D2">
        <v>15</v>
      </c>
    </row>
    <row r="3" spans="1:4" x14ac:dyDescent="0.25">
      <c r="A3" t="s">
        <v>1414</v>
      </c>
      <c r="B3" t="s">
        <v>2355</v>
      </c>
      <c r="C3">
        <v>4927</v>
      </c>
      <c r="D3">
        <v>18</v>
      </c>
    </row>
    <row r="4" spans="1:4" x14ac:dyDescent="0.25">
      <c r="A4" t="s">
        <v>1417</v>
      </c>
      <c r="B4" t="s">
        <v>2356</v>
      </c>
      <c r="C4">
        <v>11409</v>
      </c>
      <c r="D4">
        <v>22</v>
      </c>
    </row>
    <row r="5" spans="1:4" x14ac:dyDescent="0.25">
      <c r="A5" t="s">
        <v>1421</v>
      </c>
      <c r="B5" t="s">
        <v>2357</v>
      </c>
      <c r="C5">
        <v>11909</v>
      </c>
      <c r="D5">
        <v>30</v>
      </c>
    </row>
    <row r="6" spans="1:4" x14ac:dyDescent="0.25">
      <c r="A6" t="s">
        <v>2731</v>
      </c>
      <c r="B6" t="s">
        <v>2730</v>
      </c>
      <c r="C6">
        <f>26500*1.3</f>
        <v>34450</v>
      </c>
      <c r="D6">
        <v>70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Z33"/>
  <sheetViews>
    <sheetView topLeftCell="A15" workbookViewId="0">
      <selection activeCell="A23" sqref="A23:XFD33"/>
    </sheetView>
  </sheetViews>
  <sheetFormatPr defaultRowHeight="15" x14ac:dyDescent="0.25"/>
  <cols>
    <col min="1" max="1" width="20.28515625" customWidth="1"/>
    <col min="2" max="2" width="23.5703125" customWidth="1"/>
    <col min="3" max="3" width="64.7109375" customWidth="1"/>
    <col min="4" max="4" width="20.7109375" customWidth="1"/>
    <col min="5" max="5" width="10.7109375" customWidth="1"/>
    <col min="6" max="6" width="13.5703125" customWidth="1"/>
    <col min="7" max="7" width="19.85546875" customWidth="1"/>
    <col min="8" max="8" width="39.42578125" customWidth="1"/>
  </cols>
  <sheetData>
    <row r="1" spans="1:26" x14ac:dyDescent="0.25">
      <c r="A1" s="16"/>
      <c r="B1" s="16"/>
      <c r="C1" s="16"/>
      <c r="D1" s="17"/>
      <c r="E1" s="16"/>
      <c r="F1" s="16"/>
      <c r="G1" s="16"/>
      <c r="J1" s="18"/>
      <c r="Z1" s="19"/>
    </row>
    <row r="2" spans="1:26" x14ac:dyDescent="0.25">
      <c r="A2" s="16"/>
      <c r="B2" s="16"/>
      <c r="C2" s="16"/>
      <c r="D2" s="17"/>
      <c r="E2" s="16"/>
      <c r="F2" s="16"/>
      <c r="G2" s="16"/>
      <c r="Z2" s="19"/>
    </row>
    <row r="3" spans="1:26" x14ac:dyDescent="0.25">
      <c r="A3" s="16"/>
      <c r="B3" s="16"/>
      <c r="C3" s="16"/>
      <c r="D3" s="17"/>
      <c r="E3" s="16"/>
      <c r="F3" s="16"/>
      <c r="G3" s="16"/>
      <c r="Z3" s="19"/>
    </row>
    <row r="4" spans="1:26" x14ac:dyDescent="0.25">
      <c r="A4" s="16"/>
      <c r="B4" s="16"/>
      <c r="C4" s="16"/>
      <c r="D4" s="17"/>
      <c r="E4" s="16"/>
      <c r="F4" s="16"/>
      <c r="G4" s="16"/>
      <c r="Z4" s="19"/>
    </row>
    <row r="5" spans="1:26" x14ac:dyDescent="0.25">
      <c r="A5" s="16"/>
      <c r="B5" s="16"/>
      <c r="C5" s="16"/>
      <c r="D5" s="17"/>
      <c r="E5" s="20"/>
      <c r="F5" s="20"/>
      <c r="G5" s="16"/>
      <c r="Z5" s="19"/>
    </row>
    <row r="6" spans="1:26" x14ac:dyDescent="0.25">
      <c r="A6" s="16"/>
      <c r="B6" s="16"/>
      <c r="C6" s="16"/>
      <c r="D6" s="17"/>
      <c r="E6" s="16"/>
      <c r="F6" s="16"/>
      <c r="G6" s="16"/>
      <c r="Z6" s="19"/>
    </row>
    <row r="7" spans="1:26" x14ac:dyDescent="0.25">
      <c r="A7" s="16"/>
      <c r="B7" s="16"/>
      <c r="C7" s="16"/>
      <c r="D7" s="17"/>
      <c r="E7" s="16"/>
      <c r="F7" s="16"/>
      <c r="G7" s="16"/>
      <c r="Z7" s="19"/>
    </row>
    <row r="8" spans="1:26" x14ac:dyDescent="0.25">
      <c r="A8" s="16"/>
      <c r="B8" s="16"/>
      <c r="C8" s="16"/>
      <c r="D8" s="17"/>
      <c r="E8" s="16"/>
      <c r="F8" s="16"/>
      <c r="G8" s="16"/>
    </row>
    <row r="9" spans="1:26" x14ac:dyDescent="0.25">
      <c r="A9" s="16"/>
      <c r="B9" s="16"/>
      <c r="C9" s="16"/>
      <c r="D9" s="17"/>
      <c r="E9" s="16"/>
      <c r="F9" s="16"/>
      <c r="G9" s="16"/>
    </row>
    <row r="10" spans="1:26" x14ac:dyDescent="0.25">
      <c r="A10" s="21">
        <v>42963</v>
      </c>
      <c r="B10" s="22"/>
      <c r="C10" s="24"/>
      <c r="D10" s="26"/>
      <c r="E10" s="26"/>
      <c r="F10" s="26"/>
      <c r="G10" s="26"/>
    </row>
    <row r="11" spans="1:26" ht="31.5" customHeight="1" x14ac:dyDescent="0.25">
      <c r="A11" s="23" t="s">
        <v>151</v>
      </c>
      <c r="B11" s="520" t="s">
        <v>2422</v>
      </c>
      <c r="C11" s="520"/>
      <c r="D11" s="25"/>
      <c r="E11" s="26"/>
      <c r="F11" s="26" t="s">
        <v>2019</v>
      </c>
      <c r="G11" s="24"/>
    </row>
    <row r="12" spans="1:26" x14ac:dyDescent="0.25">
      <c r="A12" s="35"/>
      <c r="B12" s="35"/>
      <c r="C12" s="26"/>
      <c r="D12" s="26"/>
      <c r="E12" s="26"/>
      <c r="F12" s="26"/>
      <c r="G12" s="26"/>
    </row>
    <row r="13" spans="1:26" ht="15" customHeight="1" x14ac:dyDescent="0.25">
      <c r="B13" s="36"/>
      <c r="C13" s="36" t="s">
        <v>2434</v>
      </c>
      <c r="D13" s="25"/>
      <c r="E13" s="25"/>
      <c r="F13" s="25"/>
      <c r="G13" s="25"/>
    </row>
    <row r="14" spans="1:26" ht="15.75" thickBot="1" x14ac:dyDescent="0.3">
      <c r="A14" s="16"/>
      <c r="B14" s="16"/>
      <c r="C14" s="16"/>
      <c r="D14" s="17"/>
      <c r="E14" s="16"/>
      <c r="F14" s="27"/>
      <c r="G14" s="28"/>
    </row>
    <row r="15" spans="1:26" ht="45" x14ac:dyDescent="0.25">
      <c r="A15" s="29" t="s">
        <v>152</v>
      </c>
      <c r="B15" s="30" t="s">
        <v>153</v>
      </c>
      <c r="C15" s="31" t="s">
        <v>154</v>
      </c>
      <c r="D15" s="31" t="s">
        <v>155</v>
      </c>
      <c r="E15" s="31" t="s">
        <v>156</v>
      </c>
      <c r="F15" s="31" t="s">
        <v>157</v>
      </c>
      <c r="G15" s="32" t="s">
        <v>158</v>
      </c>
      <c r="H15" s="32" t="s">
        <v>159</v>
      </c>
    </row>
    <row r="16" spans="1:26" ht="18.75" x14ac:dyDescent="0.3">
      <c r="A16" s="180"/>
      <c r="B16" s="180"/>
      <c r="C16" s="200" t="s">
        <v>2358</v>
      </c>
      <c r="D16" s="180"/>
      <c r="E16" s="180"/>
      <c r="F16" s="180"/>
      <c r="G16" s="180"/>
      <c r="H16" s="180"/>
    </row>
    <row r="17" spans="1:10" x14ac:dyDescent="0.25">
      <c r="A17" s="202">
        <v>10</v>
      </c>
      <c r="B17" s="181" t="s">
        <v>797</v>
      </c>
      <c r="C17" s="182" t="s">
        <v>798</v>
      </c>
      <c r="D17" s="201">
        <v>58856</v>
      </c>
      <c r="E17" s="181">
        <v>1</v>
      </c>
      <c r="F17" s="181">
        <f>50</f>
        <v>50</v>
      </c>
      <c r="G17" s="183">
        <f>D17*(100-F17)%*E17</f>
        <v>29428</v>
      </c>
      <c r="H17" s="184"/>
    </row>
    <row r="18" spans="1:10" x14ac:dyDescent="0.25">
      <c r="A18" s="202"/>
      <c r="B18" s="181"/>
      <c r="C18" s="182"/>
      <c r="D18" s="181"/>
      <c r="E18" s="181"/>
      <c r="F18" s="181"/>
      <c r="G18" s="183"/>
      <c r="H18" s="184"/>
    </row>
    <row r="19" spans="1:10" ht="18" customHeight="1" x14ac:dyDescent="0.25">
      <c r="A19" s="185"/>
      <c r="B19" s="186"/>
      <c r="C19" s="187"/>
      <c r="D19" s="188"/>
      <c r="E19" s="189"/>
      <c r="F19" s="189"/>
      <c r="G19" s="190"/>
      <c r="H19" s="190"/>
      <c r="I19" s="191"/>
      <c r="J19" s="191"/>
    </row>
    <row r="20" spans="1:10" ht="15.75" thickBot="1" x14ac:dyDescent="0.3">
      <c r="A20" s="521" t="s">
        <v>2423</v>
      </c>
      <c r="B20" s="521"/>
      <c r="C20" s="522"/>
      <c r="D20" s="522"/>
      <c r="E20" s="522"/>
      <c r="F20" s="522"/>
      <c r="G20" s="192">
        <f>SUM(G17:G19)</f>
        <v>29428</v>
      </c>
      <c r="H20" s="193"/>
    </row>
    <row r="23" spans="1:10" s="140" customFormat="1" ht="40.5" customHeight="1" x14ac:dyDescent="0.25">
      <c r="A23" s="194" t="s">
        <v>2424</v>
      </c>
      <c r="B23" s="195"/>
      <c r="C23" s="195"/>
      <c r="D23" s="195"/>
      <c r="E23" s="195"/>
      <c r="F23" s="195"/>
      <c r="G23" s="195"/>
    </row>
    <row r="24" spans="1:10" s="140" customFormat="1" ht="34.5" customHeight="1" x14ac:dyDescent="0.25">
      <c r="A24" s="195" t="s">
        <v>2425</v>
      </c>
      <c r="B24" s="196"/>
      <c r="C24" s="196"/>
      <c r="D24" s="197"/>
      <c r="E24" s="196"/>
      <c r="F24" s="196"/>
      <c r="G24" s="196"/>
    </row>
    <row r="25" spans="1:10" s="140" customFormat="1" x14ac:dyDescent="0.25">
      <c r="A25" s="198" t="s">
        <v>2426</v>
      </c>
      <c r="B25" s="196"/>
      <c r="C25" s="196"/>
      <c r="D25" s="197"/>
      <c r="E25" s="196"/>
      <c r="F25" s="196"/>
      <c r="G25" s="196"/>
    </row>
    <row r="26" spans="1:10" s="140" customFormat="1" x14ac:dyDescent="0.25">
      <c r="A26" s="198" t="s">
        <v>2427</v>
      </c>
      <c r="B26" s="196"/>
      <c r="C26" s="196"/>
      <c r="D26" s="197"/>
      <c r="E26" s="196"/>
      <c r="F26" s="196"/>
      <c r="G26" s="196"/>
    </row>
    <row r="27" spans="1:10" s="140" customFormat="1" ht="15" customHeight="1" x14ac:dyDescent="0.25">
      <c r="A27" s="198"/>
      <c r="B27" s="199"/>
      <c r="C27" s="199"/>
      <c r="D27" s="197"/>
      <c r="E27" s="196"/>
      <c r="F27" s="196"/>
      <c r="G27" s="196"/>
    </row>
    <row r="28" spans="1:10" s="140" customFormat="1" x14ac:dyDescent="0.25">
      <c r="A28" s="199" t="s">
        <v>2428</v>
      </c>
      <c r="B28" s="199"/>
      <c r="C28" s="199"/>
      <c r="D28" s="197"/>
      <c r="E28" s="196"/>
      <c r="F28" s="196"/>
      <c r="G28" s="196"/>
    </row>
    <row r="29" spans="1:10" s="140" customFormat="1" ht="15" customHeight="1" x14ac:dyDescent="0.25">
      <c r="A29" s="199" t="s">
        <v>2429</v>
      </c>
      <c r="B29" s="199"/>
      <c r="C29" s="199"/>
      <c r="D29" s="197"/>
      <c r="E29" s="196"/>
      <c r="F29" s="196"/>
      <c r="G29" s="196"/>
    </row>
    <row r="30" spans="1:10" s="140" customFormat="1" x14ac:dyDescent="0.25">
      <c r="A30" s="199" t="s">
        <v>2430</v>
      </c>
      <c r="B30" s="199"/>
      <c r="C30" s="199"/>
      <c r="D30" s="197"/>
      <c r="E30" s="196"/>
      <c r="F30" s="196"/>
      <c r="G30" s="196"/>
    </row>
    <row r="31" spans="1:10" s="140" customFormat="1" ht="15" customHeight="1" x14ac:dyDescent="0.25">
      <c r="A31" s="199" t="s">
        <v>2431</v>
      </c>
      <c r="B31" s="199"/>
      <c r="C31" s="199"/>
      <c r="D31" s="197"/>
      <c r="E31" s="196"/>
      <c r="F31" s="196"/>
      <c r="G31" s="196"/>
    </row>
    <row r="32" spans="1:10" s="140" customFormat="1" ht="15" customHeight="1" x14ac:dyDescent="0.25">
      <c r="A32" s="199" t="s">
        <v>2432</v>
      </c>
      <c r="B32" s="199"/>
      <c r="C32" s="199"/>
      <c r="D32" s="197"/>
      <c r="E32" s="196"/>
      <c r="F32" s="196"/>
      <c r="G32" s="196"/>
    </row>
    <row r="33" spans="1:7" s="140" customFormat="1" x14ac:dyDescent="0.25">
      <c r="A33" s="199" t="s">
        <v>2433</v>
      </c>
      <c r="B33" s="196"/>
      <c r="C33" s="196"/>
      <c r="D33" s="197"/>
      <c r="E33" s="196"/>
      <c r="F33" s="196"/>
      <c r="G33" s="196"/>
    </row>
  </sheetData>
  <mergeCells count="2">
    <mergeCell ref="B11:C11"/>
    <mergeCell ref="A20:F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</vt:i4>
      </vt:variant>
    </vt:vector>
  </HeadingPairs>
  <TitlesOfParts>
    <vt:vector size="17" baseType="lpstr">
      <vt:lpstr>Data</vt:lpstr>
      <vt:lpstr>Scheme</vt:lpstr>
      <vt:lpstr>Offer</vt:lpstr>
      <vt:lpstr>OutputData</vt:lpstr>
      <vt:lpstr>CaseProperties</vt:lpstr>
      <vt:lpstr>CaseProperties(unsorted)</vt:lpstr>
      <vt:lpstr>CaseProperties_Old</vt:lpstr>
      <vt:lpstr>PumpUnits</vt:lpstr>
      <vt:lpstr>CoolUnitBase</vt:lpstr>
      <vt:lpstr>Options</vt:lpstr>
      <vt:lpstr>TariffDE</vt:lpstr>
      <vt:lpstr>TariffDE(Old)</vt:lpstr>
      <vt:lpstr>FreqConverters</vt:lpstr>
      <vt:lpstr>Drives</vt:lpstr>
      <vt:lpstr>Switches</vt:lpstr>
      <vt:lpstr>Offer (шаблон)</vt:lpstr>
      <vt:lpstr>Scheme!Print_Area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805268</dc:creator>
  <cp:lastModifiedBy>805268</cp:lastModifiedBy>
  <cp:lastPrinted>2017-10-29T20:47:23Z</cp:lastPrinted>
  <dcterms:created xsi:type="dcterms:W3CDTF">2017-06-28T11:39:41Z</dcterms:created>
  <dcterms:modified xsi:type="dcterms:W3CDTF">2018-02-03T13:51:26Z</dcterms:modified>
</cp:coreProperties>
</file>